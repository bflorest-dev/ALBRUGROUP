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PREVENTAS_" sheetId="1" r:id="rId5"/>
    <sheet state="visible" name="PREVENTAS" sheetId="2" r:id="rId6"/>
    <sheet state="visible" name="PREVENTAS DEL DÍA" sheetId="3" r:id="rId7"/>
    <sheet state="visible" name="PROGRAMADAS" sheetId="4" r:id="rId8"/>
    <sheet state="visible" name="INSTALADAS" sheetId="5" r:id="rId9"/>
    <sheet state="visible" name="LISTA" sheetId="6" r:id="rId10"/>
    <sheet state="visible" name="Hoja 4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tc={1b321881-babf-4e7b-80c1-a3bf7ba12a58}</author>
    <author>tc={2933e0bd-9817-4a0f-8510-6fa2dacbbbf8}</author>
    <author>tc={4e3a2830-cc60-4365-9ffa-066bc946540b}</author>
    <author>tc={ab93b840-00ba-4df9-9c20-68ae865e20ee}</author>
    <author>tc={b556026b-e59d-415a-ba36-700f8e4d4513}</author>
    <author>tc={b816df02-f4e6-414d-910f-e60a02bc9b3d}</author>
    <author>tc={cbe33442-eb24-4d3b-b11a-31a661de9c18}</author>
    <author>tc={cd6bfab5-c289-4391-b74c-edcf5f730ad9}</author>
    <author>tc={d8e71224-12ec-42d7-aee2-b61202cd1305}</author>
    <author>tc={ea3d8551-f6fe-44fd-ad32-654246284d43}</author>
  </authors>
  <commentList>
    <comment authorId="0" xr:uid="{1b321881-babf-4e7b-80c1-a3bf7ba12a58}" ref="F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ADJUNTAR DNI ambas caras, Foto de cliente mostrando DNI y Recibo de Servicio de dirección de instalación DE AGUA o luz.
</t>
      </text>
    </comment>
    <comment authorId="1" xr:uid="{2933e0bd-9817-4a0f-8510-6fa2dacbbbf8}" ref="F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ADJUNTAR DNI ambas caras, Foto de cliente mostrando DNI y Recibo de Servicio de dirección de instalación DE AGUA o luz.
</t>
      </text>
    </comment>
    <comment authorId="2" xr:uid="{4e3a2830-cc60-4365-9ffa-066bc946540b}" ref="F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LLAMA A CLIENTE, RESPONDE E INDICA NUMERO EQUIVOCADO.
</t>
      </text>
    </comment>
    <comment authorId="3" xr:uid="{ab93b840-00ba-4df9-9c20-68ae865e20ee}" ref="F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ADJUNTAR DNI ambas caras, Foto de cliente mostrando DNI y Recibo de Servicio de dirección de instalación DE AGUA o luz.
</t>
      </text>
    </comment>
    <comment authorId="4" xr:uid="{b556026b-e59d-415a-ba36-700f8e4d4513}" ref="F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indica que MIFIBRA le ofrecio internet + tv a 55 soles por 6 meses, por ello no grabo con claro
</t>
      </text>
    </comment>
    <comment authorId="5" xr:uid="{b816df02-f4e6-414d-910f-e60a02bc9b3d}" ref="F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LLAMA AL CLIENTE E INDICA QUE DESEA QUE LE ENVIEMOS EL PLAN COMPLETO MEDIANTE WSP, PARA QUE CONFIRME SI DESEA O NO EL SERVICIO,
</t>
      </text>
    </comment>
    <comment authorId="6" xr:uid="{cbe33442-eb24-4d3b-b11a-31a661de9c18}" ref="F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ADJUNTAR DNI ambas caras, Foto de cliente mostrando DNI y Recibo de Servicio de dirección de instalación DE AGUA o luz.
</t>
      </text>
    </comment>
    <comment authorId="7" xr:uid="{cd6bfab5-c289-4391-b74c-edcf5f730ad9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MESA DE SEGUIMIENTO CALL CENTER RECHAZO EN MESA / CAMPO: EN CAMPO PERSONA QUE CONTESTA: JENNY PAOLI ROJAS BENITO NUMERO DE CONTACTO: 953735960 MOTIVO DEL RECHAZO: FACILIDADES TECNICAS DEL CLIENTE SUBMOTIVO DE RECHAZO: Sin acceso al techo, montantes u otros ambientes REALIZADO POR: david rodriguez ID DE LLAMADA: 1781980038-933407
</t>
      </text>
    </comment>
    <comment authorId="8" xr:uid="{d8e71224-12ec-42d7-aee2-b61202cd1305}" ref="F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axb, enviaron reporte los de claro
</t>
      </text>
    </comment>
    <comment authorId="9" xr:uid="{ea3d8551-f6fe-44fd-ad32-654246284d43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SOLICITA REASIGNACION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tc={06313621-7084-46a2-bf38-182e0d93d374}</author>
    <author>tc={0caeb35e-cfcd-4396-a8d1-f53ebaf5732c}</author>
    <author>tc={13aec38c-f5bb-4ffc-8556-e05839da492f}</author>
    <author>tc={2ec0ccef-be1e-47d3-867f-3d376714ab40}</author>
    <author>tc={37224598-d3f4-48b3-80b7-071e17a3c0af}</author>
    <author>tc={47853404-038a-478a-a9f4-a66e1fd3041d}</author>
    <author>tc={51e72904-64da-44ca-9969-a78d279f389d}</author>
    <author>tc={590fd1f1-5add-4f2f-ba9e-dcc3bb74abd0}</author>
    <author>tc={7ab28c3f-8af5-488f-95da-5bc9a53b8a9b}</author>
    <author>tc={80093d38-2a81-48b6-8c27-cc8156cb0773}</author>
    <author>tc={8ba14187-c0e2-459d-afac-182e7410c6c0}</author>
    <author>tc={acd68f0c-656b-40e4-a08a-d824566b28d5}</author>
    <author>tc={b1aa26f5-b184-4a2e-93b7-fbc19ce5a653}</author>
    <author>tc={bb3aefd6-364b-49dd-bfed-9c25ffc61eaf}</author>
    <author>tc={c213c454-f8d5-46a6-970b-9c7ecd7e04b6}</author>
    <author>tc={d458fd88-a5f5-4a8a-8f62-0abb6926754b}</author>
    <author>tc={d6d3bf6e-4056-48fd-bf43-5434e681326a}</author>
    <author>tc={e597006f-ba5d-4b77-b290-3f251c335029}</author>
    <author>tc={fb281fb8-a072-49f4-8d55-37abe07912e3}</author>
  </authors>
  <commentList>
    <comment authorId="0" xr:uid="{06313621-7084-46a2-bf38-182e0d93d374}" ref="H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cl cv para el lunes 9am
</t>
      </text>
    </comment>
    <comment authorId="1" xr:uid="{0caeb35e-cfcd-4396-a8d1-f53ebaf5732c}" ref="H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llamada
</t>
      </text>
    </comment>
    <comment authorId="2" xr:uid="{13aec38c-f5bb-4ffc-8556-e05839da492f}" ref="H5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no contesta
</t>
      </text>
    </comment>
    <comment authorId="3" xr:uid="{2ec0ccef-be1e-47d3-867f-3d376714ab40}" ref="F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intenta contactar con cliente, sin embargo no responde llamadas
</t>
      </text>
    </comment>
    <comment authorId="4" xr:uid="{37224598-d3f4-48b3-80b7-071e17a3c0af}" ref="H4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 llamada
</t>
      </text>
    </comment>
    <comment authorId="5" xr:uid="{47853404-038a-478a-a9f4-a66e1fd3041d}" ref="H4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cl cv para el lunes 24 2pm
</t>
      </text>
    </comment>
    <comment authorId="6" xr:uid="{51e72904-64da-44ca-9969-a78d279f389d}" ref="H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no contesta
</t>
      </text>
    </comment>
    <comment authorId="7" xr:uid="{590fd1f1-5add-4f2f-ba9e-dcc3bb74abd0}" ref="F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no responde llamadas, ni mensajes para intento de recuperar.
</t>
      </text>
    </comment>
    <comment authorId="8" xr:uid="{7ab28c3f-8af5-488f-95da-5bc9a53b8a9b}" ref="H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 de validacion cl esperara hoy 22/08 pm1
</t>
      </text>
    </comment>
    <comment authorId="9" xr:uid="{80093d38-2a81-48b6-8c27-cc8156cb0773}" ref="F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esta de viaje, indica que todavia para fin de mes o el proximo mes querrá instalacion
</t>
      </text>
    </comment>
    <comment authorId="10" xr:uid="{8ba14187-c0e2-459d-afac-182e7410c6c0}" ref="H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cl confirma visita, 2pm
</t>
      </text>
    </comment>
    <comment authorId="11" xr:uid="{acd68f0c-656b-40e4-a08a-d824566b28d5}" ref="H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no contesta
</t>
      </text>
    </comment>
    <comment authorId="12" xr:uid="{b1aa26f5-b184-4a2e-93b7-fbc19ce5a653}" ref="F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COORDENADAS ERRADAS, SE ENVIO A RESCATE PERO NO FUE POSIBLE, INDICARON TRAMO INICIADO
</t>
      </text>
    </comment>
    <comment authorId="13" xr:uid="{bb3aefd6-364b-49dd-bfed-9c25ffc61e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SUBIDO EN KELLS
Reply:
	SUBIDA EN DRIVE, KELLS
</t>
      </text>
    </comment>
    <comment authorId="14" xr:uid="{c213c454-f8d5-46a6-970b-9c7ecd7e04b6}" ref="H4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cv para el 25/ lo llamo wow
</t>
      </text>
    </comment>
    <comment authorId="15" xr:uid="{d458fd88-a5f5-4a8a-8f62-0abb6926754b}" ref="H4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no contesta llamada
</t>
      </text>
    </comment>
    <comment authorId="16" xr:uid="{d6d3bf6e-4056-48fd-bf43-5434e681326a}" ref="H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cv urg se deriva adelanto
</t>
      </text>
    </comment>
    <comment authorId="17" xr:uid="{e597006f-ba5d-4b77-b290-3f251c335029}" ref="H4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 cv para mas tardar lunes y lo llamo wow
</t>
      </text>
    </comment>
    <comment authorId="18" xr:uid="{fb281fb8-a072-49f4-8d55-37abe07912e3}" ref="H4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 no contesta
</t>
      </text>
    </comment>
  </commentList>
</comments>
</file>

<file path=xl/sharedStrings.xml><?xml version="1.0" encoding="utf-8"?>
<sst xmlns="http://schemas.openxmlformats.org/spreadsheetml/2006/main" count="22002" uniqueCount="6918">
  <si>
    <t>PREVENTAS DEL DÍA</t>
  </si>
  <si>
    <t>PROGRAMADAS DEL DÍA</t>
  </si>
  <si>
    <t>Marca temporal</t>
  </si>
  <si>
    <t>ESTADO PREVENTAS</t>
  </si>
  <si>
    <t>STATUS</t>
  </si>
  <si>
    <t>LYBTEL</t>
  </si>
  <si>
    <t>SEGMENTO</t>
  </si>
  <si>
    <t>ASESOR BO</t>
  </si>
  <si>
    <t>%</t>
  </si>
  <si>
    <t>STATUS PROGRAMADAS DEL DÍA</t>
  </si>
  <si>
    <t>PROGRAMACION BO</t>
  </si>
  <si>
    <t>COMENTARIOS BO</t>
  </si>
  <si>
    <t>SEC</t>
  </si>
  <si>
    <t>TRAMO PROGRAMACION</t>
  </si>
  <si>
    <t>SOT</t>
  </si>
  <si>
    <t>ASESOR</t>
  </si>
  <si>
    <t>LEAD</t>
  </si>
  <si>
    <t>TIPO DOCUMENTO</t>
  </si>
  <si>
    <t>N° DOCUMENTO</t>
  </si>
  <si>
    <t>NOMBRE COMPLETO CLIENTE</t>
  </si>
  <si>
    <t>FECHA NACIMIENTO</t>
  </si>
  <si>
    <t>LUGAR NACIMIENTO</t>
  </si>
  <si>
    <t>UBIGEO</t>
  </si>
  <si>
    <t>AMAZONAS</t>
  </si>
  <si>
    <t>ANCASH</t>
  </si>
  <si>
    <t>APURIMAC</t>
  </si>
  <si>
    <t>VENTAS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</si>
  <si>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</si>
  <si>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</si>
  <si>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</si>
  <si>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</si>
  <si>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</si>
  <si>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</si>
  <si>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</si>
  <si>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</si>
  <si>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FIBRA</t>
  </si>
  <si>
    <t>JUNIN</t>
  </si>
  <si>
    <t>LIMA</t>
  </si>
  <si>
    <t>PROVINCIA</t>
  </si>
  <si>
    <t>LA LIBERTAD</t>
  </si>
  <si>
    <t>LAMBAYEQUE</t>
  </si>
  <si>
    <t>LIMA METROPOLITANA</t>
  </si>
  <si>
    <t>LORETO</t>
  </si>
  <si>
    <t>MADRE DE DIOS</t>
  </si>
  <si>
    <t>MOQUEGUA</t>
  </si>
  <si>
    <t>PASCO</t>
  </si>
  <si>
    <t>PIURA</t>
  </si>
  <si>
    <t>PREVENTAS</t>
  </si>
  <si>
    <t>PUNO</t>
  </si>
  <si>
    <t>SAN MARTIN</t>
  </si>
  <si>
    <t>TACNA</t>
  </si>
  <si>
    <t>TUMBES</t>
  </si>
  <si>
    <t>UCAYALI</t>
  </si>
  <si>
    <t>NOMBRE PADRE</t>
  </si>
  <si>
    <t>1 PLAY &gt; 600MBPS</t>
  </si>
  <si>
    <t>NOMBRE MADRE</t>
  </si>
  <si>
    <t>CORREO ELECTRONICO</t>
  </si>
  <si>
    <t>Column 81</t>
  </si>
  <si>
    <t>TELF GRABACION</t>
  </si>
  <si>
    <t>TELF REFERENCIA</t>
  </si>
  <si>
    <t>DIRECCION INSTALACION</t>
  </si>
  <si>
    <t>INGRESADAS</t>
  </si>
  <si>
    <t>PISO</t>
  </si>
  <si>
    <t>INTERIOR</t>
  </si>
  <si>
    <t>COORDENADAS</t>
  </si>
  <si>
    <t>TELF REGISTRO</t>
  </si>
  <si>
    <t>REFERENCIAS</t>
  </si>
  <si>
    <t>PLANO</t>
  </si>
  <si>
    <t>2 PLAY &gt; 600MBPS</t>
  </si>
  <si>
    <t>DEPARTAMENTO</t>
  </si>
  <si>
    <t>PROV / DISTRITO</t>
  </si>
  <si>
    <t>TECNOLOGIA</t>
  </si>
  <si>
    <t>FULL CLARO</t>
  </si>
  <si>
    <t>OPERACION</t>
  </si>
  <si>
    <t>% CONV A  INGRES0</t>
  </si>
  <si>
    <t>OPERADOR ORIGEN</t>
  </si>
  <si>
    <t>ITEM</t>
  </si>
  <si>
    <t>TELF A PORTAR</t>
  </si>
  <si>
    <t>MODALIDAD</t>
  </si>
  <si>
    <t>TIPO SERVICIO</t>
  </si>
  <si>
    <t>SERVICIO A CONTRATAR</t>
  </si>
  <si>
    <t>OFERTA COMERCIAL ALTA NUEVA</t>
  </si>
  <si>
    <t>PRECIO REGULAR</t>
  </si>
  <si>
    <t>2 PLAY TV &gt; 300MBPS</t>
  </si>
  <si>
    <t>VELOCIDAD PLAN</t>
  </si>
  <si>
    <t>LIGA1 MAX</t>
  </si>
  <si>
    <t>TELEFONO</t>
  </si>
  <si>
    <t>N° DECODIFICADORES</t>
  </si>
  <si>
    <t>N° MESH</t>
  </si>
  <si>
    <t>3 PLAY &gt; 300MBPS</t>
  </si>
  <si>
    <t>FECHA REGISTRO</t>
  </si>
  <si>
    <t>FECHA PROGRAMACION</t>
  </si>
  <si>
    <t>COD DPTO</t>
  </si>
  <si>
    <t>FECHA INSTALACIÓN</t>
  </si>
  <si>
    <t>ORDEN INSTALACION</t>
  </si>
  <si>
    <t>COD STATUS</t>
  </si>
  <si>
    <t>OTRO TV</t>
  </si>
  <si>
    <t>MES REG</t>
  </si>
  <si>
    <t>MES INSTAL</t>
  </si>
  <si>
    <t>7 - INSTALADA</t>
  </si>
  <si>
    <t>MASIVO RESIDENCIAL</t>
  </si>
  <si>
    <t>NAYELI</t>
  </si>
  <si>
    <t>CUSTOMER ID</t>
  </si>
  <si>
    <t>PROCEDE</t>
  </si>
  <si>
    <t>104715891</t>
  </si>
  <si>
    <t>5 - INSTALADA</t>
  </si>
  <si>
    <t>88485225</t>
  </si>
  <si>
    <t>JULIANA</t>
  </si>
  <si>
    <t xml:space="preserve">960791381 </t>
  </si>
  <si>
    <t>DNI</t>
  </si>
  <si>
    <t>104457724</t>
  </si>
  <si>
    <t>72187246</t>
  </si>
  <si>
    <t>88271126</t>
  </si>
  <si>
    <t>MARIA DEL CARMEN SALAZAR JUUYPA</t>
  </si>
  <si>
    <t>ROCIO</t>
  </si>
  <si>
    <t>998357850</t>
  </si>
  <si>
    <t>912817</t>
  </si>
  <si>
    <t>43729341</t>
  </si>
  <si>
    <t>HUGO HERRERA NUÑEZ</t>
  </si>
  <si>
    <t>150131</t>
  </si>
  <si>
    <t>STATE</t>
  </si>
  <si>
    <t>DPTO</t>
  </si>
  <si>
    <t>Arequipa</t>
  </si>
  <si>
    <t>Santiago de Surco</t>
  </si>
  <si>
    <t>HUGO</t>
  </si>
  <si>
    <t>MARIA</t>
  </si>
  <si>
    <t>jnunezo@hotmail.es</t>
  </si>
  <si>
    <t>VICTOR</t>
  </si>
  <si>
    <t>997351175</t>
  </si>
  <si>
    <t>GABRIELA</t>
  </si>
  <si>
    <t>SALAZARMADECA@GMAIL.COM</t>
  </si>
  <si>
    <t xml:space="preserve">ayacucho 942 santiago de surco dto 402  </t>
  </si>
  <si>
    <t>960791381</t>
  </si>
  <si>
    <t>AV. LOS BOSQUES  PASAJE LOS MANGLARES MZ CH LOTE 2, LA CAMPIÑA, SOCABAYA.</t>
  </si>
  <si>
    <t>-12.136189335877416, -76.99837869182522</t>
  </si>
  <si>
    <t>AV DOñA RAQUEL</t>
  </si>
  <si>
    <t>LMSC293-F</t>
  </si>
  <si>
    <t>-16.45931970461676, -71.52429812641768</t>
  </si>
  <si>
    <t>ESPALDA DEL COLEGIO LA CAMPIÑA</t>
  </si>
  <si>
    <t>AQSB022</t>
  </si>
  <si>
    <t>FTTH</t>
  </si>
  <si>
    <t>NO</t>
  </si>
  <si>
    <t>ALTA NUEVA</t>
  </si>
  <si>
    <t>HFC</t>
  </si>
  <si>
    <t>SI</t>
  </si>
  <si>
    <t>2 PLAY + TV ESTANDAR</t>
  </si>
  <si>
    <t>Campaña Regular</t>
  </si>
  <si>
    <t>1 PLAY</t>
  </si>
  <si>
    <t>400MBPS</t>
  </si>
  <si>
    <t>Ninguno</t>
  </si>
  <si>
    <t>PAOLA</t>
  </si>
  <si>
    <t xml:space="preserve">ENVIAR ADELANTO 26/06 </t>
  </si>
  <si>
    <t>104856405</t>
  </si>
  <si>
    <t>104449975</t>
  </si>
  <si>
    <t>88648893</t>
  </si>
  <si>
    <t>88267394</t>
  </si>
  <si>
    <t>ANNY</t>
  </si>
  <si>
    <t>989050975</t>
  </si>
  <si>
    <t>985871277</t>
  </si>
  <si>
    <t>72539720</t>
  </si>
  <si>
    <t>43252312</t>
  </si>
  <si>
    <t>AMNER CALEP PEÑA PIÑA</t>
  </si>
  <si>
    <t>SUSAN IVONNE HEREDIA CORDOVA</t>
  </si>
  <si>
    <t>110101</t>
  </si>
  <si>
    <t>210701</t>
  </si>
  <si>
    <t>San Martín de Porres</t>
  </si>
  <si>
    <t>San Martín</t>
  </si>
  <si>
    <t>EUSEBIO</t>
  </si>
  <si>
    <t>ESTALI</t>
  </si>
  <si>
    <t>amnercalep2002@gmail.com</t>
  </si>
  <si>
    <t>luis</t>
  </si>
  <si>
    <t>JR 3 DE OCTUBRE URB 9 DE ABRIL</t>
  </si>
  <si>
    <t>lucila</t>
  </si>
  <si>
    <t>Gabycina@hotmail.com</t>
  </si>
  <si>
    <t>S/I</t>
  </si>
  <si>
    <t>-6.48287703, -76.37514139</t>
  </si>
  <si>
    <t>JR 9 DE ABRIL</t>
  </si>
  <si>
    <t>SMTP025-F</t>
  </si>
  <si>
    <t>Urb.San german Jr Ávila Godoy 657</t>
  </si>
  <si>
    <t xml:space="preserve"> -12.015793, -77.071245</t>
  </si>
  <si>
    <t xml:space="preserve"> ingreso es por el jardín inicial Germancito</t>
  </si>
  <si>
    <t>LMMP233-F</t>
  </si>
  <si>
    <t>500MBPS</t>
  </si>
  <si>
    <t>Nos pidieron reasignación de esta venta</t>
  </si>
  <si>
    <t>104713524</t>
  </si>
  <si>
    <t>88484062</t>
  </si>
  <si>
    <t>927604817</t>
  </si>
  <si>
    <t xml:space="preserve">PROCEDE/ EDIFICIO HABILITADO </t>
  </si>
  <si>
    <t>02737885</t>
  </si>
  <si>
    <t>104605460</t>
  </si>
  <si>
    <t>MILAGROS INES GUERRA RIVERA</t>
  </si>
  <si>
    <t>88405389</t>
  </si>
  <si>
    <t>JESSICA</t>
  </si>
  <si>
    <t>190101</t>
  </si>
  <si>
    <t>987579907</t>
  </si>
  <si>
    <t>70350550</t>
  </si>
  <si>
    <t>CLAUDIA ISABEL GIL VIDAL</t>
  </si>
  <si>
    <t>140115</t>
  </si>
  <si>
    <t>Miraflores</t>
  </si>
  <si>
    <t>Piura</t>
  </si>
  <si>
    <t>RUBEN</t>
  </si>
  <si>
    <t>OLINDA</t>
  </si>
  <si>
    <t>Sebasgu1@hotmail.com</t>
  </si>
  <si>
    <t>FERNANDO HUMBERTO</t>
  </si>
  <si>
    <t>IRMA BETTY</t>
  </si>
  <si>
    <t>cgilvidal@gmail.com</t>
  </si>
  <si>
    <t xml:space="preserve"> AAHH. LOPEZ ALBUJAR MZ P LOTE 18, 26 DE OCTUBRE, PIURA.</t>
  </si>
  <si>
    <t>-5.199136608082209, -80.65140110426609</t>
  </si>
  <si>
    <t>PIOC002-F</t>
  </si>
  <si>
    <t>AVENIDA PASEO DE LA REPUBLICA 6373 URBANIZACION SAN ANTONIO</t>
  </si>
  <si>
    <t>-12.132422, -77.021475</t>
  </si>
  <si>
    <t>VIA EXPRESA LUIS FERNAN BEDOYA REYES</t>
  </si>
  <si>
    <t>LMMF083</t>
  </si>
  <si>
    <t>1 PLAY + L1MAX</t>
  </si>
  <si>
    <t>Campaña Regular PRO</t>
  </si>
  <si>
    <t xml:space="preserve">PROCEDE CL QUIERE PARA HOY SI O SI </t>
  </si>
  <si>
    <t>104828763</t>
  </si>
  <si>
    <t>88612463</t>
  </si>
  <si>
    <t xml:space="preserve">LLAMAR 12:30 </t>
  </si>
  <si>
    <t>104649549</t>
  </si>
  <si>
    <t>936888423</t>
  </si>
  <si>
    <t>88437602</t>
  </si>
  <si>
    <t>47139933</t>
  </si>
  <si>
    <t>915992860</t>
  </si>
  <si>
    <t>RICHARDSON LUIS CORDOVA RIVERA</t>
  </si>
  <si>
    <t>40537157</t>
  </si>
  <si>
    <t>180114</t>
  </si>
  <si>
    <t>JOHANA MEDALITH MELENDEZ CHINGA</t>
  </si>
  <si>
    <t>140101</t>
  </si>
  <si>
    <t>Chanchamayo</t>
  </si>
  <si>
    <t>Huaura</t>
  </si>
  <si>
    <t>LUIS ALBERTO</t>
  </si>
  <si>
    <t>NELLY GLADYS</t>
  </si>
  <si>
    <t>richi_cr_92@hotmail.com</t>
  </si>
  <si>
    <t>JULIO</t>
  </si>
  <si>
    <t xml:space="preserve">JR. LAS DUNAS 130 </t>
  </si>
  <si>
    <t>ELENA</t>
  </si>
  <si>
    <t xml:space="preserve"> RICHARDTJ_3@HOTMAIL.COM</t>
  </si>
  <si>
    <t>NA</t>
  </si>
  <si>
    <t>963877220</t>
  </si>
  <si>
    <t>-12.06481115, -75.22763426</t>
  </si>
  <si>
    <t>PASAJE LAS MESETAS</t>
  </si>
  <si>
    <t>JNTB067-F</t>
  </si>
  <si>
    <t xml:space="preserve">Urb Martir Jose Olaya mz g lote 12  </t>
  </si>
  <si>
    <t>-11.09480528124759, -77.62592378552375</t>
  </si>
  <si>
    <t xml:space="preserve">JR 28 OCTUBRE </t>
  </si>
  <si>
    <t>LMCQ002</t>
  </si>
  <si>
    <t>Campaña Promo Mediana</t>
  </si>
  <si>
    <t xml:space="preserve">PROCEDE </t>
  </si>
  <si>
    <t>104896460</t>
  </si>
  <si>
    <t>88673676</t>
  </si>
  <si>
    <t>INSTALADAS DEL DÍA</t>
  </si>
  <si>
    <t>954973060</t>
  </si>
  <si>
    <t>80064841</t>
  </si>
  <si>
    <t>LUIS ALBERTO DAVILA PAREDES</t>
  </si>
  <si>
    <t>SE MANDA A ANULAR SOT LOS DATOS DE DIRECCIÓN ES INCORRECTO/ CORREGIDO</t>
  </si>
  <si>
    <t>104692164</t>
  </si>
  <si>
    <t>88475969</t>
  </si>
  <si>
    <t>180101</t>
  </si>
  <si>
    <t>TECNOLOGÍA</t>
  </si>
  <si>
    <t>SAHIR</t>
  </si>
  <si>
    <t>995048683</t>
  </si>
  <si>
    <t>SERVICIOS</t>
  </si>
  <si>
    <t>43379508</t>
  </si>
  <si>
    <t>TIPO PROMO</t>
  </si>
  <si>
    <t>JULIO RAMON CHUNG GONZALES</t>
  </si>
  <si>
    <t>150121</t>
  </si>
  <si>
    <t>Huánuco</t>
  </si>
  <si>
    <t>Lince</t>
  </si>
  <si>
    <t>DIOGENES</t>
  </si>
  <si>
    <t>AMANDA</t>
  </si>
  <si>
    <t>Luisalberto22davila79@gmail.com</t>
  </si>
  <si>
    <t>AV. ANDRES FERNANDEZ GARRIDO URB. LAS GARDENIAS</t>
  </si>
  <si>
    <t>luis fernando</t>
  </si>
  <si>
    <t>-9.96498585, -76.245660663</t>
  </si>
  <si>
    <t>elvira marina</t>
  </si>
  <si>
    <t>JR. SAN FAUSTO</t>
  </si>
  <si>
    <t xml:space="preserve"> julianchungonzales@gmail.com</t>
  </si>
  <si>
    <t>HUPM008-S</t>
  </si>
  <si>
    <t>JIRON INCA GARCILASO DE LA VEGA 1874  URBANIZACION RISSO LINCE</t>
  </si>
  <si>
    <t>-12.084034, -77.040746</t>
  </si>
  <si>
    <t>av canebaro</t>
  </si>
  <si>
    <t>LMLC077-F</t>
  </si>
  <si>
    <t>2PLAY + TELF</t>
  </si>
  <si>
    <t xml:space="preserve">PAGO DE INSTALACION -  CLIENTE ADELANTA VISITA 24/06 </t>
  </si>
  <si>
    <t>104776353</t>
  </si>
  <si>
    <t>88565685</t>
  </si>
  <si>
    <t>JUAN DIEGO</t>
  </si>
  <si>
    <t>970168191</t>
  </si>
  <si>
    <t xml:space="preserve">no coincide </t>
  </si>
  <si>
    <t>47430926</t>
  </si>
  <si>
    <t>ELIZABETH CRISTINA BARRIENTOS OROSCO</t>
  </si>
  <si>
    <t>88480813</t>
  </si>
  <si>
    <t>ANGHELL</t>
  </si>
  <si>
    <t>977370315</t>
  </si>
  <si>
    <t>150133</t>
  </si>
  <si>
    <t>75081907</t>
  </si>
  <si>
    <t>MANUEL ALDAYR MONTUFAR LAIME</t>
  </si>
  <si>
    <t>07081</t>
  </si>
  <si>
    <t>Espinar</t>
  </si>
  <si>
    <t>Ate</t>
  </si>
  <si>
    <t>COD</t>
  </si>
  <si>
    <t>TIPIFICACION</t>
  </si>
  <si>
    <t>CANT</t>
  </si>
  <si>
    <t>ID</t>
  </si>
  <si>
    <t>MES</t>
  </si>
  <si>
    <t>ASESOR V</t>
  </si>
  <si>
    <t>TIPI FILTRADA</t>
  </si>
  <si>
    <t>STATUS PROGRAMADAS</t>
  </si>
  <si>
    <t>SEBASTIAN</t>
  </si>
  <si>
    <t>GLORIA</t>
  </si>
  <si>
    <t>0 - SEC ANULADA</t>
  </si>
  <si>
    <t>eduorosco3@gmail.com</t>
  </si>
  <si>
    <t>999222641</t>
  </si>
  <si>
    <t xml:space="preserve">mz g lt 06 URBANIZACIÓN  LAS PRADERAS DE PARIACHI tercera etapa </t>
  </si>
  <si>
    <t>MANUEL</t>
  </si>
  <si>
    <t>FILOMENA</t>
  </si>
  <si>
    <t>AQPFEX1@GMAIL.COM</t>
  </si>
  <si>
    <t>-12.00525274093723, -76.8413549302252</t>
  </si>
  <si>
    <t>AARON</t>
  </si>
  <si>
    <t>AV POSEIDON</t>
  </si>
  <si>
    <t>SIN INGRESAR</t>
  </si>
  <si>
    <t>LMAT142-F</t>
  </si>
  <si>
    <t>ubr huarcanto mz a1 lt 17</t>
  </si>
  <si>
    <t>2A</t>
  </si>
  <si>
    <t>ENERO</t>
  </si>
  <si>
    <t>-14.799989, -71.411517</t>
  </si>
  <si>
    <t>calle nueva baja</t>
  </si>
  <si>
    <t>CZES020-F</t>
  </si>
  <si>
    <t>0 - CHANCADA / SIN INGRESAR</t>
  </si>
  <si>
    <t>800MBPS</t>
  </si>
  <si>
    <t>KAROL</t>
  </si>
  <si>
    <t>INGRESADO</t>
  </si>
  <si>
    <t>Campaña Relámpago</t>
  </si>
  <si>
    <t>FEBRERO</t>
  </si>
  <si>
    <t>0 - SIN SEC</t>
  </si>
  <si>
    <t>MATIAS</t>
  </si>
  <si>
    <t>SUBSANABLE</t>
  </si>
  <si>
    <t>MARZO</t>
  </si>
  <si>
    <t xml:space="preserve">0 - SIN SEC - NO APLICA </t>
  </si>
  <si>
    <t>NO RECUPERABLE</t>
  </si>
  <si>
    <t>ABRIL</t>
  </si>
  <si>
    <t>0 - CON SEC</t>
  </si>
  <si>
    <t>PROGRAMADO</t>
  </si>
  <si>
    <t>MAYO</t>
  </si>
  <si>
    <t>0 - CON SEC - GRABADO</t>
  </si>
  <si>
    <t>OTRO</t>
  </si>
  <si>
    <t>INSTALADA</t>
  </si>
  <si>
    <t>JUNIO</t>
  </si>
  <si>
    <t>0 - CON SEC - NO CONTESTA</t>
  </si>
  <si>
    <t>YESSENIA</t>
  </si>
  <si>
    <t>0 - CON SEC - NO DESEA-MALA OFERTA</t>
  </si>
  <si>
    <t>AGOSTO</t>
  </si>
  <si>
    <t>0 - CON SEC - NO DESEA-GRABAR</t>
  </si>
  <si>
    <t>SEPTIEMBRE</t>
  </si>
  <si>
    <t>GABRIEL</t>
  </si>
  <si>
    <t>0 - CON SEC - PDTE CREDITOS</t>
  </si>
  <si>
    <t>OCTUBRE</t>
  </si>
  <si>
    <t>0 - CON SEC - PDTE AUTORIZACION</t>
  </si>
  <si>
    <t>NOVIEMBRE</t>
  </si>
  <si>
    <t>ANTHONELLA</t>
  </si>
  <si>
    <t>0 - CON SEC - PDTE-PAGO INSTALACION</t>
  </si>
  <si>
    <t>DICIEMBRE</t>
  </si>
  <si>
    <t>ENMANUEL</t>
  </si>
  <si>
    <t>0 -  CON SEC - SIN ING-NO CALIFICA</t>
  </si>
  <si>
    <t>BRITNEY</t>
  </si>
  <si>
    <t>0 - CON SEC - SIN ING-SIN COBERTURA</t>
  </si>
  <si>
    <t>FABRIZIO</t>
  </si>
  <si>
    <t>0 - CON SEC - SIN ING-SERVICIO ACTIVO</t>
  </si>
  <si>
    <t>LUCIA</t>
  </si>
  <si>
    <t>0 - CON SEC - PDTE HABILITAR EDIFICIO</t>
  </si>
  <si>
    <t>1 - CON SOT - EN REVISIÓN</t>
  </si>
  <si>
    <t>ALEXANDRA</t>
  </si>
  <si>
    <t>2 - CON SOT - TRANSACCIÓN N/A</t>
  </si>
  <si>
    <t>JORGE</t>
  </si>
  <si>
    <t>2 - CON SOT - AUDIO OBSERVADO</t>
  </si>
  <si>
    <t>XIOMARA.C</t>
  </si>
  <si>
    <t>2 - CANCELADA-NO CONTESTA</t>
  </si>
  <si>
    <t>M. JOSE</t>
  </si>
  <si>
    <t>2 - CANCELADA-SIN FAC TECNICAS CLIENTE</t>
  </si>
  <si>
    <t>XIOMARA.V</t>
  </si>
  <si>
    <t>2 - CANCELADA-NO DESEA</t>
  </si>
  <si>
    <t>XIOMARA.S</t>
  </si>
  <si>
    <t>2 - CANCELADA-MALA OFERTA</t>
  </si>
  <si>
    <t>LUANA</t>
  </si>
  <si>
    <t>2 - CON SOT - EN REASIGNACION</t>
  </si>
  <si>
    <t>ELIZABETH.L</t>
  </si>
  <si>
    <t>2 - CANCELADA-DIRECCION ERRADA</t>
  </si>
  <si>
    <t>RONALD</t>
  </si>
  <si>
    <t>2 - CANCELADA-PLAN ERRADO</t>
  </si>
  <si>
    <t>GABRIEL R</t>
  </si>
  <si>
    <t>2 - CANCELADA-FACTIBILIDAD TECNICA</t>
  </si>
  <si>
    <t>KEVIN</t>
  </si>
  <si>
    <t>2 - CANCELADA-ZONA PELIGROSA</t>
  </si>
  <si>
    <t xml:space="preserve">YARITZA </t>
  </si>
  <si>
    <t>2 - CANCELADA-INFRAESTRUCTURA RED</t>
  </si>
  <si>
    <t>*</t>
  </si>
  <si>
    <t>ELIZABETH MARQUEZ</t>
  </si>
  <si>
    <t>2 - CANCELADA-RED SATURADA</t>
  </si>
  <si>
    <t>PATRICKS ANDRADE</t>
  </si>
  <si>
    <t>2 - CANCELADA-SOT CON ERROR DE SISTEMA</t>
  </si>
  <si>
    <t>FABRIZZIO 2</t>
  </si>
  <si>
    <t>2 - CANCELADA-PORTA NO EFECTUADA</t>
  </si>
  <si>
    <t>OJT</t>
  </si>
  <si>
    <t>2 - CANCELADA-MUDANZA O VIAJE</t>
  </si>
  <si>
    <t>MIGUEL.A</t>
  </si>
  <si>
    <t>2 - CANCELADA-RECUPERADO</t>
  </si>
  <si>
    <t>BRANDON</t>
  </si>
  <si>
    <t>2 - CANCELADA-EXCEDE METRAJE</t>
  </si>
  <si>
    <t>3 - CANCELADA-SIN FACILIDADES TECNICAS</t>
  </si>
  <si>
    <t>3 - CANCELADA-CARRUSEL</t>
  </si>
  <si>
    <t>3 - CON SOT - DUPLICADO</t>
  </si>
  <si>
    <t>3 - CANCELADA-SIN FACILIDADES CLIENTE</t>
  </si>
  <si>
    <t>3 - POSIBLE FRAUDE</t>
  </si>
  <si>
    <t>3 - BLACKLIST OPERADOR</t>
  </si>
  <si>
    <t>PROCEDE ERROR EN DIRECCION</t>
  </si>
  <si>
    <t>104714476</t>
  </si>
  <si>
    <t>3 - BLACKLIST ESTAFADOR</t>
  </si>
  <si>
    <t>88484483</t>
  </si>
  <si>
    <t>4 - PROG-EJECUCION</t>
  </si>
  <si>
    <t>937542448</t>
  </si>
  <si>
    <t>74602108</t>
  </si>
  <si>
    <t>BRYAN ALFREDO MOREANO OBANDO</t>
  </si>
  <si>
    <t>4 - PROG-EN CAMINO</t>
  </si>
  <si>
    <t>4 - PROG-INICIADA</t>
  </si>
  <si>
    <t>070103</t>
  </si>
  <si>
    <t>4 - PROG-SIN CD</t>
  </si>
  <si>
    <t>4 - PROG-TEC EN CASA</t>
  </si>
  <si>
    <t>4 - PROG-REPROGRAMADA</t>
  </si>
  <si>
    <t>4 - PROG-TARDANZA TECNICA</t>
  </si>
  <si>
    <t>4 - PROG-RECUPERADO</t>
  </si>
  <si>
    <t>La Victoria</t>
  </si>
  <si>
    <t>ALFREDO</t>
  </si>
  <si>
    <t>MARITA</t>
  </si>
  <si>
    <t>bmoreanoo@gmail.com</t>
  </si>
  <si>
    <t>Jr. Carlos Gutiérrez Noriega 480</t>
  </si>
  <si>
    <t>-12.07782297,-77.01624108</t>
  </si>
  <si>
    <t>JR CARLOS LOPEZ ALDANA</t>
  </si>
  <si>
    <t>LMLV009-S</t>
  </si>
  <si>
    <t>INTERNET 500MB PRO</t>
  </si>
  <si>
    <t>93.22</t>
  </si>
  <si>
    <t>400 MB TELEFONIA 5000 (JUN 25-I)</t>
  </si>
  <si>
    <t>79.66</t>
  </si>
  <si>
    <t xml:space="preserve">PROCEDE  AXB </t>
  </si>
  <si>
    <t>104742955</t>
  </si>
  <si>
    <t>88519977</t>
  </si>
  <si>
    <t>935195970</t>
  </si>
  <si>
    <t>42520693</t>
  </si>
  <si>
    <t>MARCO ANTONIO JAMANCA ESPINOZA</t>
  </si>
  <si>
    <t>020101</t>
  </si>
  <si>
    <t>Huaraz</t>
  </si>
  <si>
    <t xml:space="preserve">PROCEDE, EDIFICIO HABILITADO </t>
  </si>
  <si>
    <t>INTERNET 400MB (JUN 25)</t>
  </si>
  <si>
    <t>104780309</t>
  </si>
  <si>
    <t>75.42</t>
  </si>
  <si>
    <t>88566260</t>
  </si>
  <si>
    <t>968906150</t>
  </si>
  <si>
    <t>48294663</t>
  </si>
  <si>
    <t>KEVIN JUSTIN GUERRA LÓPEZ</t>
  </si>
  <si>
    <t>150117</t>
  </si>
  <si>
    <t>INTERNET 400MB (JUN 25-I)</t>
  </si>
  <si>
    <t>DIONICIO</t>
  </si>
  <si>
    <t>EUGENIA MARCELA</t>
  </si>
  <si>
    <t>Marcojmanca@gmail.com</t>
  </si>
  <si>
    <t>INTERNET 500MB PRO-I</t>
  </si>
  <si>
    <t>PS. SANTO DOMINGO 120</t>
  </si>
  <si>
    <t>-9.508119659146413, -77.5320333439741</t>
  </si>
  <si>
    <t>Surquillo</t>
  </si>
  <si>
    <t>JIRON INDUSTRIAL</t>
  </si>
  <si>
    <t>HZIN044-F</t>
  </si>
  <si>
    <t>INTERNET 800MB (ENE 25-I)</t>
  </si>
  <si>
    <t>84.74</t>
  </si>
  <si>
    <t>OSCAR</t>
  </si>
  <si>
    <t>MAXIMINA</t>
  </si>
  <si>
    <t>kevin.04.gl@gmail.com</t>
  </si>
  <si>
    <t>72000616</t>
  </si>
  <si>
    <t>KARELIA BEATRIZ GAVILAN PURILLA</t>
  </si>
  <si>
    <t>Av. Principal 915 Surquillo  Edificio: VITTORIE</t>
  </si>
  <si>
    <t>-12.119644, -77.00413</t>
  </si>
  <si>
    <t xml:space="preserve">av principal </t>
  </si>
  <si>
    <t>LMSQ089-S</t>
  </si>
  <si>
    <t>06063811</t>
  </si>
  <si>
    <t>PALOMINO LEON ALEJANDRO ENRIQUE</t>
  </si>
  <si>
    <t>42863482</t>
  </si>
  <si>
    <t>BLAS ZUÑIGA MARCO ANTONIO</t>
  </si>
  <si>
    <t>400 MB CLARO TV ESTANDAR PRO (ENE 25-I)</t>
  </si>
  <si>
    <t>144.06</t>
  </si>
  <si>
    <t>KEVIN JUSTIN GUERRA LOPEZ</t>
  </si>
  <si>
    <t>45346787</t>
  </si>
  <si>
    <t>LEWIS RICHARD CORDOVA HUAMAN</t>
  </si>
  <si>
    <t>400 MB CLARO TV ESTANDAR PRO (ENE 25)</t>
  </si>
  <si>
    <t>75454838</t>
  </si>
  <si>
    <t>ROCIO LESLY FIGUEROA RODRIGUEZ</t>
  </si>
  <si>
    <t xml:space="preserve">CONFIRMA VISITA </t>
  </si>
  <si>
    <t>104805604</t>
  </si>
  <si>
    <t>88589466</t>
  </si>
  <si>
    <t>944551713</t>
  </si>
  <si>
    <t>40494768</t>
  </si>
  <si>
    <t>TEODORO SAICO SUCLLE</t>
  </si>
  <si>
    <t>MARCO ANTONIO BLAS ZUÑIGA</t>
  </si>
  <si>
    <t>150113</t>
  </si>
  <si>
    <t>10811695</t>
  </si>
  <si>
    <t>JENNY PAOLI ROJAS BENITO</t>
  </si>
  <si>
    <t>75416717</t>
  </si>
  <si>
    <t>CRISTEL NICOLT LOPEZ ESPADA</t>
  </si>
  <si>
    <t>INTERNET 200MB  (JUN 25-I)</t>
  </si>
  <si>
    <t>58.47</t>
  </si>
  <si>
    <t>San Juan de Miraflores</t>
  </si>
  <si>
    <t xml:space="preserve">MANUEL </t>
  </si>
  <si>
    <t xml:space="preserve">BLANCA </t>
  </si>
  <si>
    <t>marcoantonioblaszuniga@gmail.com</t>
  </si>
  <si>
    <t>32221145</t>
  </si>
  <si>
    <t>RUSBEL MANUEL OQUEÑA PASTOR</t>
  </si>
  <si>
    <t>944 551 713</t>
  </si>
  <si>
    <t>Mz 90 lt 12 URB LOS BRILLANTES SAN JUAN DE MIRAFLORES LIMA</t>
  </si>
  <si>
    <t xml:space="preserve"> -12.144510048064456, -76.96690070477077</t>
  </si>
  <si>
    <t xml:space="preserve">AVENIDA CENTRAL CON PASAJE SANTA ROSA </t>
  </si>
  <si>
    <t>LMJR114-F</t>
  </si>
  <si>
    <t>104793755</t>
  </si>
  <si>
    <t>88574820</t>
  </si>
  <si>
    <t>959579554</t>
  </si>
  <si>
    <t>47883104</t>
  </si>
  <si>
    <t>MINES BALTIERREZ FLOR STEFANY</t>
  </si>
  <si>
    <t>76586680</t>
  </si>
  <si>
    <t>ERICK ABRAHAM HIGINIO SOTELO</t>
  </si>
  <si>
    <t>Ica</t>
  </si>
  <si>
    <t>08450266</t>
  </si>
  <si>
    <t>NORMA MONICA PACHECO AGUILAR</t>
  </si>
  <si>
    <t>200 MB CLARO TV ESTANDAR PRO 5000 (JUN 25-I)</t>
  </si>
  <si>
    <t>131.36</t>
  </si>
  <si>
    <t>Javier</t>
  </si>
  <si>
    <t>Nancy</t>
  </si>
  <si>
    <t>20083833</t>
  </si>
  <si>
    <t>ROBERTH SALAS JORGE</t>
  </si>
  <si>
    <t xml:space="preserve">kareliagp.gp@gmail.com </t>
  </si>
  <si>
    <t>186.44</t>
  </si>
  <si>
    <t>Av pachacutec yupanqui 986 parcona , ica , ica</t>
  </si>
  <si>
    <t>-14.04519699, -75.70771398</t>
  </si>
  <si>
    <t>CADIMOTORS/MOTO REPUESTOS Y TALLER</t>
  </si>
  <si>
    <t>ICPN008</t>
  </si>
  <si>
    <t>41841147</t>
  </si>
  <si>
    <t>JACKSON ALEJANDRO PRINCIPE DE LA CRUZ</t>
  </si>
  <si>
    <t>40152975</t>
  </si>
  <si>
    <t>GARRO HUERTAS GROWER HONORATO</t>
  </si>
  <si>
    <t>PROCEDE SE ENVIA ADELANTO 26/06</t>
  </si>
  <si>
    <t>104842396</t>
  </si>
  <si>
    <t>88622310</t>
  </si>
  <si>
    <t>959466891</t>
  </si>
  <si>
    <t>78717821</t>
  </si>
  <si>
    <t>ADRIANA MARIA NATALIA RIVAS GRIMALDO</t>
  </si>
  <si>
    <t>150101</t>
  </si>
  <si>
    <t>72679082</t>
  </si>
  <si>
    <t>DANIEL OCTAVIO LUDEÑA ROJAS</t>
  </si>
  <si>
    <t>Callao</t>
  </si>
  <si>
    <t>42138364</t>
  </si>
  <si>
    <t>MIRIAM GARDENIA CHAVEZ ZAVALETA</t>
  </si>
  <si>
    <t>400 MB TELEFONIA 5000 (JUN 25)</t>
  </si>
  <si>
    <t>CONFIRMA VISITA /Rechazado por mala oferta - Campo - SE MANDO A LEVANTAR LA SOT</t>
  </si>
  <si>
    <t>104610174</t>
  </si>
  <si>
    <t>88407642</t>
  </si>
  <si>
    <t>16625471</t>
  </si>
  <si>
    <t>ADRIAN PAICO CHUCAS</t>
  </si>
  <si>
    <t>993793126</t>
  </si>
  <si>
    <t xml:space="preserve">TEODOSIO </t>
  </si>
  <si>
    <t>BETTY</t>
  </si>
  <si>
    <t>figeroa.air23@gmail.com</t>
  </si>
  <si>
    <t>ALEJANDRO ENRIQUE PALOMINO LEON</t>
  </si>
  <si>
    <t>976269839</t>
  </si>
  <si>
    <t>Albino Herrera 2da Etp. Mz.B1 Lt.20 - Callao</t>
  </si>
  <si>
    <t>70513122</t>
  </si>
  <si>
    <t>LOURDES LILIANA IBANEZ ARQUEROS</t>
  </si>
  <si>
    <t xml:space="preserve">SIN </t>
  </si>
  <si>
    <t>-12.010193, -77.095981</t>
  </si>
  <si>
    <t xml:space="preserve">AV LOS DOMINICOS </t>
  </si>
  <si>
    <t>LMCA009-S</t>
  </si>
  <si>
    <t>09989234</t>
  </si>
  <si>
    <t>GALLARDO ESTELA DINO IVAN</t>
  </si>
  <si>
    <t>Rimac</t>
  </si>
  <si>
    <t>ADALBERTO</t>
  </si>
  <si>
    <t>26961099</t>
  </si>
  <si>
    <t>CESAR WILMAN SALAZAR GAMBOA</t>
  </si>
  <si>
    <t>OLGA</t>
  </si>
  <si>
    <t>abogadopalomino@hotmail.com</t>
  </si>
  <si>
    <t>PASAJE CENTRAL 123</t>
  </si>
  <si>
    <t>-12.030148683042182, -77.04209244735932</t>
  </si>
  <si>
    <t>NEGOCIOS Y SERVICIOS D. ALCANTARA</t>
  </si>
  <si>
    <t>06430190</t>
  </si>
  <si>
    <t>LMRC044-F</t>
  </si>
  <si>
    <t>CESAR AUGUSTO ALARCON FARFAN</t>
  </si>
  <si>
    <t>72118081</t>
  </si>
  <si>
    <t>ESTHER JHAJANDRA SANTIAGO HUANCA</t>
  </si>
  <si>
    <t>29676009</t>
  </si>
  <si>
    <t>YESENIA TERESA CASTRO NINACONDOR</t>
  </si>
  <si>
    <t>104878027</t>
  </si>
  <si>
    <t>88663022</t>
  </si>
  <si>
    <t>946215729</t>
  </si>
  <si>
    <t>42246169</t>
  </si>
  <si>
    <t>ALVARO HERNANDEZ ROJAS</t>
  </si>
  <si>
    <t>140501</t>
  </si>
  <si>
    <t>43268116</t>
  </si>
  <si>
    <t>CARMEN DEL ROSARIO ARISPE PINELO</t>
  </si>
  <si>
    <t>70478746</t>
  </si>
  <si>
    <t>LUIS UDWALKER PALACIOS QUISPE</t>
  </si>
  <si>
    <t>45622906</t>
  </si>
  <si>
    <t>FABIOLA ISABEL PEREZ IBARRA</t>
  </si>
  <si>
    <t>HILMER</t>
  </si>
  <si>
    <t>Crisle.0506@gmail.com</t>
  </si>
  <si>
    <t>29384671</t>
  </si>
  <si>
    <t>ROSA ALBINA LLUNCO PAMPA</t>
  </si>
  <si>
    <t xml:space="preserve">FRANSISCO ROSAS 346 </t>
  </si>
  <si>
    <t>-11.104527221283575,  -77.60735781101647</t>
  </si>
  <si>
    <t>AL COSTADO DE FERRETERIA NANCY</t>
  </si>
  <si>
    <t>LMHU018-S</t>
  </si>
  <si>
    <t>40534288</t>
  </si>
  <si>
    <t>ROXANA CRISTINA FARFAN AYCHO</t>
  </si>
  <si>
    <t>200MBPS</t>
  </si>
  <si>
    <t>73491323</t>
  </si>
  <si>
    <t>YANCE SANCHEZ DE BECERRA ROXANA DEL PILAR</t>
  </si>
  <si>
    <t>63081704</t>
  </si>
  <si>
    <t>JHON RENATO CALDERON ARIAS</t>
  </si>
  <si>
    <t>48046824</t>
  </si>
  <si>
    <t>BEYKER VIERA ARIZA</t>
  </si>
  <si>
    <t>29625180</t>
  </si>
  <si>
    <t>ROSA CANDELARIA GOMEZ GONZALES</t>
  </si>
  <si>
    <t>INTERNET 150MB (AGO 25)</t>
  </si>
  <si>
    <t>37.29</t>
  </si>
  <si>
    <t>75886168</t>
  </si>
  <si>
    <t>CESAR GIOVANY VARGAS DAVILA</t>
  </si>
  <si>
    <t>PROCEDE FULL CLARO</t>
  </si>
  <si>
    <t>104645330</t>
  </si>
  <si>
    <t>88434668</t>
  </si>
  <si>
    <t>46684565</t>
  </si>
  <si>
    <t>OLGA HUAQUISTO MAMANI</t>
  </si>
  <si>
    <t>200 MB CLARO TV ESTANDAR PRO (JUN 25-I)</t>
  </si>
  <si>
    <t>127.11</t>
  </si>
  <si>
    <t>952589629</t>
  </si>
  <si>
    <t>JENNY PAOLY ROJAS BENITO</t>
  </si>
  <si>
    <t>140125</t>
  </si>
  <si>
    <t>48124956</t>
  </si>
  <si>
    <t>VICTOR HUGO VILLALOBOS CAHUANA</t>
  </si>
  <si>
    <t>21856352</t>
  </si>
  <si>
    <t>CHAVEZ HILARIO VDA DE O</t>
  </si>
  <si>
    <t>73125163</t>
  </si>
  <si>
    <t>BRENDA ARACELLI ALBAN ARGOMEDO</t>
  </si>
  <si>
    <t>GUSTAVO</t>
  </si>
  <si>
    <t>MARGARITA</t>
  </si>
  <si>
    <t>jainy31@hotmail.com</t>
  </si>
  <si>
    <t>10098848938</t>
  </si>
  <si>
    <t>ORE VEGA AMOS ALEX</t>
  </si>
  <si>
    <t>953735960</t>
  </si>
  <si>
    <t>ASENTAMIENTO HUMANO LOS VIÑEDOS DE SURCO MZ H LT 35</t>
  </si>
  <si>
    <t>-12.162537454 -76.9885167909999</t>
  </si>
  <si>
    <t xml:space="preserve"> Losa deportiva Los viñedos</t>
  </si>
  <si>
    <t>LMSC325-F</t>
  </si>
  <si>
    <t>72954426</t>
  </si>
  <si>
    <t>ANGEL FERNANDO GALDOS ROBLES</t>
  </si>
  <si>
    <t>26715869</t>
  </si>
  <si>
    <t>JORGE VICTOR FERNANDEZ MENDOZA</t>
  </si>
  <si>
    <t>74244514</t>
  </si>
  <si>
    <t>FLAVIO ALEXANDRO PEREZ HAYA</t>
  </si>
  <si>
    <t>01220019</t>
  </si>
  <si>
    <t>HECTOR EDDY CALUMANI BLANCO</t>
  </si>
  <si>
    <t>15668313</t>
  </si>
  <si>
    <t>CERNA DE LAZARO ESTHER ESPERANZA</t>
  </si>
  <si>
    <t>10448599839</t>
  </si>
  <si>
    <t>DIAZ VIVIANO ARTURO JESUS</t>
  </si>
  <si>
    <t>800MB CLARO TV SUPERIOR PRO (VSB) (OCT 25-I)</t>
  </si>
  <si>
    <t>190.67</t>
  </si>
  <si>
    <t>70990526</t>
  </si>
  <si>
    <t>BRIDGUITH DENNIS VALVERDE DAVILA</t>
  </si>
  <si>
    <t>72746067</t>
  </si>
  <si>
    <t>HARIANI SANCHEZ OBANDO</t>
  </si>
  <si>
    <t>29622989</t>
  </si>
  <si>
    <t>TORIBIO HUARACCALLO JIHUALLANCA</t>
  </si>
  <si>
    <t>70656574</t>
  </si>
  <si>
    <t>BELINDA SIME QUISPE</t>
  </si>
  <si>
    <t>72022060</t>
  </si>
  <si>
    <t>LARIZA THANIA FIGUEROA HUIRSE</t>
  </si>
  <si>
    <t>61168732</t>
  </si>
  <si>
    <t>FAVIO ANDRE CHAVEZ HUANCA</t>
  </si>
  <si>
    <t>47357784</t>
  </si>
  <si>
    <t>NATHALY KATHERIN TRUJILLO JARA</t>
  </si>
  <si>
    <t>00508805</t>
  </si>
  <si>
    <t>MARCO ANTONIO OCHOA AQUINO</t>
  </si>
  <si>
    <t>74164932</t>
  </si>
  <si>
    <t>FABRICIO DANIEL LLACUACHAQUI CASTAÑEDA</t>
  </si>
  <si>
    <t>CL CONFIRMA VISITA</t>
  </si>
  <si>
    <t>104849431</t>
  </si>
  <si>
    <t>88626343</t>
  </si>
  <si>
    <t>974629301</t>
  </si>
  <si>
    <t>061102</t>
  </si>
  <si>
    <t>Comas</t>
  </si>
  <si>
    <t>HECTOR</t>
  </si>
  <si>
    <t>ERNESTINA</t>
  </si>
  <si>
    <t>lrcordovah88@gmail.com</t>
  </si>
  <si>
    <t>AV MICAELA BASTIDAS Mz G Lt - BLOCK 6 ( AV. MICAELA BASTIDAS S/N BLOCK 06 - TORRE A ETAPA 7 MZ. G ) Edificio: VISTA SOL - SOL DE COLLIQUE - TORRE A - BLOCK 06</t>
  </si>
  <si>
    <t>-11.927046, -77.059691</t>
  </si>
  <si>
    <t>AV. LOS CHASQUIS</t>
  </si>
  <si>
    <t>LMCO181</t>
  </si>
  <si>
    <t>CL QUIERE INSTALACION PARA EL LUNES</t>
  </si>
  <si>
    <t>104872550</t>
  </si>
  <si>
    <t>88659360</t>
  </si>
  <si>
    <t>959385387</t>
  </si>
  <si>
    <t>070801</t>
  </si>
  <si>
    <t>NOLASCO</t>
  </si>
  <si>
    <t>PAULINA</t>
  </si>
  <si>
    <t>Teosaico@hotmail.com</t>
  </si>
  <si>
    <t>CALLE CAHUIDE 315 URB. LA LIBERTAD</t>
  </si>
  <si>
    <t>-16.37709499, -71.56237894</t>
  </si>
  <si>
    <t>CALLE MIGUEL GRAU</t>
  </si>
  <si>
    <t>AQCC004-S</t>
  </si>
  <si>
    <t>104909457</t>
  </si>
  <si>
    <t>88679217</t>
  </si>
  <si>
    <t>997867217</t>
  </si>
  <si>
    <t>NORMA MONICA, PACHECHO AGUILAR</t>
  </si>
  <si>
    <t>080101</t>
  </si>
  <si>
    <t>CARLOS</t>
  </si>
  <si>
    <t>ANA</t>
  </si>
  <si>
    <t xml:space="preserve"> monikapachecho840@gmail.com</t>
  </si>
  <si>
    <t>AV UNIVERSITARIA 621 URB SEÑOR DE CONDEVILLA</t>
  </si>
  <si>
    <t>-12.020495, -77.075867</t>
  </si>
  <si>
    <t>JR LAS AMERICAS</t>
  </si>
  <si>
    <t>LMMP059-S</t>
  </si>
  <si>
    <t xml:space="preserve">PROCEDE   </t>
  </si>
  <si>
    <t>104901334</t>
  </si>
  <si>
    <t>88675788</t>
  </si>
  <si>
    <t>998420484</t>
  </si>
  <si>
    <t>3 PLAY + TV ESTANDAR</t>
  </si>
  <si>
    <t>020601</t>
  </si>
  <si>
    <t>HISABEL</t>
  </si>
  <si>
    <t>roquenap@gmail.com</t>
  </si>
  <si>
    <t>CALLE JOSE BERNARDO ALCEDO 370 URB. COLLIQUE</t>
  </si>
  <si>
    <t>-11.91581521571454, -77.02561845492386</t>
  </si>
  <si>
    <t>CALLE CHICLAYO</t>
  </si>
  <si>
    <t>LMCO226-F</t>
  </si>
  <si>
    <t xml:space="preserve">INSTALACION A MEDIAS - RESERVA TERMINARAN EL 28/06 POR DECOS, CONFIRMADO CON CLIENTE. </t>
  </si>
  <si>
    <t>104867348</t>
  </si>
  <si>
    <t>88655700</t>
  </si>
  <si>
    <t>978345537</t>
  </si>
  <si>
    <t>150128</t>
  </si>
  <si>
    <t>ABRAHAM</t>
  </si>
  <si>
    <t>LUZ</t>
  </si>
  <si>
    <t>ERICK_1199@HOTMAIL.COM</t>
  </si>
  <si>
    <t>978 345 537</t>
  </si>
  <si>
    <t>DIRECCION: MZ G2 LOTE 30 URB. EL ALAMO 2DA ETAPA, COMAS.</t>
  </si>
  <si>
    <t>-11.924353, -77.063183</t>
  </si>
  <si>
    <t>AV. MICAELA CON AV. TRAPICHE.</t>
  </si>
  <si>
    <t>LMCO023</t>
  </si>
  <si>
    <t xml:space="preserve">PENDIENTE CULMINAR INSTALACION A LAS 3PM </t>
  </si>
  <si>
    <t>104850593</t>
  </si>
  <si>
    <t>88626803</t>
  </si>
  <si>
    <t>923619505</t>
  </si>
  <si>
    <t>MINES BALTIERREZ, FLOR STEFANY</t>
  </si>
  <si>
    <t>Carabayllo</t>
  </si>
  <si>
    <t>RAFAEL</t>
  </si>
  <si>
    <t>FLOR</t>
  </si>
  <si>
    <t>stefmines2@gmail.com</t>
  </si>
  <si>
    <t xml:space="preserve"> JIRON 9 DE OCTUBRE 501 CARABAYLLO</t>
  </si>
  <si>
    <t>-11.886848358,-77.020306622</t>
  </si>
  <si>
    <t>A 1 CDRA DE HABLA BROSTER</t>
  </si>
  <si>
    <t>LMBY014-S</t>
  </si>
  <si>
    <t xml:space="preserve">direccion incompleta en sistema </t>
  </si>
  <si>
    <t>104908032</t>
  </si>
  <si>
    <t>88679843</t>
  </si>
  <si>
    <t>931807375</t>
  </si>
  <si>
    <t>080311</t>
  </si>
  <si>
    <t>Huancayo</t>
  </si>
  <si>
    <t xml:space="preserve">HERMINIO </t>
  </si>
  <si>
    <t>DELIA</t>
  </si>
  <si>
    <t>sajo0707@hotmail.com</t>
  </si>
  <si>
    <t>PASAJE JESÚS MARÍA 00 OSEA S/N</t>
  </si>
  <si>
    <t>-12.05561432456769, -75.19688191632616</t>
  </si>
  <si>
    <t>OLAYA, PUENTE, RIACHUELO</t>
  </si>
  <si>
    <t>JNHY023-F</t>
  </si>
  <si>
    <t xml:space="preserve">PROCEDE EN HFC </t>
  </si>
  <si>
    <t>104984180</t>
  </si>
  <si>
    <t>88773507</t>
  </si>
  <si>
    <t>912327595</t>
  </si>
  <si>
    <t>06</t>
  </si>
  <si>
    <t>TERMOPILO</t>
  </si>
  <si>
    <t>AURELIA</t>
  </si>
  <si>
    <t>chacezzavaletamiriangardenia@gmail.com</t>
  </si>
  <si>
    <t>av lima 358</t>
  </si>
  <si>
    <t>-11.9043606,-77.04013908</t>
  </si>
  <si>
    <t>parque Manhatan</t>
  </si>
  <si>
    <t>LMCO047</t>
  </si>
  <si>
    <t xml:space="preserve">EN EJECUCION </t>
  </si>
  <si>
    <t>104848535</t>
  </si>
  <si>
    <t>88625537</t>
  </si>
  <si>
    <t>955847780</t>
  </si>
  <si>
    <t>GROWER HONORATO GARRO HUERTAS</t>
  </si>
  <si>
    <t>020509</t>
  </si>
  <si>
    <t>Los Olivos</t>
  </si>
  <si>
    <t>Fernando</t>
  </si>
  <si>
    <t>Jacoba</t>
  </si>
  <si>
    <t>growergarrohuertas@gmail.com</t>
  </si>
  <si>
    <t xml:space="preserve"> 955 847 780</t>
  </si>
  <si>
    <t>calle las gardenias mz c lt10</t>
  </si>
  <si>
    <t>-11.944502 , -77.073282</t>
  </si>
  <si>
    <t>URBANIZACIÓN LAS GARDENIAS DE PRO</t>
  </si>
  <si>
    <t>LMLO101</t>
  </si>
  <si>
    <t>105002855</t>
  </si>
  <si>
    <t>88788798</t>
  </si>
  <si>
    <t>920604149</t>
  </si>
  <si>
    <t>130202</t>
  </si>
  <si>
    <t>Chiclayo</t>
  </si>
  <si>
    <t>GENARO</t>
  </si>
  <si>
    <t>ISIDORA</t>
  </si>
  <si>
    <t>mv_henrypaico@hotmail.com</t>
  </si>
  <si>
    <t>AV. VENEZUELA 160 URB. URRUNAGA</t>
  </si>
  <si>
    <t>-6.75555372, -79.83194353</t>
  </si>
  <si>
    <t>AV. MEXICO</t>
  </si>
  <si>
    <t>LBLO007-F</t>
  </si>
  <si>
    <t xml:space="preserve">TIENE SEC CREADA DE AYER 29/06 POR TIENDA VIRTUAL </t>
  </si>
  <si>
    <t>104965766</t>
  </si>
  <si>
    <t>88724375</t>
  </si>
  <si>
    <t>961883833</t>
  </si>
  <si>
    <t>200000</t>
  </si>
  <si>
    <t xml:space="preserve">ABEL </t>
  </si>
  <si>
    <t xml:space="preserve">MARI </t>
  </si>
  <si>
    <t xml:space="preserve">dolr2691@gmail.com  </t>
  </si>
  <si>
    <t>urb. FELIPE COSSIO DEL POMAR mz z3 lt 10</t>
  </si>
  <si>
    <t>nd</t>
  </si>
  <si>
    <t>-5.183216211245893 -80.59044531819954</t>
  </si>
  <si>
    <t>referencia altura ferretería Jeova mi pastor  espaldas</t>
  </si>
  <si>
    <t>104963507</t>
  </si>
  <si>
    <t>88721861</t>
  </si>
  <si>
    <t>904383310</t>
  </si>
  <si>
    <t>5 - CTO - EXCEDE METRAJE</t>
  </si>
  <si>
    <t xml:space="preserve">SE ENVIA CORREO PARA VALIDAR COBERTURA. SI SE PUEDE JALAR </t>
  </si>
  <si>
    <t>150135</t>
  </si>
  <si>
    <t>104679491</t>
  </si>
  <si>
    <t>88466519</t>
  </si>
  <si>
    <t>957120462</t>
  </si>
  <si>
    <t>71493074</t>
  </si>
  <si>
    <t>ALIS MERCEDES FLORES</t>
  </si>
  <si>
    <t>130901</t>
  </si>
  <si>
    <t>MIGUEL</t>
  </si>
  <si>
    <t>NATALIA</t>
  </si>
  <si>
    <t>eithanmibebe63@gmail.com</t>
  </si>
  <si>
    <t>Sánchez Carrión</t>
  </si>
  <si>
    <t>Jirón Alberto Bartón 310</t>
  </si>
  <si>
    <t>ND</t>
  </si>
  <si>
    <t>-12.023854272942264 -77.07918538474682</t>
  </si>
  <si>
    <t xml:space="preserve">JR. THOMAS COCHRANE </t>
  </si>
  <si>
    <t xml:space="preserve">AGUSTIN </t>
  </si>
  <si>
    <t xml:space="preserve">VENANCIA </t>
  </si>
  <si>
    <t xml:space="preserve">alismercedesflores@gmail.com  </t>
  </si>
  <si>
    <t>JR ALFONZO HUGARTE 131 HUAMACHUCO</t>
  </si>
  <si>
    <t>CASA</t>
  </si>
  <si>
    <t>-7.812432448, -78.050758315</t>
  </si>
  <si>
    <t>CRUCE CON JR TAFUR</t>
  </si>
  <si>
    <t>LLHM003-F</t>
  </si>
  <si>
    <t xml:space="preserve">SE ENVIO RESCATE COMERCIAL 01/07 </t>
  </si>
  <si>
    <t>104886907</t>
  </si>
  <si>
    <t>88670638</t>
  </si>
  <si>
    <t>980808162</t>
  </si>
  <si>
    <t>Rechazado Por Falta De Infraestructura De Red - Campo</t>
  </si>
  <si>
    <t>104904353</t>
  </si>
  <si>
    <t>88676944</t>
  </si>
  <si>
    <t>929113007</t>
  </si>
  <si>
    <t>DINO IVAN GALLARDO ESTELA</t>
  </si>
  <si>
    <t>76186707</t>
  </si>
  <si>
    <t>MEDALYT ROCIO COAQUERA PONGO</t>
  </si>
  <si>
    <t>150804</t>
  </si>
  <si>
    <t>220201</t>
  </si>
  <si>
    <t>Tacna</t>
  </si>
  <si>
    <t>TEODORO</t>
  </si>
  <si>
    <t>IRMA</t>
  </si>
  <si>
    <t>DF0889538@GMAIL.COM</t>
  </si>
  <si>
    <t>URB. EL CHOLOLO MZ A2 LOTE 3, TACNA CERCADO.</t>
  </si>
  <si>
    <t>-18.022236, -70.27216687</t>
  </si>
  <si>
    <t>POR LA AV. ZARUMILLA</t>
  </si>
  <si>
    <t>TCNA147-F</t>
  </si>
  <si>
    <t>SANTIAGO</t>
  </si>
  <si>
    <t>CELINA</t>
  </si>
  <si>
    <t>gallardoandres089@gmail.com</t>
  </si>
  <si>
    <t>930860834</t>
  </si>
  <si>
    <t>1000MBPS</t>
  </si>
  <si>
    <t>948294957</t>
  </si>
  <si>
    <t>URBANIZACIÒN LOS OLIVOS DE PRO mz s2 lt 3</t>
  </si>
  <si>
    <t>-11.947674165824195, -77.08054264511327</t>
  </si>
  <si>
    <t>av betancourt</t>
  </si>
  <si>
    <t>LMLO099-S</t>
  </si>
  <si>
    <t>5 - BAJA-NO DESEA</t>
  </si>
  <si>
    <t xml:space="preserve">CLIENTE QUERIA SU INSTALACION PARA ESE MISMO DIA, SI O SI, NO DESEA REPROGRAMACION </t>
  </si>
  <si>
    <t>104737775</t>
  </si>
  <si>
    <t>88515175</t>
  </si>
  <si>
    <t>917707080</t>
  </si>
  <si>
    <t>70090949</t>
  </si>
  <si>
    <t>KRISTIAN COLLANQUI FLORES</t>
  </si>
  <si>
    <t>200604</t>
  </si>
  <si>
    <t>San Román</t>
  </si>
  <si>
    <t>PASCUAL MARCIAL</t>
  </si>
  <si>
    <t>LEONCIA</t>
  </si>
  <si>
    <t>kristiancollanqui2705@gmail.com</t>
  </si>
  <si>
    <t>104974476</t>
  </si>
  <si>
    <t>88740283</t>
  </si>
  <si>
    <t>949588974</t>
  </si>
  <si>
    <t>-15.466703, -70.143151</t>
  </si>
  <si>
    <t>JIRON COPACABANA</t>
  </si>
  <si>
    <t>PUJL123-F</t>
  </si>
  <si>
    <t>ESTHER JHAJANDRA, SANTIAGO HUANCA</t>
  </si>
  <si>
    <t>100101</t>
  </si>
  <si>
    <t>FAUSTINO</t>
  </si>
  <si>
    <t>NILDA</t>
  </si>
  <si>
    <t>jhajandrasantiagohuanca@gmail.com</t>
  </si>
  <si>
    <t>AV UNIVERSITARIA 2076</t>
  </si>
  <si>
    <t>-9.961946198761577, -76.24575559893029</t>
  </si>
  <si>
    <t>Referencia el colegio Juan Velasco Alvarado</t>
  </si>
  <si>
    <t>HUPM010-S</t>
  </si>
  <si>
    <t xml:space="preserve">VENTA ANTIGUO, CLIENTE RECIBIO PROMOCION DE CLARO SOBRE SU INSTALACION ACTUAL, DECIDE QUEDARSE CON ELLOS. </t>
  </si>
  <si>
    <t>104642463</t>
  </si>
  <si>
    <t>88433432</t>
  </si>
  <si>
    <t>945547763</t>
  </si>
  <si>
    <t>21122076</t>
  </si>
  <si>
    <t>RAUL DIEGO YARASCA MANDUJANO</t>
  </si>
  <si>
    <t>110325</t>
  </si>
  <si>
    <t>FELIX</t>
  </si>
  <si>
    <t>ESTEFANIA</t>
  </si>
  <si>
    <t>ryarasca123@gmail.com</t>
  </si>
  <si>
    <t>AV. ASHANINKA 235 URB. EL PARAISO</t>
  </si>
  <si>
    <t>4A</t>
  </si>
  <si>
    <t>-11.0675295, -75.339234545</t>
  </si>
  <si>
    <t xml:space="preserve"> IEP. Santa Maria Reyna</t>
  </si>
  <si>
    <t>JNCM008-F</t>
  </si>
  <si>
    <t>CLIENTE REPROGRAMO PARA MAÑANA 02/07</t>
  </si>
  <si>
    <t>104986822</t>
  </si>
  <si>
    <t>88776097</t>
  </si>
  <si>
    <t>982340413</t>
  </si>
  <si>
    <t>0406</t>
  </si>
  <si>
    <t xml:space="preserve">HUGO </t>
  </si>
  <si>
    <t>BACILISA</t>
  </si>
  <si>
    <t>dediscueva@gmail.com</t>
  </si>
  <si>
    <t xml:space="preserve">Asoc- villa confraternidad zona A MZ- j. Lte 4 alto selva alegre AQP </t>
  </si>
  <si>
    <t xml:space="preserve">-16.358099664125213 -71.5245148240071 </t>
  </si>
  <si>
    <t xml:space="preserve">Cancha caira </t>
  </si>
  <si>
    <t>AQSA044-F</t>
  </si>
  <si>
    <t xml:space="preserve">LLAMARON A CLIENTE PARA INDICARLE QUE SU RED ESTA SATURADA, CLIENTE CONTRATÓ CON OTRO OPERADOR </t>
  </si>
  <si>
    <t>104748456</t>
  </si>
  <si>
    <t>88524046</t>
  </si>
  <si>
    <t>963188744</t>
  </si>
  <si>
    <t>74079616</t>
  </si>
  <si>
    <t>PAMELA YVETTE MALDONADO QUISPE</t>
  </si>
  <si>
    <t>040109</t>
  </si>
  <si>
    <t>VICTOR MANUEL</t>
  </si>
  <si>
    <t>DIONISIA</t>
  </si>
  <si>
    <t>maldonadopamela986@gmail.com</t>
  </si>
  <si>
    <t>urb CAMPO DE MARTE  MZ P LT 42, PAUCARPATA, AREQUIPA</t>
  </si>
  <si>
    <t>SE ENVIA TARDANZA TECNICA</t>
  </si>
  <si>
    <t>104964242</t>
  </si>
  <si>
    <t>-16.427180557097067, -71.4941595331016</t>
  </si>
  <si>
    <t>CALLE TUPAC AMARU</t>
  </si>
  <si>
    <t>88722956</t>
  </si>
  <si>
    <t>AQPP047</t>
  </si>
  <si>
    <t>947587852</t>
  </si>
  <si>
    <t>GILBERTO</t>
  </si>
  <si>
    <t>JULIA</t>
  </si>
  <si>
    <t>calarconfarfan67@gmail.com</t>
  </si>
  <si>
    <t>957603615</t>
  </si>
  <si>
    <t>CALLE TACNA 146 URB. MANSERICHE</t>
  </si>
  <si>
    <t>-12.143664623, -77.004367208</t>
  </si>
  <si>
    <t>FRANCISCO BOLOGNESI</t>
  </si>
  <si>
    <t>LMSC347-F</t>
  </si>
  <si>
    <t>5 - BAJA-MALA INFO VENTA</t>
  </si>
  <si>
    <t>Rechazado Por Mala Oferta - Campo</t>
  </si>
  <si>
    <t>104908264</t>
  </si>
  <si>
    <t>88678456</t>
  </si>
  <si>
    <t>912145179</t>
  </si>
  <si>
    <t>74650613</t>
  </si>
  <si>
    <t>JIMENEZ VASQUEZ SOLIS, JACK ISMAEL</t>
  </si>
  <si>
    <t>150132</t>
  </si>
  <si>
    <t>San Juan de Lurigancho</t>
  </si>
  <si>
    <t>ABEL</t>
  </si>
  <si>
    <t>YOVANA</t>
  </si>
  <si>
    <t>jackismaeljimenezvasquezsolis@gmail.com</t>
  </si>
  <si>
    <t>jr tahuantinsuyo 638 URB Zarate</t>
  </si>
  <si>
    <t>-12.027747, -77.002502</t>
  </si>
  <si>
    <t>A 1 CDRA DE LA COMISARIA ZARATE</t>
  </si>
  <si>
    <t>LMJL062</t>
  </si>
  <si>
    <t xml:space="preserve">TARDANZA TECNICA </t>
  </si>
  <si>
    <t>104887811</t>
  </si>
  <si>
    <t>88670937</t>
  </si>
  <si>
    <t>935507175</t>
  </si>
  <si>
    <t>060101</t>
  </si>
  <si>
    <t>Cajabamba</t>
  </si>
  <si>
    <t xml:space="preserve">ENRIQUE </t>
  </si>
  <si>
    <t xml:space="preserve"> WILBERTA</t>
  </si>
  <si>
    <t>Frankzrodriguezsalazar@gmail.com</t>
  </si>
  <si>
    <t>935 507 175</t>
  </si>
  <si>
    <t xml:space="preserve">JIRON SUAREZ  190 </t>
  </si>
  <si>
    <t xml:space="preserve">NA </t>
  </si>
  <si>
    <t>-7.622846114469324, -78.04942980699167</t>
  </si>
  <si>
    <t xml:space="preserve">JIRON JOSE LEAL </t>
  </si>
  <si>
    <t>CJCB005-F</t>
  </si>
  <si>
    <t>4 - FLIPPING</t>
  </si>
  <si>
    <t>104889152</t>
  </si>
  <si>
    <t>88671317</t>
  </si>
  <si>
    <t>974306888</t>
  </si>
  <si>
    <t>74861925</t>
  </si>
  <si>
    <t>JUAN JOSE MARTIN GUTIERREZ ESCALANTE</t>
  </si>
  <si>
    <t xml:space="preserve">DELA </t>
  </si>
  <si>
    <t>JUANJO.GUTIERRESES GMAIL.COM</t>
  </si>
  <si>
    <t xml:space="preserve">CALLE LOS LAURES MZ D LT 33 , UB LA RIVERA CARABAYLLO </t>
  </si>
  <si>
    <t xml:space="preserve">EN EJECUCION - DESEA PARA EL SABADO </t>
  </si>
  <si>
    <t>104953424</t>
  </si>
  <si>
    <t>88716374</t>
  </si>
  <si>
    <t>-11.878564699683325 -77.02282265736812</t>
  </si>
  <si>
    <t>URBANIZACION LA RIVERA</t>
  </si>
  <si>
    <t>984741682</t>
  </si>
  <si>
    <t>LMBY009-S</t>
  </si>
  <si>
    <t>070108</t>
  </si>
  <si>
    <t>Cusco</t>
  </si>
  <si>
    <t>MARCIAL</t>
  </si>
  <si>
    <t>isabel.fiti@gmail.com</t>
  </si>
  <si>
    <t>H. VIVA EL PERU ETAPA 1 MZ J LT 10</t>
  </si>
  <si>
    <t>2B</t>
  </si>
  <si>
    <t>-13.539285, -71.960379</t>
  </si>
  <si>
    <t>COLEGIO, AV VIVA EL PERU</t>
  </si>
  <si>
    <t>CZST011-S</t>
  </si>
  <si>
    <t xml:space="preserve">REPRO PARA EL 27/06 </t>
  </si>
  <si>
    <t>104702456</t>
  </si>
  <si>
    <t>88479774</t>
  </si>
  <si>
    <t>920477366</t>
  </si>
  <si>
    <t>76423649</t>
  </si>
  <si>
    <t>ZHANDLER PINEDA SANCHEZ</t>
  </si>
  <si>
    <t>100102</t>
  </si>
  <si>
    <t>Zacarias</t>
  </si>
  <si>
    <t>Mercedes</t>
  </si>
  <si>
    <t>zhatisa3909@gmail.com</t>
  </si>
  <si>
    <t>jiron brasil mz t lt 1 URBANIZACION san luis sector 12</t>
  </si>
  <si>
    <t>1A</t>
  </si>
  <si>
    <t>-9.9401925, -76.236067995</t>
  </si>
  <si>
    <t xml:space="preserve">Avenida Ricardo Palma </t>
  </si>
  <si>
    <t>SE ENVIO RESCATE COMERCIAL PARA EL 04/07</t>
  </si>
  <si>
    <t>104907359</t>
  </si>
  <si>
    <t>HNAM002-F</t>
  </si>
  <si>
    <t>88678780</t>
  </si>
  <si>
    <t>925811235</t>
  </si>
  <si>
    <t>150125</t>
  </si>
  <si>
    <t xml:space="preserve">Croas </t>
  </si>
  <si>
    <t>Aydee</t>
  </si>
  <si>
    <t>beyker_japones@hotmail.com</t>
  </si>
  <si>
    <t>SAN JUAN BAUTISTA 344</t>
  </si>
  <si>
    <t>nada</t>
  </si>
  <si>
    <t>-12.016565071032252, -77.05693506451682</t>
  </si>
  <si>
    <t>jiron alheli</t>
  </si>
  <si>
    <t>LMMP008-S</t>
  </si>
  <si>
    <t>4 - FAC TEC-TORRE NO HABILITADA</t>
  </si>
  <si>
    <t xml:space="preserve">EDIFICIO NO HABILITADO CON CLARO, NO PERMITEN TENDIDO AEREO </t>
  </si>
  <si>
    <t>104547386</t>
  </si>
  <si>
    <t>88346622</t>
  </si>
  <si>
    <t>987702720</t>
  </si>
  <si>
    <t>42078293</t>
  </si>
  <si>
    <t>JORGE ANIBAL BADO ESPINO</t>
  </si>
  <si>
    <t>140110</t>
  </si>
  <si>
    <t>San Borja</t>
  </si>
  <si>
    <t>JORGE DANILO</t>
  </si>
  <si>
    <t>MYRIAM TATIANA</t>
  </si>
  <si>
    <t>bado.jorge@gmail.com</t>
  </si>
  <si>
    <t xml:space="preserve">Avenida Juan Bielovucic Cavalier 157 Urbanización Chacarilla del Estanque    </t>
  </si>
  <si>
    <t>-12.103503, -76.980941</t>
  </si>
  <si>
    <t xml:space="preserve">SOT DUPLICADA, SE TIENE QUE ENVIAR CORREO </t>
  </si>
  <si>
    <t>Puerta 4 auditorio pentagonito</t>
  </si>
  <si>
    <t>5222B06AS</t>
  </si>
  <si>
    <t>104782174</t>
  </si>
  <si>
    <t>88567487</t>
  </si>
  <si>
    <t>929457958</t>
  </si>
  <si>
    <t>46131332</t>
  </si>
  <si>
    <t>MARIO SAUL ATAYUPANQUI YAÑEZ</t>
  </si>
  <si>
    <t>070101</t>
  </si>
  <si>
    <t>Canchis</t>
  </si>
  <si>
    <t>MARIO</t>
  </si>
  <si>
    <t>PIEDAD</t>
  </si>
  <si>
    <t>MARIOSAUL160989@GMAIL.COM</t>
  </si>
  <si>
    <t>AV. 2 DE MAYO 738, SICUANI - CUZCO</t>
  </si>
  <si>
    <t>3 - REPROGRAMADA</t>
  </si>
  <si>
    <t>-14.26693598, -71.22699577</t>
  </si>
  <si>
    <t>A DOS CASAS DEL COLEGIO SANTANDER</t>
  </si>
  <si>
    <t>CZSC005-F</t>
  </si>
  <si>
    <t>3 - PROGRAMADA</t>
  </si>
  <si>
    <t>EN EJECUCION</t>
  </si>
  <si>
    <t>104876137</t>
  </si>
  <si>
    <t>88661759</t>
  </si>
  <si>
    <t xml:space="preserve">931290676 </t>
  </si>
  <si>
    <t>41673092</t>
  </si>
  <si>
    <t>WALTER GUTIERREZ VILLANUEVA</t>
  </si>
  <si>
    <t>050112</t>
  </si>
  <si>
    <t>Huamanga</t>
  </si>
  <si>
    <t>Celedonio</t>
  </si>
  <si>
    <t>Alberta</t>
  </si>
  <si>
    <t>Walter_gv@hotmail.com</t>
  </si>
  <si>
    <t>931290676</t>
  </si>
  <si>
    <t>Prolongación manco capac N° 1277</t>
  </si>
  <si>
    <t>-13.154932, -74.23124</t>
  </si>
  <si>
    <t xml:space="preserve">Prolongación manco capac </t>
  </si>
  <si>
    <t>AYAY016-S</t>
  </si>
  <si>
    <t>ERROR EN EL CONTRATO - Transacción no autorizada - Motor : Control de irregularidades</t>
  </si>
  <si>
    <t>104677835</t>
  </si>
  <si>
    <t>88465583</t>
  </si>
  <si>
    <t>922088573</t>
  </si>
  <si>
    <t>42880941</t>
  </si>
  <si>
    <t>ESTHER JAIMES INGA</t>
  </si>
  <si>
    <t>090101</t>
  </si>
  <si>
    <t>BENANCIO</t>
  </si>
  <si>
    <t>LIBERATA</t>
  </si>
  <si>
    <t xml:space="preserve"> aylaniosorioparedes@gmail.com</t>
  </si>
  <si>
    <t>922 088 573</t>
  </si>
  <si>
    <t>969384309</t>
  </si>
  <si>
    <t>JR LOS QUINUALES 329</t>
  </si>
  <si>
    <t>-12 .022425,-77013923</t>
  </si>
  <si>
    <t>LOS QUINUALES</t>
  </si>
  <si>
    <t>LMJL079-S</t>
  </si>
  <si>
    <t>Beyker Viera Ariza</t>
  </si>
  <si>
    <t>104671134</t>
  </si>
  <si>
    <t>88471837</t>
  </si>
  <si>
    <t>918416553</t>
  </si>
  <si>
    <t>CE</t>
  </si>
  <si>
    <t>007198876</t>
  </si>
  <si>
    <t>NATHALY JOSE MARQUEZ MARIN</t>
  </si>
  <si>
    <t>OTRO PAIS</t>
  </si>
  <si>
    <t>09</t>
  </si>
  <si>
    <t>LEONEL</t>
  </si>
  <si>
    <t>MARVYS</t>
  </si>
  <si>
    <t>Leonardmarcano511@gmail.com</t>
  </si>
  <si>
    <t>URB. MATUTE MZ B LT 25</t>
  </si>
  <si>
    <t>-12.070171587854961, -77.02040258202793</t>
  </si>
  <si>
    <t xml:space="preserve"> Parque Marcos Calderón</t>
  </si>
  <si>
    <t>LMLV073-F</t>
  </si>
  <si>
    <t>Rechazado por transacción no autorizada</t>
  </si>
  <si>
    <t>104655056</t>
  </si>
  <si>
    <t>88439634</t>
  </si>
  <si>
    <t>936929624</t>
  </si>
  <si>
    <t>40545693</t>
  </si>
  <si>
    <t>ERIKA MAGALI LEON PINILLOS</t>
  </si>
  <si>
    <t>griserio</t>
  </si>
  <si>
    <t>shirley</t>
  </si>
  <si>
    <t>ekalepini@gmail.com</t>
  </si>
  <si>
    <t>CALLE TOBIAS MELLER 289 SAN MARTIN DE PORRES</t>
  </si>
  <si>
    <t>-12.000458, -77.088086</t>
  </si>
  <si>
    <t>calle juan pichert</t>
  </si>
  <si>
    <t>LMMP224-F</t>
  </si>
  <si>
    <t>Campaña 1 sol</t>
  </si>
  <si>
    <t>104955525</t>
  </si>
  <si>
    <t>88717289</t>
  </si>
  <si>
    <t>947432126</t>
  </si>
  <si>
    <t>76223959</t>
  </si>
  <si>
    <t>EDY COPA QUISPE</t>
  </si>
  <si>
    <t>140112</t>
  </si>
  <si>
    <t>GRABADO - ADJUNTAR DNI ambas caras, Foto de cliente mostrando DNI y Recibo de Servicio de dirección de instalación DE AGUA o luz.</t>
  </si>
  <si>
    <t>922379687</t>
  </si>
  <si>
    <t>RUC</t>
  </si>
  <si>
    <t>10327336962</t>
  </si>
  <si>
    <t>AGUIRRE BLANQUILLO MIGUEL ANGEL</t>
  </si>
  <si>
    <t>021301</t>
  </si>
  <si>
    <t>CECILIO</t>
  </si>
  <si>
    <t>NECITARIA</t>
  </si>
  <si>
    <t>quispeeddy91@gmail.com</t>
  </si>
  <si>
    <t>CALLE NUEVA ZELANDA MZ D LT 9 - URB AEROPUERTO</t>
  </si>
  <si>
    <t>Cercado de Lima</t>
  </si>
  <si>
    <t>3A</t>
  </si>
  <si>
    <t>-15.47193, -70.138797</t>
  </si>
  <si>
    <t>CALLE OCONA</t>
  </si>
  <si>
    <t>PUJL124-F</t>
  </si>
  <si>
    <t xml:space="preserve"> AUGUSTO </t>
  </si>
  <si>
    <t>CARMEN</t>
  </si>
  <si>
    <t>aguirremiguel1972@gmail.com</t>
  </si>
  <si>
    <t>922 379 687</t>
  </si>
  <si>
    <t>Urbanización palomino mz m lt32</t>
  </si>
  <si>
    <t>-12.060967, -77.070769</t>
  </si>
  <si>
    <t>Avenida santa catalina de Siena</t>
  </si>
  <si>
    <t>LMLM 228-F</t>
  </si>
  <si>
    <t>Campaña Promo Entrada</t>
  </si>
  <si>
    <t xml:space="preserve">ENVIAR REPRO 01/07 </t>
  </si>
  <si>
    <t>104957020</t>
  </si>
  <si>
    <t>88772246</t>
  </si>
  <si>
    <t>910274676</t>
  </si>
  <si>
    <t>47621042</t>
  </si>
  <si>
    <t>ANGEL JESUS QUISPE SILVA</t>
  </si>
  <si>
    <t>240101</t>
  </si>
  <si>
    <t xml:space="preserve">ELIAS </t>
  </si>
  <si>
    <t>OFELIA</t>
  </si>
  <si>
    <t>angeljesus6600@gmail.com</t>
  </si>
  <si>
    <t>ASOC. DE VIVIENDA SAN ANTONIO MZ A LT 15</t>
  </si>
  <si>
    <t>ADJUNTAR DNI ambas caras, Foto de cliente mostrando DNI y Recibo de Servicio de dirección de instalación DE AGUA o luz.</t>
  </si>
  <si>
    <t>-11.988730439711787, -77.10411644472327</t>
  </si>
  <si>
    <t>104797604</t>
  </si>
  <si>
    <t>VIVERO, FICUS, AUX CANTA</t>
  </si>
  <si>
    <t>88585134</t>
  </si>
  <si>
    <t>LMMP132-S</t>
  </si>
  <si>
    <t>950490504</t>
  </si>
  <si>
    <t>10180654</t>
  </si>
  <si>
    <t>SIGIFREDO ALBERTO TAPIA LUQUE</t>
  </si>
  <si>
    <t>140133</t>
  </si>
  <si>
    <t>Huanta</t>
  </si>
  <si>
    <t>SIGIFREDO</t>
  </si>
  <si>
    <t>MERCEDES</t>
  </si>
  <si>
    <t>bet6otapia@hotmail.com</t>
  </si>
  <si>
    <t xml:space="preserve">Jr Razuhuillca 438 URB. CERCADO HUANTA HUANTA AYACUCHO. </t>
  </si>
  <si>
    <t>-12.938042415, -74.246330888</t>
  </si>
  <si>
    <t>A DOS CUADRAS Y MEDIA DEL PARQUE DE LA MUNICIPALIDAD</t>
  </si>
  <si>
    <t>AYHU005-F</t>
  </si>
  <si>
    <t>104819915</t>
  </si>
  <si>
    <t>88609906</t>
  </si>
  <si>
    <t>949875878</t>
  </si>
  <si>
    <t>42906830</t>
  </si>
  <si>
    <t>EDWIN ABNER PAICO CRUZ</t>
  </si>
  <si>
    <t>Tumbes</t>
  </si>
  <si>
    <t>Marcelino</t>
  </si>
  <si>
    <t xml:space="preserve"> Teresa</t>
  </si>
  <si>
    <t>edwinpaico8@gmail.com</t>
  </si>
  <si>
    <t xml:space="preserve">961883833 </t>
  </si>
  <si>
    <t>949 875 878</t>
  </si>
  <si>
    <t xml:space="preserve">DANIEL OCTAVIO LUDEÑA ROJAS </t>
  </si>
  <si>
    <t>CIUDADELA NOE MZ  H  LT 7 PISO TUMBES</t>
  </si>
  <si>
    <t>-3.573075, -80.420756</t>
  </si>
  <si>
    <t>Urb ciudadela noe</t>
  </si>
  <si>
    <t>TBTB029-S</t>
  </si>
  <si>
    <t xml:space="preserve">904383310 </t>
  </si>
  <si>
    <t>104965377</t>
  </si>
  <si>
    <t>88723630</t>
  </si>
  <si>
    <t xml:space="preserve">988223633 </t>
  </si>
  <si>
    <t>03658870</t>
  </si>
  <si>
    <t>MARLON EDUARDO BARCENAS ALVAREZ</t>
  </si>
  <si>
    <t>190601</t>
  </si>
  <si>
    <t xml:space="preserve">CLIENTE QUERIA INSTALACION PARA EL DIA MARTES SI O SI </t>
  </si>
  <si>
    <t>104975485</t>
  </si>
  <si>
    <t>88771398</t>
  </si>
  <si>
    <t>989125595</t>
  </si>
  <si>
    <t>91028262</t>
  </si>
  <si>
    <t>MISUKY AZAÑA ROJAS</t>
  </si>
  <si>
    <t>140142</t>
  </si>
  <si>
    <t>Sullana</t>
  </si>
  <si>
    <t>SEGUNDO</t>
  </si>
  <si>
    <t>NORMA</t>
  </si>
  <si>
    <t>M.BARCENAS7@GMAIL.COM</t>
  </si>
  <si>
    <t>988223633</t>
  </si>
  <si>
    <t>AAHH JOSE CARLOS MARIATEGUI CALLE CESAR SANDINO MZ H LT 39</t>
  </si>
  <si>
    <t>4.914671, -80.691132</t>
  </si>
  <si>
    <t>CL CESAR SANDINO</t>
  </si>
  <si>
    <t>PIUS057-F</t>
  </si>
  <si>
    <t>ADRIAN</t>
  </si>
  <si>
    <t>HONORATA</t>
  </si>
  <si>
    <t>MISUKYAZANAROJAS655@GMAIL.COM</t>
  </si>
  <si>
    <t>JIRON ELIAS AGUIRRE 213, URB. ALMIRANTE MIGUEL GRAU - SPM</t>
  </si>
  <si>
    <t>-11.997201026, -77.095018313</t>
  </si>
  <si>
    <t>A LA VUELTA DE LA CURVA.</t>
  </si>
  <si>
    <t>LMMP149-S</t>
  </si>
  <si>
    <t xml:space="preserve">LYBTEL/ REGULARIZACION / cl indica por chat que ya no desea </t>
  </si>
  <si>
    <t>104471266</t>
  </si>
  <si>
    <t>88291548</t>
  </si>
  <si>
    <t>928502261</t>
  </si>
  <si>
    <t>74146223</t>
  </si>
  <si>
    <t>FABRIZIOALEJANDRO MAURICIO CASANA</t>
  </si>
  <si>
    <t>ALEJANDRO</t>
  </si>
  <si>
    <t>JANET</t>
  </si>
  <si>
    <t xml:space="preserve">FABRIZZIOMC20@GMAIL.COM </t>
  </si>
  <si>
    <t xml:space="preserve">JR CUSCO 3679 SAN MARTIN DE PORRES </t>
  </si>
  <si>
    <t>-12.034971, -77.089403</t>
  </si>
  <si>
    <t>CALLE PUNO</t>
  </si>
  <si>
    <t>LMMP036</t>
  </si>
  <si>
    <t xml:space="preserve">PNDT CREAR SOT </t>
  </si>
  <si>
    <t>CLIENTE DE MUDANZA/VIAJE, SE LE TRATA DE CONTACTA</t>
  </si>
  <si>
    <t>104496502</t>
  </si>
  <si>
    <t>88308463</t>
  </si>
  <si>
    <t>913970912</t>
  </si>
  <si>
    <t>71471954</t>
  </si>
  <si>
    <t>MAYCOL JEYSON SOUZA MURAYARI</t>
  </si>
  <si>
    <t>160101</t>
  </si>
  <si>
    <t xml:space="preserve">BETTMAN </t>
  </si>
  <si>
    <t>MAGNOLIA</t>
  </si>
  <si>
    <t>maycosouzamirayari@gmail.com</t>
  </si>
  <si>
    <t>URB. LOS LIRIOS MZ M LOTE 10, SAN MARTIN DE PORRES.</t>
  </si>
  <si>
    <t>-12.000956, -77.096207</t>
  </si>
  <si>
    <t>ULT. PAREDERO DEL METROPOLITANO</t>
  </si>
  <si>
    <t xml:space="preserve">LMMP152-S </t>
  </si>
  <si>
    <t>3 - PROG_CANCELADA</t>
  </si>
  <si>
    <t>CL INDICA QUE NUNCA PIDIO NADA, Y EL YA TIENE CLARO / NO CONTESTA</t>
  </si>
  <si>
    <t>104514769</t>
  </si>
  <si>
    <t>88313687</t>
  </si>
  <si>
    <t>943621382</t>
  </si>
  <si>
    <t>60818341</t>
  </si>
  <si>
    <t>MILAGROS ANGELY PISCOCHE RUIZ</t>
  </si>
  <si>
    <t>021801</t>
  </si>
  <si>
    <t>Santa</t>
  </si>
  <si>
    <t>WILMER ESTEBAN</t>
  </si>
  <si>
    <t>JOVITA MARILUZ</t>
  </si>
  <si>
    <t xml:space="preserve">WEPAMA@HOTMAIL.COM </t>
  </si>
  <si>
    <t>URBANISACION.BRUCES MZ C LT 44  NUEVO CHIMBOTE</t>
  </si>
  <si>
    <t>-9.134094, -78.520609</t>
  </si>
  <si>
    <t>AV SAGRADA FAMILIA</t>
  </si>
  <si>
    <t>CBNV020-S</t>
  </si>
  <si>
    <t xml:space="preserve">CLIENTE NO DESEA SERVICIO </t>
  </si>
  <si>
    <t>104744258</t>
  </si>
  <si>
    <t>88521522</t>
  </si>
  <si>
    <t>917530843</t>
  </si>
  <si>
    <t>75428864</t>
  </si>
  <si>
    <t>ANGEL WILFREDO PONCE HUAMANI</t>
  </si>
  <si>
    <t>140135</t>
  </si>
  <si>
    <t>WILFREDO</t>
  </si>
  <si>
    <t>Ficholuis20@gmail.com</t>
  </si>
  <si>
    <t xml:space="preserve">Av. Jose Carlos Mariategui : 515 </t>
  </si>
  <si>
    <t>-12.083683752088596, -76.98236004273923</t>
  </si>
  <si>
    <t>LA MARGINAL</t>
  </si>
  <si>
    <t>LMAT009-S</t>
  </si>
  <si>
    <t>Rechazado Por Falta De Contacto - Mesa</t>
  </si>
  <si>
    <t>104756361</t>
  </si>
  <si>
    <t>88528089</t>
  </si>
  <si>
    <t>964087211</t>
  </si>
  <si>
    <t>76145719</t>
  </si>
  <si>
    <t>PIERO ALESSANDRO SUSANIBAR RODRIGUEZ</t>
  </si>
  <si>
    <t>Andrés Susanibar Rodríguez</t>
  </si>
  <si>
    <t>Janet Rodríguez Atalaya</t>
  </si>
  <si>
    <t>salvamax04@gmail.com</t>
  </si>
  <si>
    <t>964 087 211</t>
  </si>
  <si>
    <t>901468885</t>
  </si>
  <si>
    <t>av mariano condorcanqui 1327 carabayllo lima</t>
  </si>
  <si>
    <t>-11.882002232231077, -77.03316442334543</t>
  </si>
  <si>
    <t>Calle N</t>
  </si>
  <si>
    <t>LMBY028-S</t>
  </si>
  <si>
    <t xml:space="preserve">cl no responde la visita tecnica. </t>
  </si>
  <si>
    <t>104770921</t>
  </si>
  <si>
    <t>88560198</t>
  </si>
  <si>
    <t>946511766</t>
  </si>
  <si>
    <t>70832523</t>
  </si>
  <si>
    <t>DANNIA NAYSHA CHAVEZ QUISPE</t>
  </si>
  <si>
    <t>150137</t>
  </si>
  <si>
    <t xml:space="preserve">Misael </t>
  </si>
  <si>
    <t xml:space="preserve">Reyna </t>
  </si>
  <si>
    <t xml:space="preserve"> danniachq21@gmail.com</t>
  </si>
  <si>
    <t>urb. los amigos de la paz mz u lt 2, ate vitarte</t>
  </si>
  <si>
    <t>-12.038334259535137, -76.9056703519862</t>
  </si>
  <si>
    <t>iglesia las americas vitarte c</t>
  </si>
  <si>
    <t>LMAT161-F</t>
  </si>
  <si>
    <t xml:space="preserve">PROCEDE/ CL DESEA INSTALACION PARA LA PROXIMA SEMANA/ RECLAMANDO VENTA </t>
  </si>
  <si>
    <t>104806111</t>
  </si>
  <si>
    <t>88589753</t>
  </si>
  <si>
    <t>997252193</t>
  </si>
  <si>
    <t>74540671</t>
  </si>
  <si>
    <t>ELIU CALEB BERNA BASILIO</t>
  </si>
  <si>
    <t xml:space="preserve">1501 </t>
  </si>
  <si>
    <t>juan</t>
  </si>
  <si>
    <t xml:space="preserve">brenda </t>
  </si>
  <si>
    <t>Karla31415911@gmail.com</t>
  </si>
  <si>
    <t xml:space="preserve">Jr. Eloy Reategui 624 san martin de porres </t>
  </si>
  <si>
    <t xml:space="preserve">nd </t>
  </si>
  <si>
    <t>-12.013260717061199 -77.07302889212735</t>
  </si>
  <si>
    <t xml:space="preserve">parque san amadeo garagay </t>
  </si>
  <si>
    <t>LMMP068-S</t>
  </si>
  <si>
    <t>104855914</t>
  </si>
  <si>
    <t>88648516</t>
  </si>
  <si>
    <t>923308318</t>
  </si>
  <si>
    <t>10748930537</t>
  </si>
  <si>
    <t>JORDI PAZOS VELASQUEZ</t>
  </si>
  <si>
    <t>150143</t>
  </si>
  <si>
    <t>Villa María del Triunfo</t>
  </si>
  <si>
    <t xml:space="preserve">CARLOS MANUEL </t>
  </si>
  <si>
    <t xml:space="preserve">JULIA DEL PILAR </t>
  </si>
  <si>
    <t xml:space="preserve"> mirandamirandamia91@gmail.com</t>
  </si>
  <si>
    <t>937 304 376</t>
  </si>
  <si>
    <t>Jr Carmen 807 villa maria el triunfo</t>
  </si>
  <si>
    <t xml:space="preserve"> -12.160403, -76.945734 </t>
  </si>
  <si>
    <t>Jr Carmen</t>
  </si>
  <si>
    <t>LMVM013-S</t>
  </si>
  <si>
    <t>104874717</t>
  </si>
  <si>
    <t>88661898</t>
  </si>
  <si>
    <t>919580373</t>
  </si>
  <si>
    <t>48323268</t>
  </si>
  <si>
    <t>CRISPIN VEGA MARRUJO</t>
  </si>
  <si>
    <t>090110</t>
  </si>
  <si>
    <t>CLEMENTINA</t>
  </si>
  <si>
    <t>CRISPINVEGAMARRUJO75@GMAIL.COM</t>
  </si>
  <si>
    <t>933729487  /  976877119</t>
  </si>
  <si>
    <t>JIRON PANAMA MZ 3 LOTE 13 URB. SAN LUIS, AMARILIS HUANUCO.</t>
  </si>
  <si>
    <t>9.946541, -76.239578</t>
  </si>
  <si>
    <t>AV.AV. PERU o CERCA AL COLEGIO RENE GUARDIAN</t>
  </si>
  <si>
    <t>HNAM004-F</t>
  </si>
  <si>
    <t xml:space="preserve">NO CONTACTO CON CLIENTE, SE ENVIO A RESCATE PERO NO RESPONDIO A TECNICOS </t>
  </si>
  <si>
    <t xml:space="preserve"> 923308318</t>
  </si>
  <si>
    <t xml:space="preserve">CLIENTE QUIERE INSTALACION PARA EL 26/07 SE TIENE QUE ENVIAR RESCATE COMERCIAL </t>
  </si>
  <si>
    <t xml:space="preserve">ERROR EN DIRECCION </t>
  </si>
  <si>
    <t xml:space="preserve">CL INDICA QUE NO DESEA POR VIAJE </t>
  </si>
  <si>
    <t>2 - TRANSACCIÓN N/A</t>
  </si>
  <si>
    <t>LYBTEL - VENTA NO PROCEDE SE MANDA A ANULAR SOT</t>
  </si>
  <si>
    <t>104517133</t>
  </si>
  <si>
    <t>88314647</t>
  </si>
  <si>
    <t>964676992</t>
  </si>
  <si>
    <t>46297872</t>
  </si>
  <si>
    <t>YONNY JUNIOR PONCE BERROSPI</t>
  </si>
  <si>
    <t>LILIANA</t>
  </si>
  <si>
    <t>YONNY11@GMAIL.COM</t>
  </si>
  <si>
    <t xml:space="preserve">Acacias 186, Urb. Villa Jardin 2da zona - Villa María del Triunfo. </t>
  </si>
  <si>
    <t xml:space="preserve">-12.168513, -76.952031 </t>
  </si>
  <si>
    <t>A dos cuadras de la estación del tren.</t>
  </si>
  <si>
    <t>LMJR156-F</t>
  </si>
  <si>
    <t>Transacción no autorizada - Motor : Teléfono restringido AXB</t>
  </si>
  <si>
    <t>104636435</t>
  </si>
  <si>
    <t>88430553</t>
  </si>
  <si>
    <t>977458142</t>
  </si>
  <si>
    <t>32764297</t>
  </si>
  <si>
    <t>MANUEL ALBERTO SICHE PURIZAGA</t>
  </si>
  <si>
    <t>120806</t>
  </si>
  <si>
    <t>INES</t>
  </si>
  <si>
    <t xml:space="preserve"> MANUEL.SICHE10@GMAIL.COM</t>
  </si>
  <si>
    <t>HUP CALIFORNIA MZ A LOTE 15, NUEVO CHIMBOTE, ANCASH.</t>
  </si>
  <si>
    <t>-9.110619251283516, -78.51559622669309</t>
  </si>
  <si>
    <t>CERCA AL MERCADO VILLAMAR</t>
  </si>
  <si>
    <t>CBNV064-S</t>
  </si>
  <si>
    <t>2 - AUDIO OBSERVADO</t>
  </si>
  <si>
    <t>CLIENTE CON EXCLUSIVIDAD</t>
  </si>
  <si>
    <t>104674851</t>
  </si>
  <si>
    <t>88464212</t>
  </si>
  <si>
    <t>941148818</t>
  </si>
  <si>
    <t>09855021</t>
  </si>
  <si>
    <t>JUAN CARLOS VILLAR FROLETZ</t>
  </si>
  <si>
    <t>Magdalena del Mar</t>
  </si>
  <si>
    <t>ORLANDO</t>
  </si>
  <si>
    <t>BERTHA</t>
  </si>
  <si>
    <t>jc2572vf@gmail.com</t>
  </si>
  <si>
    <t>CALLE AMAZONAS 525 URB. OYAGUE</t>
  </si>
  <si>
    <t>-12.085005, -77.068315</t>
  </si>
  <si>
    <t xml:space="preserve"> Jarabar Pueblo Libre</t>
  </si>
  <si>
    <t>LMMG006-S</t>
  </si>
  <si>
    <t>1 - SIN ING-NO CALIFICA</t>
  </si>
  <si>
    <t xml:space="preserve">SE NECESITA EVIDENCIA DE BOLETA DE PAGO PARA CREAR SEC CORRECTA </t>
  </si>
  <si>
    <t>104462641</t>
  </si>
  <si>
    <t>984710884</t>
  </si>
  <si>
    <t>42268305</t>
  </si>
  <si>
    <t>BRUNO MIGUEL FLORES TITO</t>
  </si>
  <si>
    <t>CLIENTE  DESEA PRECIO FIJO - NO DESEA</t>
  </si>
  <si>
    <t>927649497</t>
  </si>
  <si>
    <t>73476852</t>
  </si>
  <si>
    <t>JUNIOR ALDAIR YOVERA RIVAS</t>
  </si>
  <si>
    <t>Independencia</t>
  </si>
  <si>
    <t>DORIS</t>
  </si>
  <si>
    <t>bflorest.pe@gmail.com</t>
  </si>
  <si>
    <t>Av.Gerardo Unger 3601 Torre, independencia</t>
  </si>
  <si>
    <t>-11.992682, -77.057553</t>
  </si>
  <si>
    <t>Espalda de Megaplaza</t>
  </si>
  <si>
    <t xml:space="preserve"> LMIN048-F</t>
  </si>
  <si>
    <t>segundo</t>
  </si>
  <si>
    <t>bertha</t>
  </si>
  <si>
    <t>junioraldairyoverarivas@gmail.com</t>
  </si>
  <si>
    <t>jr amazonas 1188</t>
  </si>
  <si>
    <t>2 PLAY + TV PRO</t>
  </si>
  <si>
    <t xml:space="preserve"> -5.099549276, -80.168007784</t>
  </si>
  <si>
    <t>cruce con jr tarapaca</t>
  </si>
  <si>
    <t>PICH013-F</t>
  </si>
  <si>
    <t>1 - CON SEC</t>
  </si>
  <si>
    <t>CLIENTE NO RESPONDE PARA GRABACION / no contesta 17:18pm</t>
  </si>
  <si>
    <t>104553377</t>
  </si>
  <si>
    <t>987923084</t>
  </si>
  <si>
    <t>42907864</t>
  </si>
  <si>
    <t>ROBERTO CARLOS DELGADO CHAPOÑAN</t>
  </si>
  <si>
    <t>130101</t>
  </si>
  <si>
    <t>912095630</t>
  </si>
  <si>
    <t>42563656</t>
  </si>
  <si>
    <t>JORGE LUIS GAMARRA ARAUCO</t>
  </si>
  <si>
    <t>Pueblo Libre</t>
  </si>
  <si>
    <t>Gilberto</t>
  </si>
  <si>
    <t>Graciela</t>
  </si>
  <si>
    <t>robertodelgado694@gmail.com</t>
  </si>
  <si>
    <t>Urb. Azcona ,calle Simón Condori 120  Pueblo Libre</t>
  </si>
  <si>
    <t xml:space="preserve">-12.06852399, -77.05286892 </t>
  </si>
  <si>
    <t>a dos casas de hotel Mariátegui</t>
  </si>
  <si>
    <t>LMPL025-S</t>
  </si>
  <si>
    <t>Angel Gamarra</t>
  </si>
  <si>
    <t>Julia Arauco</t>
  </si>
  <si>
    <t>juanalbertogamarraarauco@gmail.com</t>
  </si>
  <si>
    <t xml:space="preserve">AV LOS AUMAUTAS 401 </t>
  </si>
  <si>
    <t>-11.992660, -77.051580</t>
  </si>
  <si>
    <t>Colegio el morro</t>
  </si>
  <si>
    <t>LMIN004-S</t>
  </si>
  <si>
    <t>CLIENTE NO DESEA ACEPTAR PLAN CON PAGO DE INSTALACION</t>
  </si>
  <si>
    <t>104593919</t>
  </si>
  <si>
    <t>978352937</t>
  </si>
  <si>
    <t>002978213</t>
  </si>
  <si>
    <t>ALEXYS ALEXANDER BONALDE SANCHEZ</t>
  </si>
  <si>
    <t>0</t>
  </si>
  <si>
    <t>CLIENTE CON EXCLUSIVIDAD, SE IBA A RECUPERAR PERO CREARON SOT</t>
  </si>
  <si>
    <t>953750449</t>
  </si>
  <si>
    <t>40495931</t>
  </si>
  <si>
    <t>DANIEL DE JESUS CRUZ GUTIERREZ</t>
  </si>
  <si>
    <t>090901</t>
  </si>
  <si>
    <t>PEDRO</t>
  </si>
  <si>
    <t>AVSREFRIGERACION@GMAIL.COM</t>
  </si>
  <si>
    <t>JR EL CARMEN 545</t>
  </si>
  <si>
    <t>-12.115108459, -77.025491806</t>
  </si>
  <si>
    <t>EL CARMEN</t>
  </si>
  <si>
    <t>LMSQ153-F</t>
  </si>
  <si>
    <t>dcruz@cmssac.com</t>
  </si>
  <si>
    <t>Av. Basadre Y Forero 2361</t>
  </si>
  <si>
    <t>-17.99818403, -70.23703405</t>
  </si>
  <si>
    <t xml:space="preserve">Av. Francisco Paula Vigil </t>
  </si>
  <si>
    <t>TCNA015-S</t>
  </si>
  <si>
    <t>NEGOCIOS</t>
  </si>
  <si>
    <t>CLIENTE AUN NO SE ANIMA A CONTRATAR, INDICA QUE PUEDE SER DENTRO DE 2 SEMANAS, AUN NO SE MUDA A ESE LUGAR</t>
  </si>
  <si>
    <t>945801446</t>
  </si>
  <si>
    <t>10471065175</t>
  </si>
  <si>
    <t>FRETEL MASGO DONNI GEORGE</t>
  </si>
  <si>
    <t xml:space="preserve">AXB CLIENTE YA TIENE SERVICIO EN MISMO DPTO </t>
  </si>
  <si>
    <t>980517641</t>
  </si>
  <si>
    <t>29560352</t>
  </si>
  <si>
    <t>ELIZABETH AURORA LA TORRE CORDOVA</t>
  </si>
  <si>
    <t>AMALIA</t>
  </si>
  <si>
    <t>DONNI.FRETEL@GMAIL.COM</t>
  </si>
  <si>
    <t>URB. CARABAYLLO 2 ETAPA  MZ I LOTE 20</t>
  </si>
  <si>
    <t>-11.9664275, -77.060547552</t>
  </si>
  <si>
    <t>A UNA CUADRA DEL COLEGIO EE.UU</t>
  </si>
  <si>
    <t>LMCO121-S</t>
  </si>
  <si>
    <t xml:space="preserve">victor </t>
  </si>
  <si>
    <t xml:space="preserve">ELIZABETH </t>
  </si>
  <si>
    <t xml:space="preserve">ELIZABETH.LATORREC@gimail.com </t>
  </si>
  <si>
    <t>AV GARCILAZO DE LA VEGA 100  Edificio: AV. GARCILAZO DE LA VEGA S/N (CHALLAPALCA VALLE BLANCO ETAPA 3) - BLOCK 10</t>
  </si>
  <si>
    <t>-16.389817, -71.562811</t>
  </si>
  <si>
    <t xml:space="preserve">CALLE LAS DALIAS </t>
  </si>
  <si>
    <t>AQCC024-S</t>
  </si>
  <si>
    <t xml:space="preserve">CLIENTE NO RESPONDE GRABACION </t>
  </si>
  <si>
    <t>104853134</t>
  </si>
  <si>
    <t>901523986</t>
  </si>
  <si>
    <t>60812872</t>
  </si>
  <si>
    <t>ROBERTO FAVIO VIVES RUIDIAS</t>
  </si>
  <si>
    <t xml:space="preserve">SE JALA COBERTURA/ NO PROCEDE INDICAN QUE ESTA FUERA DE PLANO </t>
  </si>
  <si>
    <t>104907822</t>
  </si>
  <si>
    <t>88678682</t>
  </si>
  <si>
    <t>922024860</t>
  </si>
  <si>
    <t>09910720</t>
  </si>
  <si>
    <t>VERONICA JANETH ORTEGA MARTINEZ</t>
  </si>
  <si>
    <t>ROBERTO</t>
  </si>
  <si>
    <t>FIORELLA</t>
  </si>
  <si>
    <t>favio.vives.ruidias@gmail.com</t>
  </si>
  <si>
    <t>:MZ F LT SOL URB EL RETABLO ET.1 Edificio: TORRES DEL CAMPO - BLOCK 24 - TORRE A PISO: 7  dto 703</t>
  </si>
  <si>
    <t>-11.938157, -77.053644</t>
  </si>
  <si>
    <t>AV RETABLO</t>
  </si>
  <si>
    <t>LMCO085</t>
  </si>
  <si>
    <t>GILDA</t>
  </si>
  <si>
    <t>Vortega@padrechampagnat.edu.pe</t>
  </si>
  <si>
    <t>915252654</t>
  </si>
  <si>
    <t>CALLE SANTA PATRICIA 6589 ASOC. SANTA ROSA DE INFANTAS</t>
  </si>
  <si>
    <t>-11.94583282, -77.07002383</t>
  </si>
  <si>
    <t>PASAJE SANTA ELENA</t>
  </si>
  <si>
    <t>LMCO195-F</t>
  </si>
  <si>
    <t>0 - PDTE-HABILITAR CONDOMINIO</t>
  </si>
  <si>
    <t xml:space="preserve">SE ESTA CONSULTANDO SI PERMITEN TENDIDO AEREO </t>
  </si>
  <si>
    <t>104817893</t>
  </si>
  <si>
    <t>88595396</t>
  </si>
  <si>
    <t xml:space="preserve">942139797 </t>
  </si>
  <si>
    <t>32912155</t>
  </si>
  <si>
    <t>942139797</t>
  </si>
  <si>
    <t>CESAR AMERICO AVALOS GONZALES</t>
  </si>
  <si>
    <t>Cesar</t>
  </si>
  <si>
    <t>Victoria</t>
  </si>
  <si>
    <t>cavalosg2012@gmail.com</t>
  </si>
  <si>
    <t>av jose larco 658 edif</t>
  </si>
  <si>
    <t>-12.123832, -77.02943</t>
  </si>
  <si>
    <t xml:space="preserve">Al costado de Balta y de un hostal </t>
  </si>
  <si>
    <t>5418B04</t>
  </si>
  <si>
    <t>0 - NO DESEA-GRABAR</t>
  </si>
  <si>
    <t xml:space="preserve">desiste , no desea solo internet . el que contrato era el hermano y la titular disiste </t>
  </si>
  <si>
    <t>981241647</t>
  </si>
  <si>
    <t>71066219</t>
  </si>
  <si>
    <t>DIANA MARILIA ROSILLO MARTEL</t>
  </si>
  <si>
    <t>090407</t>
  </si>
  <si>
    <t>FLORESMILO</t>
  </si>
  <si>
    <t xml:space="preserve">silvia </t>
  </si>
  <si>
    <t>calderonchistelgimal.com</t>
  </si>
  <si>
    <t xml:space="preserve">JR ARICA 195 SAN JUAN De MIRAFLORES  </t>
  </si>
  <si>
    <t xml:space="preserve">S/I </t>
  </si>
  <si>
    <t xml:space="preserve"> -12.157105, -76.961796</t>
  </si>
  <si>
    <t>av salvador ayendes y av los heroes</t>
  </si>
  <si>
    <t>LMJR015-S</t>
  </si>
  <si>
    <t>LLAMAR VIERNES  10:30AM / NO CONESTA</t>
  </si>
  <si>
    <t>104661503</t>
  </si>
  <si>
    <t>958221651</t>
  </si>
  <si>
    <t>29589745</t>
  </si>
  <si>
    <t>FANNY NARDA PONCE TEJADA</t>
  </si>
  <si>
    <t>040122</t>
  </si>
  <si>
    <t>ELSA</t>
  </si>
  <si>
    <t>F_PONCETEJADA@MSN.COM</t>
  </si>
  <si>
    <t>URB. CASACAMPO MZ D LOTE 8, SACHACA- AREQUIPA.</t>
  </si>
  <si>
    <t>-16.434984, -71.571174</t>
  </si>
  <si>
    <t>ESPALDA DEL COLEGIO MAX ULE</t>
  </si>
  <si>
    <t>AQSC014-S</t>
  </si>
  <si>
    <t xml:space="preserve">cl esta en la calle , escucho y corto la llamada </t>
  </si>
  <si>
    <t>917209845</t>
  </si>
  <si>
    <t>009222418</t>
  </si>
  <si>
    <t>DEWAR JOSE ASCANIO LUGO</t>
  </si>
  <si>
    <t>090000</t>
  </si>
  <si>
    <t>FRANCISCO</t>
  </si>
  <si>
    <t>YARITZA</t>
  </si>
  <si>
    <t>dewarascanio212@gmail.com</t>
  </si>
  <si>
    <t>0 - NO DESEA</t>
  </si>
  <si>
    <t>CALLE EL CORREGIDOR 238 PUEBLO JOVEN VILLA FATIMA</t>
  </si>
  <si>
    <t>CLIENTE INDICA QUE CONTRATO FTTH, PERO TIENE HFC</t>
  </si>
  <si>
    <t>104812017</t>
  </si>
  <si>
    <t>88593039</t>
  </si>
  <si>
    <t>-12.03537835, -77.021854119</t>
  </si>
  <si>
    <t>972916945</t>
  </si>
  <si>
    <t>Iglesia Adventista del Séptimo Dia Flor de Amancaes</t>
  </si>
  <si>
    <t>40939442</t>
  </si>
  <si>
    <t>LMRC064-F</t>
  </si>
  <si>
    <t>OMAR ANGEL LIZA LOAYZA</t>
  </si>
  <si>
    <t>150111</t>
  </si>
  <si>
    <t>Santa Anita</t>
  </si>
  <si>
    <t>ROSALVINA</t>
  </si>
  <si>
    <t>angel.omarliza@gmail.com</t>
  </si>
  <si>
    <t>CL ANTONIO PORTUGAL 703 URB LOS  FICUS SANTA ANITA  PISO 2</t>
  </si>
  <si>
    <t>-12.048692, -76.973261</t>
  </si>
  <si>
    <t xml:space="preserve">av 7 de junio </t>
  </si>
  <si>
    <t>LMSA033</t>
  </si>
  <si>
    <t>0 - NO CONTESTA</t>
  </si>
  <si>
    <t>0 - MAL REGISTRADO</t>
  </si>
  <si>
    <t xml:space="preserve">FULL CLARO - CLIENTE RECIBIO INFORMACION DE OTRO ASESOR, QUE LE INDICO 55 SOLES DE MANERA PERMANENTE </t>
  </si>
  <si>
    <t>926547879</t>
  </si>
  <si>
    <t>70836334</t>
  </si>
  <si>
    <t>BIMBI MELISSA TORRES RIVEROS</t>
  </si>
  <si>
    <t>JUAN CARLOS</t>
  </si>
  <si>
    <t>meli20.04@hotmail.com</t>
  </si>
  <si>
    <t>URB. VIRGEN ASUNTA MZ J LT 1</t>
  </si>
  <si>
    <t>-17.996855, -70.259879</t>
  </si>
  <si>
    <t xml:space="preserve"> IEI 418 SEÑOR DE LOS MILAGROS</t>
  </si>
  <si>
    <t>TCAL002-F</t>
  </si>
  <si>
    <t xml:space="preserve">REQUIERE EVALUACION CREDITICIA/SE ENVIA CORREO </t>
  </si>
  <si>
    <t>932628600</t>
  </si>
  <si>
    <t>09918623</t>
  </si>
  <si>
    <t>KENETH ACKERMAN CASTILLO COSIO</t>
  </si>
  <si>
    <t>Breña</t>
  </si>
  <si>
    <t>Luis</t>
  </si>
  <si>
    <t>Juana</t>
  </si>
  <si>
    <t>kenethacastillo04@gmail.com</t>
  </si>
  <si>
    <t>932 628 600</t>
  </si>
  <si>
    <t>JR. Mantaro 533 Dpto 104 Altura de la CDRA 17 de Av Venezuela.</t>
  </si>
  <si>
    <t>-12.054888, -77.056201</t>
  </si>
  <si>
    <t>Jiron Mantaro</t>
  </si>
  <si>
    <t>LMBN031</t>
  </si>
  <si>
    <t xml:space="preserve">PROCEDE/ NO PERMITE CREAR SOT </t>
  </si>
  <si>
    <t>104858533</t>
  </si>
  <si>
    <t>974775138</t>
  </si>
  <si>
    <t>43013240</t>
  </si>
  <si>
    <t>JESUS HUALLPARIMACHI ZUÑIGA</t>
  </si>
  <si>
    <t>LUIS</t>
  </si>
  <si>
    <t xml:space="preserve">jesushuzu@hotmail.com </t>
  </si>
  <si>
    <t xml:space="preserve">AV PRIMAVERA 453 CUZCO </t>
  </si>
  <si>
    <t>-13.528558027251995, -71.96919630087847</t>
  </si>
  <si>
    <t xml:space="preserve">AVENIDA PERU </t>
  </si>
  <si>
    <t>912 095 630</t>
  </si>
  <si>
    <t xml:space="preserve">CZWQ018 </t>
  </si>
  <si>
    <t>150MBPS</t>
  </si>
  <si>
    <t>PAGA INSTALACIÓN</t>
  </si>
  <si>
    <t>930604033</t>
  </si>
  <si>
    <t>47363941</t>
  </si>
  <si>
    <t>DAVID AROSQUIPA NINAHUAMAN</t>
  </si>
  <si>
    <t>080801</t>
  </si>
  <si>
    <t>BENIGNO</t>
  </si>
  <si>
    <t>FRANCISCA</t>
  </si>
  <si>
    <t>dvid.aqpnina@gmail.com</t>
  </si>
  <si>
    <t>CALLE ACLLUYO MZ B LT 1A  URB SAN LUCAS</t>
  </si>
  <si>
    <t>x</t>
  </si>
  <si>
    <t>-14.797103078563485, -71.41041966624528</t>
  </si>
  <si>
    <t>CZES017-F</t>
  </si>
  <si>
    <t xml:space="preserve">PNDT PAGO INSTALACION </t>
  </si>
  <si>
    <t>104971237</t>
  </si>
  <si>
    <t>924010496</t>
  </si>
  <si>
    <t>74233873</t>
  </si>
  <si>
    <t>JHEMY FABIAN PAICO PEREZ</t>
  </si>
  <si>
    <t>Puente Piedra</t>
  </si>
  <si>
    <t>TERESITA</t>
  </si>
  <si>
    <t>BRISASANTACRUZ10@GMAIL.COM</t>
  </si>
  <si>
    <t>951124863</t>
  </si>
  <si>
    <t>CALLE 5 MZ 5 LOTE 5 URB. LOS MANANTIALES, PUENTE PIEDRA PIEDRA. LIMA.</t>
  </si>
  <si>
    <t>-11.88884699095106 -77.06670516878908</t>
  </si>
  <si>
    <t>CERCA A UNA IGLESIA</t>
  </si>
  <si>
    <t xml:space="preserve"> LMPP038-F</t>
  </si>
  <si>
    <t>104981811</t>
  </si>
  <si>
    <t>88771950</t>
  </si>
  <si>
    <t>969711326</t>
  </si>
  <si>
    <t>PRINCIPE DE LA CRUZ, JACKSON ALEJANDRO</t>
  </si>
  <si>
    <t>CORNELIO</t>
  </si>
  <si>
    <t>VILMA</t>
  </si>
  <si>
    <t>jack.principe@gmail.com</t>
  </si>
  <si>
    <t>urbanizaciòn pachacamac tercera etapa mz y lt 06 villa el salvador</t>
  </si>
  <si>
    <t>-12.2260794895239, -76.92394627063364</t>
  </si>
  <si>
    <t xml:space="preserve">av 200 millas </t>
  </si>
  <si>
    <t>LMVS108-F</t>
  </si>
  <si>
    <t>0 - GRABADO</t>
  </si>
  <si>
    <t>SE ENVIO VENTA A RESCATE, ERROR EN COORDENADAS</t>
  </si>
  <si>
    <t>105014583</t>
  </si>
  <si>
    <t>88812886</t>
  </si>
  <si>
    <t>921231229</t>
  </si>
  <si>
    <t>LOURDES LILIANA IBAÑEZ ARQUEROS</t>
  </si>
  <si>
    <t>Trujillo</t>
  </si>
  <si>
    <t>eliseo</t>
  </si>
  <si>
    <t>zoila</t>
  </si>
  <si>
    <t>ibanezibanezfernanda@gmail.com</t>
  </si>
  <si>
    <t xml:space="preserve">921231229 </t>
  </si>
  <si>
    <t>calle ricardo palma 740 urb almirante miguel grau, el porvenir</t>
  </si>
  <si>
    <t>-8.069366575, -78.994397928</t>
  </si>
  <si>
    <t>COLISEO LA BOMBONERA</t>
  </si>
  <si>
    <t>LLEP016-F</t>
  </si>
  <si>
    <t xml:space="preserve">GRABADO/PNDT CREAR SOT </t>
  </si>
  <si>
    <t>104988933</t>
  </si>
  <si>
    <t>88812376</t>
  </si>
  <si>
    <t>937073497</t>
  </si>
  <si>
    <t>040101</t>
  </si>
  <si>
    <t xml:space="preserve">HENRY </t>
  </si>
  <si>
    <t xml:space="preserve">NILA </t>
  </si>
  <si>
    <t xml:space="preserve">Carmen.arispe.pineli@gmail.com </t>
  </si>
  <si>
    <t>URB RAFEL HOYOS RUBIO MZ A LT16</t>
  </si>
  <si>
    <t>-16.374931, -71.51744</t>
  </si>
  <si>
    <t xml:space="preserve">PARQUE DE LA JUVENTUD </t>
  </si>
  <si>
    <t>AQSA006-S</t>
  </si>
  <si>
    <t>SISACT NO DEJA CREAR SOT</t>
  </si>
  <si>
    <t>105012886</t>
  </si>
  <si>
    <t>88812627</t>
  </si>
  <si>
    <t>935441812</t>
  </si>
  <si>
    <t>080709</t>
  </si>
  <si>
    <t>DONATO</t>
  </si>
  <si>
    <t>FAVIANA</t>
  </si>
  <si>
    <t>Udwalker9195@gmail.com</t>
  </si>
  <si>
    <t>AV. ALMIRANTE MIGUEL GRAU 305 URB. 28 DE JULIO</t>
  </si>
  <si>
    <t>-12.022416965, -75.237026371</t>
  </si>
  <si>
    <t>IGLESIA, AV FERROCARRIL</t>
  </si>
  <si>
    <t>JNTB021-F</t>
  </si>
  <si>
    <t>TARDANZA TECNICA</t>
  </si>
  <si>
    <t>104997494</t>
  </si>
  <si>
    <t>88784203</t>
  </si>
  <si>
    <t>986286080</t>
  </si>
  <si>
    <t>Cajamarca</t>
  </si>
  <si>
    <t>ONOFRE</t>
  </si>
  <si>
    <t>alvaro25hr@hotmail.com</t>
  </si>
  <si>
    <t xml:space="preserve"> JR UCAYALI 469 </t>
  </si>
  <si>
    <t>-7.154263262865592, -78.52272628161064</t>
  </si>
  <si>
    <t>calle ucayali</t>
  </si>
  <si>
    <t>CJCJ065-F</t>
  </si>
  <si>
    <t xml:space="preserve">PROCEDE    </t>
  </si>
  <si>
    <t>104998912</t>
  </si>
  <si>
    <t>88786305</t>
  </si>
  <si>
    <t>923912548</t>
  </si>
  <si>
    <t>040126</t>
  </si>
  <si>
    <t>FABIANA</t>
  </si>
  <si>
    <t>BTLL1352@GMAIL.COM</t>
  </si>
  <si>
    <t>914156109</t>
  </si>
  <si>
    <t>URB. MANCO CAPAC MZ N LOTE 18 PAUCARPATA - AREQUIPA</t>
  </si>
  <si>
    <t>-16.41735394, -71.49896502</t>
  </si>
  <si>
    <t>AV. JESUS / MERCADO ALTO PORONGOCHE.</t>
  </si>
  <si>
    <t>AQPP037-S</t>
  </si>
  <si>
    <t xml:space="preserve">OBSERVADO POR DESCUENTO, SE ESTA CONSULTANDO </t>
  </si>
  <si>
    <t>105013327</t>
  </si>
  <si>
    <t>88812509</t>
  </si>
  <si>
    <t>986575110</t>
  </si>
  <si>
    <t>trejoernestojaime@gmail.com</t>
  </si>
  <si>
    <t>CALLE CESAR VALLEJO 159 URB. CERCADO DE CALLAO</t>
  </si>
  <si>
    <t>-12.0589, -77.133071</t>
  </si>
  <si>
    <t>AV. SAENZ PEÑA</t>
  </si>
  <si>
    <t>LMCA186-F</t>
  </si>
  <si>
    <t>0 - DUPLICADO</t>
  </si>
  <si>
    <t xml:space="preserve">ENVIAR ADELANTO </t>
  </si>
  <si>
    <t>105042605</t>
  </si>
  <si>
    <t>88843986</t>
  </si>
  <si>
    <t>975544479</t>
  </si>
  <si>
    <t>ROXANA DEL PILAR YANCE SANCHEZ</t>
  </si>
  <si>
    <t>Chepén</t>
  </si>
  <si>
    <t>ELIAS</t>
  </si>
  <si>
    <t>Yance1993@hotmail.com</t>
  </si>
  <si>
    <t xml:space="preserve">975544479 </t>
  </si>
  <si>
    <t>948799557</t>
  </si>
  <si>
    <t>calle progreso 1047</t>
  </si>
  <si>
    <t>.</t>
  </si>
  <si>
    <t>-7.2284394200816005, -79.4263004323566</t>
  </si>
  <si>
    <t>CALLE BOLIVAR</t>
  </si>
  <si>
    <t>LLCPOO4-F</t>
  </si>
  <si>
    <t>105075695</t>
  </si>
  <si>
    <t>88865401</t>
  </si>
  <si>
    <t>932374217</t>
  </si>
  <si>
    <t>021309</t>
  </si>
  <si>
    <t xml:space="preserve">CARLOMAGNO </t>
  </si>
  <si>
    <t>AYDEE</t>
  </si>
  <si>
    <t>otaner28.sus@gmail.com</t>
  </si>
  <si>
    <t>MZ J2 LT 1 URB. EL PACIFICO</t>
  </si>
  <si>
    <t>-9.124518221781827, -78.52850579809918</t>
  </si>
  <si>
    <t>AV. PERU, RESTAURANTE SAZON DE PAOLA</t>
  </si>
  <si>
    <t>CBNV023-S</t>
  </si>
  <si>
    <t>105086194</t>
  </si>
  <si>
    <t>88869807</t>
  </si>
  <si>
    <t>964368404</t>
  </si>
  <si>
    <t>AVELINA</t>
  </si>
  <si>
    <t>Victor_fx_@hotmail.com</t>
  </si>
  <si>
    <t>JR. CORONEL LEONCIO PRADO 183 URB. SAN ISIDRO</t>
  </si>
  <si>
    <t>-12.04732461, -75.21798269</t>
  </si>
  <si>
    <t>TAHUANTINSUYO, PARQUE SAN ISIDRO</t>
  </si>
  <si>
    <t>JNTB045-F</t>
  </si>
  <si>
    <t>105087019</t>
  </si>
  <si>
    <t>88870161</t>
  </si>
  <si>
    <t>973606614</t>
  </si>
  <si>
    <t>NATIVIDAD ADELA CHAVEZ HILARIO VDA DE ORTIZ</t>
  </si>
  <si>
    <t>110209</t>
  </si>
  <si>
    <t>Chincha</t>
  </si>
  <si>
    <t>APARICIO</t>
  </si>
  <si>
    <t>LORENZA</t>
  </si>
  <si>
    <t>esmeraldavaldez329@gmail.com</t>
  </si>
  <si>
    <t xml:space="preserve">CALLE CHINCHA S/N MZ A LT 14 </t>
  </si>
  <si>
    <t>-13.397532329894604,-76.13961079518855</t>
  </si>
  <si>
    <t>JIRON CHINCHA</t>
  </si>
  <si>
    <t>ICCP015-F</t>
  </si>
  <si>
    <t xml:space="preserve">agendado 6pm </t>
  </si>
  <si>
    <t>104992735</t>
  </si>
  <si>
    <t>88779992</t>
  </si>
  <si>
    <t>988653785</t>
  </si>
  <si>
    <t>030405</t>
  </si>
  <si>
    <t>calixto</t>
  </si>
  <si>
    <t>fortunata</t>
  </si>
  <si>
    <t>gliz64300@gmail.com</t>
  </si>
  <si>
    <t>calle gamaliel churata mz c1 lt a4 urb paisajista</t>
  </si>
  <si>
    <t>na</t>
  </si>
  <si>
    <t>-16.457434391502236, -71.55459055521064</t>
  </si>
  <si>
    <t>calle jose maria arguedas</t>
  </si>
  <si>
    <t>AQHU017</t>
  </si>
  <si>
    <t xml:space="preserve">PROCEDE NO SE ENCUENTRA PLANO </t>
  </si>
  <si>
    <t>104993156</t>
  </si>
  <si>
    <t>88780388</t>
  </si>
  <si>
    <t>975 669 815</t>
  </si>
  <si>
    <t>70408073</t>
  </si>
  <si>
    <t xml:space="preserve"> LUIS ANGEL SANCHEZ VEREAU</t>
  </si>
  <si>
    <t xml:space="preserve">PNDT EVALUACION CREDITICIA, SE ADJUNTA FOTO DE DNI </t>
  </si>
  <si>
    <t>104996475</t>
  </si>
  <si>
    <t>88784358</t>
  </si>
  <si>
    <t>973372846</t>
  </si>
  <si>
    <t>210000</t>
  </si>
  <si>
    <t xml:space="preserve">Luis </t>
  </si>
  <si>
    <t>aracely</t>
  </si>
  <si>
    <t>Angeligo1217@gmail.com</t>
  </si>
  <si>
    <t>925181197</t>
  </si>
  <si>
    <t xml:space="preserve">  975 669 815</t>
  </si>
  <si>
    <t>Mz b lote 12 -urb libertad</t>
  </si>
  <si>
    <t>-8.08906280418708, -78.99615148219792</t>
  </si>
  <si>
    <t>Av. Cam. Real</t>
  </si>
  <si>
    <t>TREP001-S</t>
  </si>
  <si>
    <t xml:space="preserve">HERNETO </t>
  </si>
  <si>
    <t xml:space="preserve">MARGOT </t>
  </si>
  <si>
    <t>vargasdavilacesargiovany@gmail.com</t>
  </si>
  <si>
    <t xml:space="preserve">AV KENNEDY 703 AREQIPA </t>
  </si>
  <si>
    <t xml:space="preserve">-12.104705563228602,  -77.00141221737925 </t>
  </si>
  <si>
    <t xml:space="preserve"> Jian Hotel &amp; Suites </t>
  </si>
  <si>
    <t>5220C02-S</t>
  </si>
  <si>
    <t>104986149</t>
  </si>
  <si>
    <t>88775710</t>
  </si>
  <si>
    <t>984130492</t>
  </si>
  <si>
    <t>105071211</t>
  </si>
  <si>
    <t>42854321</t>
  </si>
  <si>
    <t>88863678</t>
  </si>
  <si>
    <t>948839538</t>
  </si>
  <si>
    <t>ANALIZ VANESSA QUISPE ARAPA</t>
  </si>
  <si>
    <t>210101</t>
  </si>
  <si>
    <t>SIRO</t>
  </si>
  <si>
    <t xml:space="preserve">JUANA  </t>
  </si>
  <si>
    <t xml:space="preserve">olgahuaquistomamani@gmail.com </t>
  </si>
  <si>
    <t xml:space="preserve">AV TAMBO BLANCO NRO S/N LT 10 </t>
  </si>
  <si>
    <t>-11.086903196188855,-77.59579998098003</t>
  </si>
  <si>
    <t xml:space="preserve">Av. Peralvillo </t>
  </si>
  <si>
    <t>LMMR005-F</t>
  </si>
  <si>
    <t>JESUS</t>
  </si>
  <si>
    <t>105122816</t>
  </si>
  <si>
    <t>88903764</t>
  </si>
  <si>
    <t>MARTHA</t>
  </si>
  <si>
    <t>977477891</t>
  </si>
  <si>
    <t>analizarteaga0408@gmail.com</t>
  </si>
  <si>
    <t xml:space="preserve">analizarteaga0408@gmail.com </t>
  </si>
  <si>
    <t>-16.438452,-71.559963</t>
  </si>
  <si>
    <t xml:space="preserve">av las americas </t>
  </si>
  <si>
    <t xml:space="preserve"> ana</t>
  </si>
  <si>
    <t>AQHU019-S</t>
  </si>
  <si>
    <t>albanbrenda7@gmail.com</t>
  </si>
  <si>
    <t>Mz D lt 18 el trapecio</t>
  </si>
  <si>
    <t>-9.1017531137236, -78.56675305994143</t>
  </si>
  <si>
    <t>parque santa elena</t>
  </si>
  <si>
    <t>CBCB050-S</t>
  </si>
  <si>
    <t>105145680</t>
  </si>
  <si>
    <t>88930080</t>
  </si>
  <si>
    <t>937092583</t>
  </si>
  <si>
    <t>ANGEL</t>
  </si>
  <si>
    <t>SANTOS</t>
  </si>
  <si>
    <t>angelgaldosrobles@gamil.com</t>
  </si>
  <si>
    <t>Jr Garcílazo de la Vega N 170 Huamachuco</t>
  </si>
  <si>
    <t>-7.810713662475145, -78.04951008070536</t>
  </si>
  <si>
    <t>jr atahualpa</t>
  </si>
  <si>
    <t>LLHM002-F</t>
  </si>
  <si>
    <t>105129769</t>
  </si>
  <si>
    <t>88907750</t>
  </si>
  <si>
    <t>965494035</t>
  </si>
  <si>
    <t>AMOS ALEX ORE VEGA</t>
  </si>
  <si>
    <t>YOAN</t>
  </si>
  <si>
    <t>AMOS</t>
  </si>
  <si>
    <t>mirkaylex123@gmail.com</t>
  </si>
  <si>
    <t xml:space="preserve">JIRON ICA 3681 URB. PERU </t>
  </si>
  <si>
    <t>-12.031195, -77.088098</t>
  </si>
  <si>
    <t>AV. PERU, ALAMEDA 12 OCTUBRE</t>
  </si>
  <si>
    <t>LMMP038</t>
  </si>
  <si>
    <t>Campaña HFC puro</t>
  </si>
  <si>
    <t>105145033</t>
  </si>
  <si>
    <t>88929739</t>
  </si>
  <si>
    <t>984768125</t>
  </si>
  <si>
    <t>EDUARDO</t>
  </si>
  <si>
    <t>cocowalo@hotmail.com</t>
  </si>
  <si>
    <t>JR.Ucayali 469 BARRIO SAN Pedro</t>
  </si>
  <si>
    <t xml:space="preserve">-7.154278362252706, -78.52265675101303 </t>
  </si>
  <si>
    <t xml:space="preserve">ARCO DEL TRIUNFO </t>
  </si>
  <si>
    <t xml:space="preserve">CJCJ065-F </t>
  </si>
  <si>
    <t>105162761</t>
  </si>
  <si>
    <t>88940544</t>
  </si>
  <si>
    <t>989077166</t>
  </si>
  <si>
    <t>Carabaya</t>
  </si>
  <si>
    <t>VICENTE</t>
  </si>
  <si>
    <t>AGRIPINA</t>
  </si>
  <si>
    <t>Calumani@gmail.com</t>
  </si>
  <si>
    <t>980726089</t>
  </si>
  <si>
    <t>JR ALLINCAPAC  201</t>
  </si>
  <si>
    <t>-14.070253811,-70.432520152</t>
  </si>
  <si>
    <t xml:space="preserve">calle 8 de diciembre </t>
  </si>
  <si>
    <t>PUMC009-F</t>
  </si>
  <si>
    <t>105152379</t>
  </si>
  <si>
    <t>88934030</t>
  </si>
  <si>
    <t>921590084</t>
  </si>
  <si>
    <t xml:space="preserve">CL QUIERE DECO </t>
  </si>
  <si>
    <t>997473584</t>
  </si>
  <si>
    <t>44031141</t>
  </si>
  <si>
    <t>ERIKA NEDA ENRIQUEZ CHURA</t>
  </si>
  <si>
    <t>Coronel Portillo</t>
  </si>
  <si>
    <t>RAUL</t>
  </si>
  <si>
    <t>ENRIQUETA</t>
  </si>
  <si>
    <t xml:space="preserve"> fperezhaya@gmail.com</t>
  </si>
  <si>
    <t>jr camino real mz 307 lt 12</t>
  </si>
  <si>
    <t>-8.382260, -74.568321</t>
  </si>
  <si>
    <t>calle union</t>
  </si>
  <si>
    <t>UCYC006-F</t>
  </si>
  <si>
    <t xml:space="preserve">ESPERANDO EJEMPLO DE CONTRATO </t>
  </si>
  <si>
    <t>105165835</t>
  </si>
  <si>
    <t>88942023</t>
  </si>
  <si>
    <t>960606665</t>
  </si>
  <si>
    <t>ARTURO JESUS DIAZ VIVIANO</t>
  </si>
  <si>
    <t xml:space="preserve">ISIDRO </t>
  </si>
  <si>
    <t xml:space="preserve">BARBARA </t>
  </si>
  <si>
    <t>akire1430@hotmail.com</t>
  </si>
  <si>
    <t>Calle Antares Nte. 474 Rimac</t>
  </si>
  <si>
    <t>GUZMAN</t>
  </si>
  <si>
    <t>ALICIA</t>
  </si>
  <si>
    <t>matacura25@gmail.com</t>
  </si>
  <si>
    <t>939188994</t>
  </si>
  <si>
    <t>calle piura 812</t>
  </si>
  <si>
    <t>-12.027606290743691, -77.03682097494125</t>
  </si>
  <si>
    <t>-16.402752940891876, -71.50606890549764</t>
  </si>
  <si>
    <t>CALLE CORONEL ARIAS ARAGUEZ</t>
  </si>
  <si>
    <t>AQMM004-S</t>
  </si>
  <si>
    <t>AVENIDA GUARDIA REPUBLICANA</t>
  </si>
  <si>
    <t>LMRC018-S</t>
  </si>
  <si>
    <t>105184679</t>
  </si>
  <si>
    <t>88962032</t>
  </si>
  <si>
    <t>982265542</t>
  </si>
  <si>
    <t>ADEL</t>
  </si>
  <si>
    <t>besimeq@unjbg.edu.pe</t>
  </si>
  <si>
    <t>San José obrero j lte 03</t>
  </si>
  <si>
    <t>-18.06404988279565, -70.29255561948325</t>
  </si>
  <si>
    <t>PARQUE HIJOS DE HABITAD ETAPA</t>
  </si>
  <si>
    <t>TCNA168-F</t>
  </si>
  <si>
    <t>937 073 497</t>
  </si>
  <si>
    <t>105193827</t>
  </si>
  <si>
    <t>88966119</t>
  </si>
  <si>
    <t>960155491</t>
  </si>
  <si>
    <t xml:space="preserve">MARCELA </t>
  </si>
  <si>
    <t>villarrealsamael@gmail.com</t>
  </si>
  <si>
    <t>934890532</t>
  </si>
  <si>
    <t>Urbanización VISTA HERMOSA Mz F lote 09, calle ángel maría tanya</t>
  </si>
  <si>
    <t>-8.119715064802794, -79.04208437458246</t>
  </si>
  <si>
    <t>CALLE MARIA TANYA</t>
  </si>
  <si>
    <t>TRUJ035-S</t>
  </si>
  <si>
    <t xml:space="preserve"> 937 073 497</t>
  </si>
  <si>
    <t xml:space="preserve">CL COORDINAR PARA MAÑANA 09/07 </t>
  </si>
  <si>
    <t>105166751</t>
  </si>
  <si>
    <t>88942528</t>
  </si>
  <si>
    <t>910893878</t>
  </si>
  <si>
    <t>liberio</t>
  </si>
  <si>
    <t>aurora</t>
  </si>
  <si>
    <t>bridguithvalverde@gmail.com</t>
  </si>
  <si>
    <t>calle-5 587 urb el manzano</t>
  </si>
  <si>
    <t>-12.027442935009825, -77.02983259085666</t>
  </si>
  <si>
    <t>calle las calezas</t>
  </si>
  <si>
    <t>LMRC009-S</t>
  </si>
  <si>
    <t xml:space="preserve">SE MANDO A RESCATAR SOT, A LA ESPERA </t>
  </si>
  <si>
    <t>105147407</t>
  </si>
  <si>
    <t>88930764</t>
  </si>
  <si>
    <t>991303389</t>
  </si>
  <si>
    <t>ESTHER ESPERANZA CERNA DE LAZARO</t>
  </si>
  <si>
    <t xml:space="preserve">Enrique </t>
  </si>
  <si>
    <t xml:space="preserve">aNTONIA </t>
  </si>
  <si>
    <t xml:space="preserve">genrrilazaro@gmial.com </t>
  </si>
  <si>
    <t>Jr Antonio Plasencia mz p 10 lt 7 urb mariscal Cáceres- SJL</t>
  </si>
  <si>
    <t xml:space="preserve">ND </t>
  </si>
  <si>
    <t>-11.947485474343587, -76.98001625661635</t>
  </si>
  <si>
    <t xml:space="preserve">MARISCAL CACERES </t>
  </si>
  <si>
    <t>LMJL089-S</t>
  </si>
  <si>
    <t>105184317</t>
  </si>
  <si>
    <t>88960796</t>
  </si>
  <si>
    <t>957765765</t>
  </si>
  <si>
    <t>SANCHEZ OBANDO HARIANI</t>
  </si>
  <si>
    <t xml:space="preserve">973372846  </t>
  </si>
  <si>
    <t xml:space="preserve">segundo </t>
  </si>
  <si>
    <t xml:space="preserve">merecedes </t>
  </si>
  <si>
    <t xml:space="preserve">Harianisanchezobando@gmail.com </t>
  </si>
  <si>
    <t>947731244</t>
  </si>
  <si>
    <t xml:space="preserve">VICTOR LARCO HERRERA MZ Z LT 7 TRUJILLO </t>
  </si>
  <si>
    <t>-8.137142217194214, -79.0511760774676</t>
  </si>
  <si>
    <t xml:space="preserve">carniceria pura raza </t>
  </si>
  <si>
    <t>TRLH011-S</t>
  </si>
  <si>
    <t>105188240</t>
  </si>
  <si>
    <t>88962729</t>
  </si>
  <si>
    <t>957936177</t>
  </si>
  <si>
    <t>marco</t>
  </si>
  <si>
    <t>maria</t>
  </si>
  <si>
    <t>lariza375@gmail.com</t>
  </si>
  <si>
    <t xml:space="preserve">av aviacion 659 </t>
  </si>
  <si>
    <t>E</t>
  </si>
  <si>
    <t>-16.374808276575504, -71.55856851656277</t>
  </si>
  <si>
    <t>jendara importaciones 2do piso</t>
  </si>
  <si>
    <t>AQCC005-S</t>
  </si>
  <si>
    <t>105182913</t>
  </si>
  <si>
    <t>88961506</t>
  </si>
  <si>
    <t>968620994</t>
  </si>
  <si>
    <t>040000</t>
  </si>
  <si>
    <t>gavino</t>
  </si>
  <si>
    <t xml:space="preserve">nativida </t>
  </si>
  <si>
    <t>thuaraccalloj1@gmail.com</t>
  </si>
  <si>
    <t>urb san juan de dios mz s lote 22</t>
  </si>
  <si>
    <t>-16.44927053572614,-7155572387719232</t>
  </si>
  <si>
    <t>morro de arica</t>
  </si>
  <si>
    <t>AQHU055-S</t>
  </si>
  <si>
    <t xml:space="preserve">PROCEDE ADELANTO </t>
  </si>
  <si>
    <t>105211689</t>
  </si>
  <si>
    <t>88986399</t>
  </si>
  <si>
    <t>952526186</t>
  </si>
  <si>
    <t>OCHOA AQUINO, MARCO ANTONIO</t>
  </si>
  <si>
    <t xml:space="preserve">PNDT DE LIBERAR SOT PARA INGRESAR VENTA </t>
  </si>
  <si>
    <t>AMELIA</t>
  </si>
  <si>
    <t xml:space="preserve">m_ochoa_aquino@hotmail.com </t>
  </si>
  <si>
    <t>calle ramiro priale mz 41 lt 19 ah hortencia prado</t>
  </si>
  <si>
    <t>-8.40131-74.565056</t>
  </si>
  <si>
    <t>calle rio alto puru</t>
  </si>
  <si>
    <t>UCMN009-F</t>
  </si>
  <si>
    <t>105221835</t>
  </si>
  <si>
    <t>88992304</t>
  </si>
  <si>
    <t>946012741</t>
  </si>
  <si>
    <t xml:space="preserve">fernando </t>
  </si>
  <si>
    <t xml:space="preserve">rosario </t>
  </si>
  <si>
    <t>fabricio.cast013@gmail.com</t>
  </si>
  <si>
    <t xml:space="preserve">946012741 </t>
  </si>
  <si>
    <t xml:space="preserve"> giron fortaleza 111 tambo huancayo</t>
  </si>
  <si>
    <t>-12.023813625270668, -75.23346817855885</t>
  </si>
  <si>
    <t xml:space="preserve">al frente de la utp </t>
  </si>
  <si>
    <t>JNTB008-F</t>
  </si>
  <si>
    <t>105197105</t>
  </si>
  <si>
    <t>88969202</t>
  </si>
  <si>
    <t>999225449</t>
  </si>
  <si>
    <t>Huaral</t>
  </si>
  <si>
    <t xml:space="preserve">Raul </t>
  </si>
  <si>
    <t xml:space="preserve">holga </t>
  </si>
  <si>
    <t>Nathytrujillo150@gmail.com</t>
  </si>
  <si>
    <t>SAN MARTIN DE PORRES HUARAL MZ E LOTE 110A</t>
  </si>
  <si>
    <t>-11.502796795275025, -77.21880289077515</t>
  </si>
  <si>
    <t xml:space="preserve">lavanderia d yaku </t>
  </si>
  <si>
    <t>LMHL027-F</t>
  </si>
  <si>
    <t xml:space="preserve">SE ESTA SUBSANANDO </t>
  </si>
  <si>
    <t>105220158</t>
  </si>
  <si>
    <t>88992185</t>
  </si>
  <si>
    <t>943148930</t>
  </si>
  <si>
    <t>29714415</t>
  </si>
  <si>
    <t>JUAN CARLOS MANUEL ZAMORA FUENTES</t>
  </si>
  <si>
    <t>ISABEL</t>
  </si>
  <si>
    <t>Wakiysac@gmail.com</t>
  </si>
  <si>
    <t>av peru 213 urb fesia</t>
  </si>
  <si>
    <t>-16.42832398, -71.53287262</t>
  </si>
  <si>
    <t>CALLE BOLIVIA</t>
  </si>
  <si>
    <t>AQBR076-F</t>
  </si>
  <si>
    <t>105238798</t>
  </si>
  <si>
    <t>89018477</t>
  </si>
  <si>
    <t>924445912</t>
  </si>
  <si>
    <t>77345324</t>
  </si>
  <si>
    <t>ZEVALLOS RIMARACHIN, LUIS ENRIQUE JUNIOR</t>
  </si>
  <si>
    <t xml:space="preserve">luisenriquejuniorzevallosrimar@gmail.com </t>
  </si>
  <si>
    <t xml:space="preserve">av PANAMERICANA NORTE 115 AHH PUEBLO JOVEN </t>
  </si>
  <si>
    <t>-6.76477161, -79.85951716</t>
  </si>
  <si>
    <t xml:space="preserve">av manuel gonzales prada </t>
  </si>
  <si>
    <t>CHI019-S</t>
  </si>
  <si>
    <t xml:space="preserve">CL NO INDICO DIRECCION COMPLETA/ INDICA NO TENER NUMERACION NI PLACA </t>
  </si>
  <si>
    <t>105215283</t>
  </si>
  <si>
    <t>88988233</t>
  </si>
  <si>
    <t>929443410</t>
  </si>
  <si>
    <t>71033128</t>
  </si>
  <si>
    <t>CRISTHIAN CLEYSNER SILVA PASTOR</t>
  </si>
  <si>
    <t>060107</t>
  </si>
  <si>
    <t>cleiber</t>
  </si>
  <si>
    <t>marisol</t>
  </si>
  <si>
    <t>scristhian888@gmail.com</t>
  </si>
  <si>
    <t>jr noruega</t>
  </si>
  <si>
    <t>-7.138921655876731, -78.51245246199305</t>
  </si>
  <si>
    <t>av dinamarca</t>
  </si>
  <si>
    <t>CJBI007-F</t>
  </si>
  <si>
    <t>105213175</t>
  </si>
  <si>
    <t>88987224</t>
  </si>
  <si>
    <t>997547357</t>
  </si>
  <si>
    <t>42350054</t>
  </si>
  <si>
    <t>JUAN JOSE LOAYZA ROSERO</t>
  </si>
  <si>
    <t>juana</t>
  </si>
  <si>
    <t>Pepeloayza@icloud.com</t>
  </si>
  <si>
    <t>JR JOSE BERNARDO ALCEDO 837</t>
  </si>
  <si>
    <t xml:space="preserve">-12.083533 -77.027519 </t>
  </si>
  <si>
    <t xml:space="preserve">prolongacion iquitos </t>
  </si>
  <si>
    <t>LMLC037-S</t>
  </si>
  <si>
    <t>105209838</t>
  </si>
  <si>
    <t>88985544</t>
  </si>
  <si>
    <t>916456010</t>
  </si>
  <si>
    <t>45391505</t>
  </si>
  <si>
    <t>JORGE STEVEN LINO ORE</t>
  </si>
  <si>
    <t>fernando</t>
  </si>
  <si>
    <t>zarela</t>
  </si>
  <si>
    <t>jlinoore@gmail.com</t>
  </si>
  <si>
    <t>trapecio primera etapa mz k lt 12</t>
  </si>
  <si>
    <t xml:space="preserve"> -9.09932515, -78.56575683</t>
  </si>
  <si>
    <t>av tupac amaru</t>
  </si>
  <si>
    <t xml:space="preserve"> CBCB050-S</t>
  </si>
  <si>
    <t xml:space="preserve">GRABADA </t>
  </si>
  <si>
    <t>105185096</t>
  </si>
  <si>
    <t>88961164</t>
  </si>
  <si>
    <t>970637251</t>
  </si>
  <si>
    <t>73305328</t>
  </si>
  <si>
    <t>JUAN CARLOS NECIOSUP FENCO</t>
  </si>
  <si>
    <t>DOMINGO</t>
  </si>
  <si>
    <t>PAULA</t>
  </si>
  <si>
    <t>jcarlosfenco@gmail.com</t>
  </si>
  <si>
    <t>Av 28 de julio 175</t>
  </si>
  <si>
    <t>-6.87832370408317, -79.86888214865337</t>
  </si>
  <si>
    <t>CALLE LA MAR</t>
  </si>
  <si>
    <t>LBMO009-F</t>
  </si>
  <si>
    <t xml:space="preserve">GRABADO </t>
  </si>
  <si>
    <t>105257129</t>
  </si>
  <si>
    <t>89030887</t>
  </si>
  <si>
    <t>985590814</t>
  </si>
  <si>
    <t>03653087</t>
  </si>
  <si>
    <t>DELIA DEL CARMEEN SALDARRIAGA SIANCAS</t>
  </si>
  <si>
    <t>JOSE</t>
  </si>
  <si>
    <t>HIGINIA</t>
  </si>
  <si>
    <t>garcesfeb20@gmail.com</t>
  </si>
  <si>
    <t>CL SANTA MARTA 541 AH GENERAL LUIS MIGUEL SANCHEZ CERRO</t>
  </si>
  <si>
    <t>s/i</t>
  </si>
  <si>
    <t>-4.905141, -80.69371719</t>
  </si>
  <si>
    <t>CL SAN MARCELO</t>
  </si>
  <si>
    <t>PIUS018</t>
  </si>
  <si>
    <t xml:space="preserve">CL NO TIENE ENERGIA EN CASA, DESEA INSTALACION PARA EL 09/07 </t>
  </si>
  <si>
    <t>105132402</t>
  </si>
  <si>
    <t>88909070</t>
  </si>
  <si>
    <t>950630690</t>
  </si>
  <si>
    <t>10452193448</t>
  </si>
  <si>
    <t>JONATHAN RODRIGUEZ TOMAILLA</t>
  </si>
  <si>
    <t>HIPOLITO</t>
  </si>
  <si>
    <t>LUISA</t>
  </si>
  <si>
    <t>leofmx02@gmail.com</t>
  </si>
  <si>
    <t>Av 7 de Junio 380 VILLA MARIA DEL TRIUNFO</t>
  </si>
  <si>
    <t>-12.17522217912219, -76.93771141454438</t>
  </si>
  <si>
    <t>LMVM046-F</t>
  </si>
  <si>
    <t>105169985</t>
  </si>
  <si>
    <t>88944371</t>
  </si>
  <si>
    <t>940729329</t>
  </si>
  <si>
    <t>30424452</t>
  </si>
  <si>
    <t>CARMEN BALTAZARA CRUZ RIVERA</t>
  </si>
  <si>
    <t>040301</t>
  </si>
  <si>
    <t>Camaná</t>
  </si>
  <si>
    <t>GREGORIO</t>
  </si>
  <si>
    <t>FERNADOYAULLI07@GMAIL.COM</t>
  </si>
  <si>
    <t>AV. CAMANA URB. SANTA ROSA MZ H LOTE 6</t>
  </si>
  <si>
    <t>-16.628428 -72.709719</t>
  </si>
  <si>
    <t>DISCOTECA LA MIEL A MEDIA CUADRA</t>
  </si>
  <si>
    <t>AQCM009-F</t>
  </si>
  <si>
    <t xml:space="preserve">ES AXB/ NO PASO FILTRO </t>
  </si>
  <si>
    <t>105255675</t>
  </si>
  <si>
    <t>89030068</t>
  </si>
  <si>
    <t>940076019</t>
  </si>
  <si>
    <t>44720551</t>
  </si>
  <si>
    <t>MARTHA SEGUNDINA SAICO MENDIGURE</t>
  </si>
  <si>
    <t>MARTINA</t>
  </si>
  <si>
    <t xml:space="preserve">MSAICOM05@GMAIL.COM </t>
  </si>
  <si>
    <t>924466900</t>
  </si>
  <si>
    <t>CALLE CENTROMIN CON MINSUR MZ D LT 1A, PUEBLO JOVEN PACIFICO</t>
  </si>
  <si>
    <t xml:space="preserve"> -14.803704, -71.410056</t>
  </si>
  <si>
    <t>MULTIDEPORTIVO PACIFICO</t>
  </si>
  <si>
    <t>CZES021-F</t>
  </si>
  <si>
    <t>105241083</t>
  </si>
  <si>
    <t>89019744</t>
  </si>
  <si>
    <t>935965088</t>
  </si>
  <si>
    <t>41783714</t>
  </si>
  <si>
    <t>GISSELLA SILVIA CASTRO VILLARREAL</t>
  </si>
  <si>
    <t>El Agustino</t>
  </si>
  <si>
    <t>SILVIA</t>
  </si>
  <si>
    <t>gissellacastro333@hotmail.com</t>
  </si>
  <si>
    <t>ubr vicentelo bajo mz q lote 3</t>
  </si>
  <si>
    <t>-12.0290705608526182, -7700288749076692</t>
  </si>
  <si>
    <t xml:space="preserve">paradero puente nuevo </t>
  </si>
  <si>
    <t>LMAG036_F</t>
  </si>
  <si>
    <t xml:space="preserve">ADELANTO ENVIADO PARA DOMINGO </t>
  </si>
  <si>
    <t>105249902</t>
  </si>
  <si>
    <t>89025634</t>
  </si>
  <si>
    <t>957331694</t>
  </si>
  <si>
    <t>02413778</t>
  </si>
  <si>
    <t>HERNAN MIGUEL PANTIGOSO CUTIPA</t>
  </si>
  <si>
    <t>MAXIMO</t>
  </si>
  <si>
    <t>LOLA</t>
  </si>
  <si>
    <t>hernanpantigoso@gmail.com</t>
  </si>
  <si>
    <t>jr zerafin firpo 152</t>
  </si>
  <si>
    <t>-15.49024997, -70.13841918</t>
  </si>
  <si>
    <t>CALLE SANDIA</t>
  </si>
  <si>
    <t>PUJL030-F</t>
  </si>
  <si>
    <t>105269227</t>
  </si>
  <si>
    <t>89053033</t>
  </si>
  <si>
    <t>955359122</t>
  </si>
  <si>
    <t>08121557</t>
  </si>
  <si>
    <t>CESAR AUGUSTO MOSAURIETA TOMAS</t>
  </si>
  <si>
    <t>ENRIQUE</t>
  </si>
  <si>
    <t>EUSEBIA</t>
  </si>
  <si>
    <t>cesaramte@hotmail.com</t>
  </si>
  <si>
    <t>964778549</t>
  </si>
  <si>
    <t>AV CANTACALLAO MZ C LT 9 URB LAS BEGONIAS</t>
  </si>
  <si>
    <t>-11.995755120942729, -77.11124733309511</t>
  </si>
  <si>
    <t>AV CANTA CALLAO</t>
  </si>
  <si>
    <t>LMJL169-S</t>
  </si>
  <si>
    <t xml:space="preserve">SE ENVIO REPRO 12/07 </t>
  </si>
  <si>
    <t>105273993</t>
  </si>
  <si>
    <t>89054770</t>
  </si>
  <si>
    <t>987541012</t>
  </si>
  <si>
    <t>004342773</t>
  </si>
  <si>
    <t>YORLENIS GUEVARA CALVO</t>
  </si>
  <si>
    <t>julioramo290982@gmail.com</t>
  </si>
  <si>
    <t>AV CANTACALLAO MZ C LT 31 URB LAS BEGONIAS</t>
  </si>
  <si>
    <t>-11.995751, -77.111162</t>
  </si>
  <si>
    <t>PASAJE LAS VIÑAS</t>
  </si>
  <si>
    <t>LMMP111-S</t>
  </si>
  <si>
    <t>105282393</t>
  </si>
  <si>
    <t>89059148</t>
  </si>
  <si>
    <t>982562450</t>
  </si>
  <si>
    <t>40640920</t>
  </si>
  <si>
    <t>DENIS HECTOR SOCUALAYA SOLANO</t>
  </si>
  <si>
    <t xml:space="preserve">HECTOR </t>
  </si>
  <si>
    <t>GREGORIA</t>
  </si>
  <si>
    <t>DENIS_SS1@HOTMAIL.COM</t>
  </si>
  <si>
    <t>Jr. San Antonio de Padua 488 2da zona Collique Comas</t>
  </si>
  <si>
    <t>-11.91729513, -77.03163386</t>
  </si>
  <si>
    <t>AV. SANTA ROSA</t>
  </si>
  <si>
    <t>LMCO232-F</t>
  </si>
  <si>
    <t xml:space="preserve">CL CONFORME CON REPRO </t>
  </si>
  <si>
    <t>105247641</t>
  </si>
  <si>
    <t>89030486</t>
  </si>
  <si>
    <t>959273695</t>
  </si>
  <si>
    <t>44036480</t>
  </si>
  <si>
    <t>MALPICA TOLEDO, SARITA DELIA</t>
  </si>
  <si>
    <t>Lurigancho-Chosica</t>
  </si>
  <si>
    <t>MERY LUZ</t>
  </si>
  <si>
    <t xml:space="preserve">s.malpica@outlook.com </t>
  </si>
  <si>
    <t>Jirón Brea Y Pariñas Mz I Lt 1 Urb pueblo joven   Lurigancho-Chosica 15468</t>
  </si>
  <si>
    <t xml:space="preserve">-11.93248961805105, -76.69151103611318 </t>
  </si>
  <si>
    <t xml:space="preserve">jr san martin de porres </t>
  </si>
  <si>
    <t>LMCS025-F</t>
  </si>
  <si>
    <t>105286223</t>
  </si>
  <si>
    <t>89061177</t>
  </si>
  <si>
    <t>915109766</t>
  </si>
  <si>
    <t>46749149</t>
  </si>
  <si>
    <t>KATTIA MARINA BRAVO GAVIDIA</t>
  </si>
  <si>
    <t>CESAR</t>
  </si>
  <si>
    <t>FORTUNATA</t>
  </si>
  <si>
    <t>percy073191@gmail.com</t>
  </si>
  <si>
    <t xml:space="preserve">av universitaria 3308 pilcomarca </t>
  </si>
  <si>
    <t>-9.962915193418057, -76.24577854542169</t>
  </si>
  <si>
    <t>av universitaria</t>
  </si>
  <si>
    <t>HUPM009-S</t>
  </si>
  <si>
    <t xml:space="preserve">SE MANDO ANULAR SOT - PENDIENTE DE INGRESAR NUEVO PLAN </t>
  </si>
  <si>
    <t>105199633</t>
  </si>
  <si>
    <t>88968737</t>
  </si>
  <si>
    <t>902240529</t>
  </si>
  <si>
    <t>002461492</t>
  </si>
  <si>
    <t>JHON JAIBER JOSÉ AGOSTINI ÁVILA</t>
  </si>
  <si>
    <t>Chorrillos</t>
  </si>
  <si>
    <t>GRUBER</t>
  </si>
  <si>
    <t xml:space="preserve"> jhonagostini@hotmail.com</t>
  </si>
  <si>
    <t>PASAJE LAS ORQUIDEAS MZ I LT 17A, URB. BELLO HORIZONTE POR CALLE LOS SAUCES.</t>
  </si>
  <si>
    <t>-12.199820, -77.015542</t>
  </si>
  <si>
    <t>TRES CUADRAS DE PLAZA VEA</t>
  </si>
  <si>
    <t>LMCH154-F</t>
  </si>
  <si>
    <t>105276566</t>
  </si>
  <si>
    <t>89057419</t>
  </si>
  <si>
    <t>925020856</t>
  </si>
  <si>
    <t>46256747</t>
  </si>
  <si>
    <t>SANDY AQUIJE SARAVIA</t>
  </si>
  <si>
    <t>Nazca</t>
  </si>
  <si>
    <t>Héctor</t>
  </si>
  <si>
    <t>Rosa</t>
  </si>
  <si>
    <t xml:space="preserve">saquije@corpac.pe </t>
  </si>
  <si>
    <t>‪925 020 856‬</t>
  </si>
  <si>
    <t>CALLE GARCIA SALCEDO, MZ LT 40 -  URB GARCIA DE SALCEDO NASCA - NASCA - ICA</t>
  </si>
  <si>
    <t>-14.8247803476703, -74.93518861807063</t>
  </si>
  <si>
    <t>colegio Steve Johns</t>
  </si>
  <si>
    <t>ICNZ003-F</t>
  </si>
  <si>
    <t>300MBPS</t>
  </si>
  <si>
    <t>VENCIMIENTO DE FRANJA, SE MANDA PLANTILLA</t>
  </si>
  <si>
    <t>105223142</t>
  </si>
  <si>
    <t>88993641</t>
  </si>
  <si>
    <t>941143463</t>
  </si>
  <si>
    <t>74589665</t>
  </si>
  <si>
    <t>NICOLAS ENRIQUE ZAMORA CHUMBISLLA</t>
  </si>
  <si>
    <t>030506</t>
  </si>
  <si>
    <t>Cotabambas</t>
  </si>
  <si>
    <t>nicolas</t>
  </si>
  <si>
    <t>giovanna</t>
  </si>
  <si>
    <t>74589665@continental.edu.pe</t>
  </si>
  <si>
    <t>callhuahuacho mz s2 lt 2</t>
  </si>
  <si>
    <t>-14.122359472580799, -72.25942846189453</t>
  </si>
  <si>
    <t>institucion educativa wichaypampa</t>
  </si>
  <si>
    <t>APCH001-F</t>
  </si>
  <si>
    <t>105330743</t>
  </si>
  <si>
    <t>89093332</t>
  </si>
  <si>
    <t>923869501</t>
  </si>
  <si>
    <t>02442829</t>
  </si>
  <si>
    <t>MARINA PEREGRINA VILCA HUMPIRI</t>
  </si>
  <si>
    <t xml:space="preserve">ANTONIO </t>
  </si>
  <si>
    <t>marinazevi@gmail.com</t>
  </si>
  <si>
    <t xml:space="preserve">923869501 </t>
  </si>
  <si>
    <t xml:space="preserve">930258007 </t>
  </si>
  <si>
    <t xml:space="preserve"> arequipa mariano melgar </t>
  </si>
  <si>
    <t>-16.39314693719281, -71.50116855276282</t>
  </si>
  <si>
    <t xml:space="preserve">ctra. central </t>
  </si>
  <si>
    <t xml:space="preserve">AQMM021-F </t>
  </si>
  <si>
    <t>105324367</t>
  </si>
  <si>
    <t>89089179</t>
  </si>
  <si>
    <t>992468420</t>
  </si>
  <si>
    <t>45453835</t>
  </si>
  <si>
    <t>ANDREA LIZBETH DIAZ NUÑEZ</t>
  </si>
  <si>
    <t>San Bartolo</t>
  </si>
  <si>
    <t xml:space="preserve">CARMEN </t>
  </si>
  <si>
    <t xml:space="preserve">adiazn05@hotmail.com  </t>
  </si>
  <si>
    <t xml:space="preserve">992468420 </t>
  </si>
  <si>
    <t>975967596</t>
  </si>
  <si>
    <t xml:space="preserve">AV EL BOSQUE 429 UB CASCO UBANO SAN BARTOLO  </t>
  </si>
  <si>
    <t>-12.386443333177924,76.78068839402636</t>
  </si>
  <si>
    <t xml:space="preserve">CON AV MAR DEL PACIFICO  </t>
  </si>
  <si>
    <t xml:space="preserve"> LMBT002-F</t>
  </si>
  <si>
    <t>ERROR MASIVO AUDIO</t>
  </si>
  <si>
    <t>105315356</t>
  </si>
  <si>
    <t>89085703</t>
  </si>
  <si>
    <t>907269511</t>
  </si>
  <si>
    <t>46168538</t>
  </si>
  <si>
    <t>FIORELLA KATHERINE GUEVARA YZACIGA</t>
  </si>
  <si>
    <t>San Luis</t>
  </si>
  <si>
    <t>Bertha</t>
  </si>
  <si>
    <t>fioryza24@hotmail.es</t>
  </si>
  <si>
    <t>Jr. Álava 276 San Luis</t>
  </si>
  <si>
    <t>-12.077683, -76.995656</t>
  </si>
  <si>
    <t>Av. Alicante</t>
  </si>
  <si>
    <t>LMSL008-S</t>
  </si>
  <si>
    <t>105324907</t>
  </si>
  <si>
    <t>89089464</t>
  </si>
  <si>
    <t>946409320</t>
  </si>
  <si>
    <t>09466909</t>
  </si>
  <si>
    <t>WALTER PAREDES MENDOZA</t>
  </si>
  <si>
    <t>JUANITA</t>
  </si>
  <si>
    <t>walter.cm.1966@gmail.com</t>
  </si>
  <si>
    <t>JR UCAYALI 121 URB LAS MORAS</t>
  </si>
  <si>
    <t>NADA</t>
  </si>
  <si>
    <t>-12.075215,-77.00022</t>
  </si>
  <si>
    <t>ENTRE AV SAN LUIS Y  JR RIO UCAYALI</t>
  </si>
  <si>
    <t>LMSL021-F</t>
  </si>
  <si>
    <t>105335604</t>
  </si>
  <si>
    <t>89096958</t>
  </si>
  <si>
    <t>986621256</t>
  </si>
  <si>
    <t>45727304</t>
  </si>
  <si>
    <t>EDWIN NEIL MACEDO LINO</t>
  </si>
  <si>
    <t>Chaclacayo</t>
  </si>
  <si>
    <t>edwin</t>
  </si>
  <si>
    <t>marlinda</t>
  </si>
  <si>
    <t>neilmacedolino90@gmail.com</t>
  </si>
  <si>
    <t>urb HUASCATA manzana n lote 10</t>
  </si>
  <si>
    <t>-11.993359531104279, -76.81918667727601</t>
  </si>
  <si>
    <t>parque de huascata</t>
  </si>
  <si>
    <t>LMCY009-F</t>
  </si>
  <si>
    <t>FIGURA EN EJECUCION EN SISACT PERO EJECUTADO SERVICIO EN POWERBI</t>
  </si>
  <si>
    <t>105202465</t>
  </si>
  <si>
    <t>88984807</t>
  </si>
  <si>
    <t>912975075</t>
  </si>
  <si>
    <t>008854110</t>
  </si>
  <si>
    <t>ROJAS PARADAS KLEIVYS JHOANS</t>
  </si>
  <si>
    <t>00</t>
  </si>
  <si>
    <t>no hay</t>
  </si>
  <si>
    <t xml:space="preserve">Yenny </t>
  </si>
  <si>
    <t>Johans_rojasparadas@hotmail.com</t>
  </si>
  <si>
    <t>urb augusto salazar bondy mz l lote 5</t>
  </si>
  <si>
    <t>-16.38076212989235, -71.52538610091437</t>
  </si>
  <si>
    <t>cristo rey sra yesi</t>
  </si>
  <si>
    <t>AQSA013</t>
  </si>
  <si>
    <t>105281575</t>
  </si>
  <si>
    <t>89058729</t>
  </si>
  <si>
    <t>912435819</t>
  </si>
  <si>
    <t>44412922</t>
  </si>
  <si>
    <t>FERNANDO CEFERINO CERNA DEPAZ</t>
  </si>
  <si>
    <t>020100</t>
  </si>
  <si>
    <t>ceferino</t>
  </si>
  <si>
    <t>alvina</t>
  </si>
  <si>
    <t>fernandocd9@gmail.com</t>
  </si>
  <si>
    <t>calle celeste 229</t>
  </si>
  <si>
    <t>-9.514983778577575, -77.52685675760632</t>
  </si>
  <si>
    <t>PASAJE LAS GAVIOTAS</t>
  </si>
  <si>
    <t>HZIN032-F</t>
  </si>
  <si>
    <t>105354697</t>
  </si>
  <si>
    <t>89127413</t>
  </si>
  <si>
    <t>959704704</t>
  </si>
  <si>
    <t>42592834</t>
  </si>
  <si>
    <t>JHOJAN CHRISTOPHER DONAYRE FAJARDO</t>
  </si>
  <si>
    <t>San Isidro</t>
  </si>
  <si>
    <t xml:space="preserve">LUIS </t>
  </si>
  <si>
    <t xml:space="preserve">Lillian </t>
  </si>
  <si>
    <t xml:space="preserve"> jhojandf03@gmail.com</t>
  </si>
  <si>
    <t>calle Cieza de León 130 San Isidro</t>
  </si>
  <si>
    <t>-12.0926194152414, -77.03116956074328</t>
  </si>
  <si>
    <t xml:space="preserve">ENTRE CALLE VIRREY TOLEDO Y CIEZA DE LEON </t>
  </si>
  <si>
    <t>5018A03-S</t>
  </si>
  <si>
    <t>105358857</t>
  </si>
  <si>
    <t>89129655</t>
  </si>
  <si>
    <t>914923415</t>
  </si>
  <si>
    <t>60955645</t>
  </si>
  <si>
    <t>SEBASTIAN ORLIN ENRIQUEZ SOLSOL</t>
  </si>
  <si>
    <t>Juan Carlos</t>
  </si>
  <si>
    <t xml:space="preserve">Betsy  </t>
  </si>
  <si>
    <t>sebastianenriquez150106@gmail.com</t>
  </si>
  <si>
    <t>José Carlos mariategui 148 san Francisco chiclayo</t>
  </si>
  <si>
    <t xml:space="preserve"> -6.77817611954859, -79.86076228786179</t>
  </si>
  <si>
    <t>El parque de los main Cassiopeia</t>
  </si>
  <si>
    <t>LBCH031-F</t>
  </si>
  <si>
    <t>rescate comercial</t>
  </si>
  <si>
    <t>105282390</t>
  </si>
  <si>
    <t>89059243</t>
  </si>
  <si>
    <t>956545428</t>
  </si>
  <si>
    <t>77019539</t>
  </si>
  <si>
    <t>VIRGILIO LINO CONDO CHUQUIRIMAY</t>
  </si>
  <si>
    <t>040404</t>
  </si>
  <si>
    <t>Pisco</t>
  </si>
  <si>
    <t>VIRGILIO</t>
  </si>
  <si>
    <t xml:space="preserve">GERONIMA </t>
  </si>
  <si>
    <t>lino.condo.ch@gmail.com</t>
  </si>
  <si>
    <t>932439181</t>
  </si>
  <si>
    <t>AV Tupac Amaru mz 44 lote 15 B</t>
  </si>
  <si>
    <t>-13.714189, -76.147506</t>
  </si>
  <si>
    <t xml:space="preserve">AV FERMIN TANGUIS </t>
  </si>
  <si>
    <t>ICTA002-F</t>
  </si>
  <si>
    <t>105379033</t>
  </si>
  <si>
    <t>89146598</t>
  </si>
  <si>
    <t>930696208</t>
  </si>
  <si>
    <t>70470485</t>
  </si>
  <si>
    <t>DIEGO SANTIAGO ORBEGOSO ANGELES</t>
  </si>
  <si>
    <t>JUVENAL</t>
  </si>
  <si>
    <t>DIEGO.969390922@GMAIL.COM</t>
  </si>
  <si>
    <t>calle capirona 1909</t>
  </si>
  <si>
    <t>-8.071878456709081, -78.9930872062697</t>
  </si>
  <si>
    <t>CALLE TACNA</t>
  </si>
  <si>
    <t>LLEP018-F</t>
  </si>
  <si>
    <t>SE ENVIO COORDINACION EN TURNO PM</t>
  </si>
  <si>
    <t>105348188</t>
  </si>
  <si>
    <t>89121851</t>
  </si>
  <si>
    <t>960307261</t>
  </si>
  <si>
    <t>44519214</t>
  </si>
  <si>
    <t>LEONARDO FRANKLIN QUISPE YALLE</t>
  </si>
  <si>
    <t>GODO</t>
  </si>
  <si>
    <t>Quispeyalleleonardo56@gmail.com</t>
  </si>
  <si>
    <t>URB. PILAR NORES DE GARCIA MZ E LT 8 PUEBLO NUEVO</t>
  </si>
  <si>
    <t>-13.400285,-76.143508</t>
  </si>
  <si>
    <t xml:space="preserve">AV UNION </t>
  </si>
  <si>
    <t>ICCP016-F</t>
  </si>
  <si>
    <t>105409575</t>
  </si>
  <si>
    <t>89181799</t>
  </si>
  <si>
    <t>922766591</t>
  </si>
  <si>
    <t>45214315</t>
  </si>
  <si>
    <t>EDER LUIS RODRIGUEZ BERECHE</t>
  </si>
  <si>
    <t>julio</t>
  </si>
  <si>
    <t>sofia</t>
  </si>
  <si>
    <t>edercito123@gmail.com</t>
  </si>
  <si>
    <t xml:space="preserve">calle 36 mz e lt 17   asentamiento humano villa los angeles </t>
  </si>
  <si>
    <t>-9.144594360606343, -78.50972758576715</t>
  </si>
  <si>
    <t>calle 22</t>
  </si>
  <si>
    <t>ANNC005-F</t>
  </si>
  <si>
    <t>105428812</t>
  </si>
  <si>
    <t>89188467</t>
  </si>
  <si>
    <t>933493690</t>
  </si>
  <si>
    <t>32917555</t>
  </si>
  <si>
    <t>MARIANELA JANET CISNEROS ALFARO</t>
  </si>
  <si>
    <t>NELA</t>
  </si>
  <si>
    <t>COCACISNEROS50@GMAIL.COM</t>
  </si>
  <si>
    <t>CALLE D MZ L LOTE 22 URB LOS PINOS ANCASH</t>
  </si>
  <si>
    <t>-9.055895662035711, -78.58985428917735</t>
  </si>
  <si>
    <t>CBCBO07-S</t>
  </si>
  <si>
    <t>105443598</t>
  </si>
  <si>
    <t>89211524</t>
  </si>
  <si>
    <t>963205566</t>
  </si>
  <si>
    <t>41921272</t>
  </si>
  <si>
    <t>KAREN JACQUELINE ROMERO MORI</t>
  </si>
  <si>
    <t>JACQUELINE</t>
  </si>
  <si>
    <t>KARENROMEROMORI83@GMAIL.COM</t>
  </si>
  <si>
    <t xml:space="preserve"> pasaje jorge colque mz l1 lt 1 urb san juan masias</t>
  </si>
  <si>
    <t xml:space="preserve"> -11.99852, -77.120051</t>
  </si>
  <si>
    <t>psj abancay//// IEP san juan macias al frente</t>
  </si>
  <si>
    <t>LMCA048-S</t>
  </si>
  <si>
    <t xml:space="preserve">SE ESTA RECUPERANDO </t>
  </si>
  <si>
    <t>105442580</t>
  </si>
  <si>
    <t>89212106</t>
  </si>
  <si>
    <t>965816651</t>
  </si>
  <si>
    <t>46373400</t>
  </si>
  <si>
    <t>RAQUEL EUNICE VILLEGAS ALARCON</t>
  </si>
  <si>
    <t>raquel.villegas90@gmail.com</t>
  </si>
  <si>
    <t>JR JULIO CESAR TELLO 470</t>
  </si>
  <si>
    <t>-12.086176224, -77.038442955</t>
  </si>
  <si>
    <t>-</t>
  </si>
  <si>
    <t>LMLC009-S</t>
  </si>
  <si>
    <t>PROGRAMADA</t>
  </si>
  <si>
    <t>105476039</t>
  </si>
  <si>
    <t>89232177</t>
  </si>
  <si>
    <t>906671835</t>
  </si>
  <si>
    <t>60451631</t>
  </si>
  <si>
    <t>FABRIZIO FERNANDO AGUILAR VERA</t>
  </si>
  <si>
    <t>RUTH</t>
  </si>
  <si>
    <t>afernandoaguilarvera@gmail.com</t>
  </si>
  <si>
    <t>residencial puertas del sol n1</t>
  </si>
  <si>
    <t xml:space="preserve"> -6.806927, -79.826087</t>
  </si>
  <si>
    <t xml:space="preserve">CALLE VICTORIA </t>
  </si>
  <si>
    <t>chl111-s</t>
  </si>
  <si>
    <t>105382091</t>
  </si>
  <si>
    <t>89148816</t>
  </si>
  <si>
    <t>973068853</t>
  </si>
  <si>
    <t>32988719</t>
  </si>
  <si>
    <t>SUSAN HERLITA MORENO TAPIA</t>
  </si>
  <si>
    <t>HERLITA</t>
  </si>
  <si>
    <t xml:space="preserve">SUHEMOTA@GMAIL.COM </t>
  </si>
  <si>
    <t>barrio fiscal 5 mz b lt 12</t>
  </si>
  <si>
    <t>-9.066677,-78.596842</t>
  </si>
  <si>
    <t>av industrial</t>
  </si>
  <si>
    <t>CBCB025</t>
  </si>
  <si>
    <t>105474130</t>
  </si>
  <si>
    <t>89232039</t>
  </si>
  <si>
    <t>945955963</t>
  </si>
  <si>
    <t>22275348</t>
  </si>
  <si>
    <t>ODRIA PAREDES, MARIA ALICIA</t>
  </si>
  <si>
    <t>MARCO</t>
  </si>
  <si>
    <t>malu-1307@hotmail.com</t>
  </si>
  <si>
    <t>calle Las sideritas mz q lt 50</t>
  </si>
  <si>
    <t>-11.988454,-77.084232</t>
  </si>
  <si>
    <t>calle los lirios</t>
  </si>
  <si>
    <t>lmmp137-s</t>
  </si>
  <si>
    <t>NO CONTESTA</t>
  </si>
  <si>
    <t>105464796</t>
  </si>
  <si>
    <t>89224281</t>
  </si>
  <si>
    <t>936224203</t>
  </si>
  <si>
    <t>60967496</t>
  </si>
  <si>
    <t>ALEXIS BALTAZAR MAMANI MAMANI</t>
  </si>
  <si>
    <t>040112</t>
  </si>
  <si>
    <t>CRISTINA</t>
  </si>
  <si>
    <t>am9517534@gmail.com</t>
  </si>
  <si>
    <t>CL LOS CLAVELES MZ U LT 13 URB CAMPO DE MARTE</t>
  </si>
  <si>
    <t>-16.426891, -71.49775</t>
  </si>
  <si>
    <t>CALLE LOS CLAVELES</t>
  </si>
  <si>
    <t>AQPP048-S</t>
  </si>
  <si>
    <t>MANDAR ATENDER SOT EL DIA 20/7</t>
  </si>
  <si>
    <t>105083689</t>
  </si>
  <si>
    <t>88868891</t>
  </si>
  <si>
    <t>930377030</t>
  </si>
  <si>
    <t>44001748</t>
  </si>
  <si>
    <t>JUAN VLADIMIR FARFAN MAMANI</t>
  </si>
  <si>
    <t xml:space="preserve">JUAN </t>
  </si>
  <si>
    <t>LIDIA</t>
  </si>
  <si>
    <t>jcomandof@gmail.com</t>
  </si>
  <si>
    <t>CALLE SIR JONES 50</t>
  </si>
  <si>
    <t>-18.016951143489944, -70.25196008652028</t>
  </si>
  <si>
    <t>AV. GRAU, PARQUE LOCOMOTORA, IE SANTA MARIA</t>
  </si>
  <si>
    <t>TCNA024</t>
  </si>
  <si>
    <t>105457773</t>
  </si>
  <si>
    <t>89220615</t>
  </si>
  <si>
    <t>928430064</t>
  </si>
  <si>
    <t>46812160</t>
  </si>
  <si>
    <t>JOSE EDUARDO COLLANTES INFANTE</t>
  </si>
  <si>
    <t>AMADO</t>
  </si>
  <si>
    <t xml:space="preserve"> KCOLLANTESYNFANTE@GMAIL.COM</t>
  </si>
  <si>
    <t>932021497</t>
  </si>
  <si>
    <t>CALLE BERNARDO O'HIGGINS 1336, LA ESPERANZA, TRUJILLO - LA LIBERTAD.</t>
  </si>
  <si>
    <t>-8.07935742436717, -79.0442797907772</t>
  </si>
  <si>
    <t>ALT. PUENTE LA CRUZ</t>
  </si>
  <si>
    <t xml:space="preserve"> TRLE004-S</t>
  </si>
  <si>
    <t>105490866</t>
  </si>
  <si>
    <t>89238955</t>
  </si>
  <si>
    <t>967621992</t>
  </si>
  <si>
    <t>72214402</t>
  </si>
  <si>
    <t>ALVARO LUIS MURO VILLAVICENCIO</t>
  </si>
  <si>
    <t>La Molina</t>
  </si>
  <si>
    <t>LITA</t>
  </si>
  <si>
    <t>ALVA2504@GMAIL.COM</t>
  </si>
  <si>
    <t>VILLA REAL DE LOS INFANTES 255 TORRE 4</t>
  </si>
  <si>
    <t>-12.104268, -76.937201</t>
  </si>
  <si>
    <t>RK Patisserie</t>
  </si>
  <si>
    <t>LAMO042-S</t>
  </si>
  <si>
    <t>105473930</t>
  </si>
  <si>
    <t>89231360</t>
  </si>
  <si>
    <t>946053964</t>
  </si>
  <si>
    <t>77806035</t>
  </si>
  <si>
    <t>PATRIC JHAIR HUAYTA ALMEIDA</t>
  </si>
  <si>
    <t>ADOLFO</t>
  </si>
  <si>
    <t>MARITZA</t>
  </si>
  <si>
    <t>alharhakhitho1994tlv@gmail.com</t>
  </si>
  <si>
    <t>Mz V3, Lt12 -URB.MARISCAL ANDRES AVELINO CACERES SECTOR 2</t>
  </si>
  <si>
    <t>-11.945144305599541, -76.97555874723281</t>
  </si>
  <si>
    <t>A LA ALTURA DE LA AV.CIRCUNVALACION</t>
  </si>
  <si>
    <t xml:space="preserve">LMJL181-S </t>
  </si>
  <si>
    <t>105522178</t>
  </si>
  <si>
    <t>89269452</t>
  </si>
  <si>
    <t>999931338</t>
  </si>
  <si>
    <t>42639907</t>
  </si>
  <si>
    <t>DARWIN BRAULIO ROBLES ILDEFONSO</t>
  </si>
  <si>
    <t>roblesdbi@gmail.com</t>
  </si>
  <si>
    <t>nueva caledonia, calle castrovirreyna MZ g lt 20</t>
  </si>
  <si>
    <t>-12.195949, -77.027649</t>
  </si>
  <si>
    <t>CALLE ANCASH</t>
  </si>
  <si>
    <t>LMCH090-F</t>
  </si>
  <si>
    <t>FALTA ACTUALIZACION DE ESTADO.</t>
  </si>
  <si>
    <t>105486558</t>
  </si>
  <si>
    <t>89237227</t>
  </si>
  <si>
    <t>986607574</t>
  </si>
  <si>
    <t>20454443765</t>
  </si>
  <si>
    <t>P &amp; O SISTEMAS GERENCIALES S.A.C.</t>
  </si>
  <si>
    <t>Foroza@posigesa.net.pe</t>
  </si>
  <si>
    <t>Calle san martin 836 miraflores lima</t>
  </si>
  <si>
    <t>-12.127767,-77.025267</t>
  </si>
  <si>
    <t>av grimaldo</t>
  </si>
  <si>
    <t>5518d04-R</t>
  </si>
  <si>
    <t>105528540</t>
  </si>
  <si>
    <t>89272796</t>
  </si>
  <si>
    <t>936682023</t>
  </si>
  <si>
    <t>23657035</t>
  </si>
  <si>
    <t>FELIX TEODORO ALANYA HUAYANAY</t>
  </si>
  <si>
    <t>MAMERTO</t>
  </si>
  <si>
    <t>FELICITAS</t>
  </si>
  <si>
    <t>Adelur262205@gmail.com</t>
  </si>
  <si>
    <t xml:space="preserve">AV 1ERO DE MAYO 220 </t>
  </si>
  <si>
    <t>-11.567485, -77.272781</t>
  </si>
  <si>
    <t>28 DE JULIO</t>
  </si>
  <si>
    <t>LMCC006-F</t>
  </si>
  <si>
    <t>105517491</t>
  </si>
  <si>
    <t>89268247</t>
  </si>
  <si>
    <t>943872840</t>
  </si>
  <si>
    <t>09809000</t>
  </si>
  <si>
    <t>ROSA ENITH LINARES DE VENANCINO</t>
  </si>
  <si>
    <t>tio</t>
  </si>
  <si>
    <t>rosa</t>
  </si>
  <si>
    <t>a.venancino66@gmail.com</t>
  </si>
  <si>
    <t>991644308</t>
  </si>
  <si>
    <t>URBANIZACIÓN	SANTA ROSA DE QUIVES  mz T1 via 201</t>
  </si>
  <si>
    <t>-12.052744605908629, -76.97745784290014</t>
  </si>
  <si>
    <t>al fente de mirlos</t>
  </si>
  <si>
    <t>LMSA025</t>
  </si>
  <si>
    <t>105566287</t>
  </si>
  <si>
    <t>89323475</t>
  </si>
  <si>
    <t>921064620</t>
  </si>
  <si>
    <t>01333032</t>
  </si>
  <si>
    <t>FILOMENA LOURDES QUICAÑO NÚÑEZ DE LÓPEZ</t>
  </si>
  <si>
    <t>040116</t>
  </si>
  <si>
    <t>Puno</t>
  </si>
  <si>
    <t>ALBERTO</t>
  </si>
  <si>
    <t>ROSARIO</t>
  </si>
  <si>
    <t>fquicano@unap.edu.pe</t>
  </si>
  <si>
    <t xml:space="preserve">921064620  </t>
  </si>
  <si>
    <t xml:space="preserve">959886668 </t>
  </si>
  <si>
    <t>CALLE ALBERTO BARREDA CUENTAS 245 URBANIZACIÓN APROVI PUNO PUNO</t>
  </si>
  <si>
    <t>-15.82102521, -70.02270707</t>
  </si>
  <si>
    <t>,</t>
  </si>
  <si>
    <t>PUPU037</t>
  </si>
  <si>
    <t xml:space="preserve">PROCEDE     </t>
  </si>
  <si>
    <t>105547433</t>
  </si>
  <si>
    <t>89308644</t>
  </si>
  <si>
    <t>987057947</t>
  </si>
  <si>
    <t>72244365</t>
  </si>
  <si>
    <t>COLLADO FUENTES, FIORELLA NICOLE</t>
  </si>
  <si>
    <t xml:space="preserve">jesus </t>
  </si>
  <si>
    <t>fcolladof@unsa.edu.pe</t>
  </si>
  <si>
    <t>958234654</t>
  </si>
  <si>
    <t>urb  MONTE BELLO mz m lote 16</t>
  </si>
  <si>
    <t>-16.36535645, -71.56499859</t>
  </si>
  <si>
    <t xml:space="preserve">av borberon </t>
  </si>
  <si>
    <t>AQCC037-S</t>
  </si>
  <si>
    <t>105577058</t>
  </si>
  <si>
    <t>89333471</t>
  </si>
  <si>
    <t>955074018</t>
  </si>
  <si>
    <t>44353837</t>
  </si>
  <si>
    <t>MARTIN ALBERTO SEMINO POTENCIANO</t>
  </si>
  <si>
    <t>JUAN</t>
  </si>
  <si>
    <t xml:space="preserve">seminomartin@gmail.com </t>
  </si>
  <si>
    <t xml:space="preserve">Mz J, Lt 3 Comité 14 URB.San Juan de la Libertad, Chorrillos </t>
  </si>
  <si>
    <t>-12.190791642776313, -76.988430000318</t>
  </si>
  <si>
    <t>CALLE 5</t>
  </si>
  <si>
    <t>LMCH138-F</t>
  </si>
  <si>
    <t>SE ENVIO ADELANTO 21/07</t>
  </si>
  <si>
    <t>105481225</t>
  </si>
  <si>
    <t>89234500</t>
  </si>
  <si>
    <t>929107393</t>
  </si>
  <si>
    <t>75324640</t>
  </si>
  <si>
    <t>JORGE MIGUEL VILLARROEL CARDENAS</t>
  </si>
  <si>
    <t>Huancavelica</t>
  </si>
  <si>
    <t>JAVIER</t>
  </si>
  <si>
    <t>HELI MARNA</t>
  </si>
  <si>
    <t>jorge.cardenas050298@gmail.com</t>
  </si>
  <si>
    <t>JR INCA RIPAC 197</t>
  </si>
  <si>
    <t xml:space="preserve"> -12.78099775453626, -74.97241506267915</t>
  </si>
  <si>
    <t>HVHV014-F</t>
  </si>
  <si>
    <t>105553922</t>
  </si>
  <si>
    <t>89314456</t>
  </si>
  <si>
    <t>940620826</t>
  </si>
  <si>
    <t>73588688</t>
  </si>
  <si>
    <t>MEYER ALIN RUFINO ROJAS</t>
  </si>
  <si>
    <t>090205</t>
  </si>
  <si>
    <t>ROMULO</t>
  </si>
  <si>
    <t>BERTA</t>
  </si>
  <si>
    <t>yalicorosa58@gmail.com</t>
  </si>
  <si>
    <t>925559743</t>
  </si>
  <si>
    <t>AVENIDA EL MURO A.H MARISCAL ANDRES AVELINO CACERES MZ M9 LT 28 (SAN JUAN DE LURIGANCHO, LIMA, LIMA)</t>
  </si>
  <si>
    <t>-11.948105981,-76.9839963219999</t>
  </si>
  <si>
    <t>AV. EL MURO Y EV. FERNANDO WIESE</t>
  </si>
  <si>
    <t>LMJL090-S</t>
  </si>
  <si>
    <t>105579790</t>
  </si>
  <si>
    <t>89335053</t>
  </si>
  <si>
    <t>990804777</t>
  </si>
  <si>
    <t>21854143</t>
  </si>
  <si>
    <t>HENRY ALEXANDER ZEVALLOS LEON</t>
  </si>
  <si>
    <t>San Miguel</t>
  </si>
  <si>
    <t>ROSA</t>
  </si>
  <si>
    <t>hzevallosleon@gmail.com</t>
  </si>
  <si>
    <t>ALFONSO UGARTE 382 URB SAN MIGUEL, LIMA, LIMA</t>
  </si>
  <si>
    <t>N/A</t>
  </si>
  <si>
    <t>-12.08951, -77.081187</t>
  </si>
  <si>
    <t>CRUCE AV TACNA CON JIRON ALFONSO UGARTE</t>
  </si>
  <si>
    <t>LMSM047-S</t>
  </si>
  <si>
    <t xml:space="preserve">ENVIAR ADELANTO 18/07 11AM  SE CORRIGE DIRECCION DE CL </t>
  </si>
  <si>
    <t>105451255</t>
  </si>
  <si>
    <t>89218901</t>
  </si>
  <si>
    <t>963087942</t>
  </si>
  <si>
    <t>45438286</t>
  </si>
  <si>
    <t>MELVIN LUIS BACON LEON</t>
  </si>
  <si>
    <t xml:space="preserve">MARIA </t>
  </si>
  <si>
    <t xml:space="preserve">melvin.leaderx@gmail.com </t>
  </si>
  <si>
    <t>ahh COYSHCO  MZ W3 LT 28</t>
  </si>
  <si>
    <t>-9.0267828376822, -78.61567430344586</t>
  </si>
  <si>
    <t>AV JORGE CHAVEZ</t>
  </si>
  <si>
    <t>ANCO002-F</t>
  </si>
  <si>
    <t>105532405</t>
  </si>
  <si>
    <t>89274817</t>
  </si>
  <si>
    <t>963324804</t>
  </si>
  <si>
    <t>75223132</t>
  </si>
  <si>
    <t>CHRISTIAN JEAN PIERRE BARRERA URIBIA</t>
  </si>
  <si>
    <t>040701</t>
  </si>
  <si>
    <t>Carmen de la Legua-Reynoso</t>
  </si>
  <si>
    <t>CHRISTHIAN</t>
  </si>
  <si>
    <t>NOELIA</t>
  </si>
  <si>
    <t>JEANPIEREBARRERA7@GMAIL.COM</t>
  </si>
  <si>
    <t xml:space="preserve">AV ELMER FAUCCET 620  </t>
  </si>
  <si>
    <t>-12.04416, -77.098247</t>
  </si>
  <si>
    <t>LMCL008-S</t>
  </si>
  <si>
    <t>105550083</t>
  </si>
  <si>
    <t>89311046</t>
  </si>
  <si>
    <t>92856608</t>
  </si>
  <si>
    <t>74352825</t>
  </si>
  <si>
    <t>LESLIE SHARON HUAYLLAHUA PANAIFO</t>
  </si>
  <si>
    <t>LINDER</t>
  </si>
  <si>
    <t>YAQUELINE</t>
  </si>
  <si>
    <t>lesharon06@gmail.com</t>
  </si>
  <si>
    <t>944631847</t>
  </si>
  <si>
    <t>MZ N LT 23 URB LOS ALISOS, SAN MARTIN DE PORRES, LIMA, LIMA</t>
  </si>
  <si>
    <t xml:space="preserve"> N/A</t>
  </si>
  <si>
    <t xml:space="preserve"> -11.98552, -77.09025</t>
  </si>
  <si>
    <t>LMMP126-S</t>
  </si>
  <si>
    <t>105590719</t>
  </si>
  <si>
    <t>89339895</t>
  </si>
  <si>
    <t>944632444</t>
  </si>
  <si>
    <t>25737670</t>
  </si>
  <si>
    <t>PATRICIA AURORA ARAYA RAMIREZ</t>
  </si>
  <si>
    <t>PATRICIAARAYA690@GMAIL.COM</t>
  </si>
  <si>
    <t>9446324444</t>
  </si>
  <si>
    <t>MZG LT 23 URBA FAUCETT</t>
  </si>
  <si>
    <t>-11.995184,-77.1197</t>
  </si>
  <si>
    <t>CALLE B</t>
  </si>
  <si>
    <t>LMCA050-S</t>
  </si>
  <si>
    <t>CL ATENDIDO PERO NO SALE EN SISACT</t>
  </si>
  <si>
    <t>105442755</t>
  </si>
  <si>
    <t>89211162</t>
  </si>
  <si>
    <t>987267913</t>
  </si>
  <si>
    <t>47617687</t>
  </si>
  <si>
    <t>EDUARDO RAMIREZ PONCE</t>
  </si>
  <si>
    <t>NERY</t>
  </si>
  <si>
    <t>eldulce735@gmail.com</t>
  </si>
  <si>
    <t>Av.jose Carlos mariategui  1212</t>
  </si>
  <si>
    <t>-12.025759508,-76.909354493</t>
  </si>
  <si>
    <t>calle los manzanos</t>
  </si>
  <si>
    <t>LMAT098-F</t>
  </si>
  <si>
    <t>105569326</t>
  </si>
  <si>
    <t>89339619</t>
  </si>
  <si>
    <t>904238423</t>
  </si>
  <si>
    <t>61408827</t>
  </si>
  <si>
    <t>HITLER ISAIAS CURICO CARITIMARI</t>
  </si>
  <si>
    <t>PEREGRINO</t>
  </si>
  <si>
    <t>MERLI</t>
  </si>
  <si>
    <t>hitlerisaiascuricocaritimari@email.com</t>
  </si>
  <si>
    <t xml:space="preserve">904238423 </t>
  </si>
  <si>
    <t>CALLE MAR DE AZOV MZ E LOTE 13  URB	ENRIQUE MONTENEGRO SAN JUAN DE LURIGANCHO</t>
  </si>
  <si>
    <t>-11.939861601409513, -76.97036457736253</t>
  </si>
  <si>
    <t>LMJL184</t>
  </si>
  <si>
    <t xml:space="preserve">REPROGRAMARA </t>
  </si>
  <si>
    <t>105479068</t>
  </si>
  <si>
    <t>89233595</t>
  </si>
  <si>
    <t>946033953</t>
  </si>
  <si>
    <t>09661999</t>
  </si>
  <si>
    <t>YESICA YSABEL BENITO CANO</t>
  </si>
  <si>
    <t>ZOILA</t>
  </si>
  <si>
    <t>PENALOPEZCARLOSALBERTO@GMAIL.COM</t>
  </si>
  <si>
    <t>calle san luis gonzaga 700</t>
  </si>
  <si>
    <t>-12.022381,-77.002222</t>
  </si>
  <si>
    <t>JIRON CAJAMARQUILLA</t>
  </si>
  <si>
    <t>LMJL065-S</t>
  </si>
  <si>
    <t>105555237</t>
  </si>
  <si>
    <t>89315601</t>
  </si>
  <si>
    <t>946123690</t>
  </si>
  <si>
    <t>45356633</t>
  </si>
  <si>
    <t>JOSE EINER HERNANDEZ RODAS</t>
  </si>
  <si>
    <t>Barranca</t>
  </si>
  <si>
    <t>EUGENIO</t>
  </si>
  <si>
    <t>ALBINA</t>
  </si>
  <si>
    <t>JOSEEINERHERNANDEZRODAS@GMAIL.COM</t>
  </si>
  <si>
    <t xml:space="preserve"> 946123690</t>
  </si>
  <si>
    <t>av pampa de lara psje nuñez interior 4</t>
  </si>
  <si>
    <t>-10.744380, -77.759930</t>
  </si>
  <si>
    <t>jiron moquegua</t>
  </si>
  <si>
    <t>LMBR003-F</t>
  </si>
  <si>
    <t>105584987</t>
  </si>
  <si>
    <t>89337038</t>
  </si>
  <si>
    <t>982040301</t>
  </si>
  <si>
    <t>41858443</t>
  </si>
  <si>
    <t>YUDI VERONICA AMACHE LAUREN</t>
  </si>
  <si>
    <t>080106</t>
  </si>
  <si>
    <t>moises</t>
  </si>
  <si>
    <t>lauranteyudi@gmail.com</t>
  </si>
  <si>
    <t xml:space="preserve">prolongacion calca mz t2 lt 05 </t>
  </si>
  <si>
    <t>-13.321841586171674,-71.951862890993</t>
  </si>
  <si>
    <t xml:space="preserve">prolongacion la marv </t>
  </si>
  <si>
    <t>CZCA003_F</t>
  </si>
  <si>
    <t>105586573</t>
  </si>
  <si>
    <t>89337729</t>
  </si>
  <si>
    <t>917696568</t>
  </si>
  <si>
    <t>75354357</t>
  </si>
  <si>
    <t>YEFERSON JESUS PEREZ</t>
  </si>
  <si>
    <t>VERIUX@GMAIL.COM</t>
  </si>
  <si>
    <t>974245287</t>
  </si>
  <si>
    <t>URB VILLA CONFATERNIDAD</t>
  </si>
  <si>
    <t>-16.356609418252024,-71522777555532519</t>
  </si>
  <si>
    <t>AC CONFRATERNDAD</t>
  </si>
  <si>
    <t>AQS044</t>
  </si>
  <si>
    <t>105614097</t>
  </si>
  <si>
    <t>89353909</t>
  </si>
  <si>
    <t>968366848</t>
  </si>
  <si>
    <t>25819468</t>
  </si>
  <si>
    <t>NICSON GONZALES SAAVEDRA</t>
  </si>
  <si>
    <t>Mi Perú</t>
  </si>
  <si>
    <t>EDITH</t>
  </si>
  <si>
    <t>ngs7760@gmail.com</t>
  </si>
  <si>
    <t>932917332</t>
  </si>
  <si>
    <t>calle s/n sector b mz b15 lt 13</t>
  </si>
  <si>
    <t>-11.856972569670267, -77.12708254539278</t>
  </si>
  <si>
    <t>av arequipa</t>
  </si>
  <si>
    <t>LMVT046-F</t>
  </si>
  <si>
    <t>105632278</t>
  </si>
  <si>
    <t>89393474</t>
  </si>
  <si>
    <t>919196304</t>
  </si>
  <si>
    <t>06578872</t>
  </si>
  <si>
    <t>SANTA ELENA DAVILA IBARRA DE FERNANDEZ</t>
  </si>
  <si>
    <t>carlitosfernandezdavila1985@gmail.com</t>
  </si>
  <si>
    <t>974514199</t>
  </si>
  <si>
    <t>av miguel grau  mz 25A lote 9 urb santa clara</t>
  </si>
  <si>
    <t>-12.023597002292698, -76.88809978258675</t>
  </si>
  <si>
    <t>LMAT137-F</t>
  </si>
  <si>
    <t>105639679</t>
  </si>
  <si>
    <t>89401778</t>
  </si>
  <si>
    <t>970413966</t>
  </si>
  <si>
    <t>74915427</t>
  </si>
  <si>
    <t>JEFFREY ANDY ROJAS NAVARRO</t>
  </si>
  <si>
    <t>DAVID</t>
  </si>
  <si>
    <t>CELIA</t>
  </si>
  <si>
    <t>JEFFREY_ROJASNAVARRO1234@GMAIL.COM</t>
  </si>
  <si>
    <t>MZ 2 LT 11 AH SANTA TERESA DE VILLA</t>
  </si>
  <si>
    <t>-12.186052, -77.009359</t>
  </si>
  <si>
    <t>AV CAPITAN ELIAS AGUIRRE</t>
  </si>
  <si>
    <t>LMCH104-F</t>
  </si>
  <si>
    <t>105794532</t>
  </si>
  <si>
    <t>89564963</t>
  </si>
  <si>
    <t>900207964</t>
  </si>
  <si>
    <t>77333425</t>
  </si>
  <si>
    <t>ERICK GEYSON JULCA NATIVIDAD</t>
  </si>
  <si>
    <t>020105</t>
  </si>
  <si>
    <t>EDUIS</t>
  </si>
  <si>
    <t xml:space="preserve">LUZMILA </t>
  </si>
  <si>
    <t xml:space="preserve">erickjhamil5@gmail.com </t>
  </si>
  <si>
    <t>AV CENTENARIO 818  ANCASH HUARAZ INDEPENDENCIA</t>
  </si>
  <si>
    <t>-9.51675196 -77.53038588</t>
  </si>
  <si>
    <t>av centenario</t>
  </si>
  <si>
    <t>HZIN019-F</t>
  </si>
  <si>
    <t>105635713</t>
  </si>
  <si>
    <t>89395984</t>
  </si>
  <si>
    <t>913072537</t>
  </si>
  <si>
    <t>74600628</t>
  </si>
  <si>
    <t>XENA MIREDIA SAJAMI MACAHUACHI</t>
  </si>
  <si>
    <t>ROY</t>
  </si>
  <si>
    <t>SARON</t>
  </si>
  <si>
    <t>chinaxsaj@gmail.com</t>
  </si>
  <si>
    <t xml:space="preserve">913072537 </t>
  </si>
  <si>
    <t>LA ANGOSTURA ETAPA 1 MZ X LT 51,</t>
  </si>
  <si>
    <t>-14.039775227523096, -75.74923173983478</t>
  </si>
  <si>
    <t>AV SUBTAJALLA</t>
  </si>
  <si>
    <t>ICSB003</t>
  </si>
  <si>
    <t>105656192</t>
  </si>
  <si>
    <t>89416878</t>
  </si>
  <si>
    <t>972978345</t>
  </si>
  <si>
    <t>80205466</t>
  </si>
  <si>
    <t>ELSA MARIA CHIROQUE HUEZA</t>
  </si>
  <si>
    <t>MANAYJULCAA@GMAIL.COM</t>
  </si>
  <si>
    <t xml:space="preserve">972978345 </t>
  </si>
  <si>
    <t>990706144</t>
  </si>
  <si>
    <t>URBANIZACION NICOLAS GARATEA MZ 77 LOTE 22</t>
  </si>
  <si>
    <t>-9.116255, -78.508424</t>
  </si>
  <si>
    <t>av agraria</t>
  </si>
  <si>
    <t>CBNV047-S</t>
  </si>
  <si>
    <t>105641104</t>
  </si>
  <si>
    <t>89403417</t>
  </si>
  <si>
    <t>986253732</t>
  </si>
  <si>
    <t>71537490</t>
  </si>
  <si>
    <t>JUAN ABNER AUCCAPIÑA GUILLEN</t>
  </si>
  <si>
    <t xml:space="preserve">ASUNCIÒN </t>
  </si>
  <si>
    <t xml:space="preserve">juanabner.ag@gmail.com </t>
  </si>
  <si>
    <t>jr quispicanchis mz b1 lt 05 EL urb  PROGRESO ETAPA 2</t>
  </si>
  <si>
    <t>-13.530360548004543, -71.96286904536417</t>
  </si>
  <si>
    <t>jr quispicanchis</t>
  </si>
  <si>
    <t>CZWQ001-S</t>
  </si>
  <si>
    <t>105581745</t>
  </si>
  <si>
    <t>89335482</t>
  </si>
  <si>
    <t>964222429</t>
  </si>
  <si>
    <t>45206371</t>
  </si>
  <si>
    <t>ELMER HUAMAN CORREA</t>
  </si>
  <si>
    <t>060901</t>
  </si>
  <si>
    <t>AURELIANO</t>
  </si>
  <si>
    <t>AURORA</t>
  </si>
  <si>
    <t>ELMERHUAMANCORREA@GMAIL.COM</t>
  </si>
  <si>
    <t>CALLE ZAFIROS 134</t>
  </si>
  <si>
    <t>-6.768292322904797, -79.84958236208358</t>
  </si>
  <si>
    <t>CALLE JUAN BUENDIA</t>
  </si>
  <si>
    <t>CHI038-S</t>
  </si>
  <si>
    <t>105650721</t>
  </si>
  <si>
    <t>89412055</t>
  </si>
  <si>
    <t>924954470</t>
  </si>
  <si>
    <t>70554447</t>
  </si>
  <si>
    <t>CRISTIAN GIANMARCO SALAZAR SAENZ</t>
  </si>
  <si>
    <t>climaco</t>
  </si>
  <si>
    <t>salazar172808@gmail.com</t>
  </si>
  <si>
    <t>917314507</t>
  </si>
  <si>
    <t>mz j lt 01 urb. las delicias segunda etapa</t>
  </si>
  <si>
    <t>-9.150766470284008, -78.50182208588072</t>
  </si>
  <si>
    <t>IEPM LAS DELICIAS</t>
  </si>
  <si>
    <t>ANNC010-F</t>
  </si>
  <si>
    <t>105670926</t>
  </si>
  <si>
    <t>89428003</t>
  </si>
  <si>
    <t>984729894</t>
  </si>
  <si>
    <t>40092641</t>
  </si>
  <si>
    <t>EVERT VICTORIO QUISPE</t>
  </si>
  <si>
    <t>Clemente</t>
  </si>
  <si>
    <t>Saturnina</t>
  </si>
  <si>
    <t xml:space="preserve">evico11@Yahoo.es </t>
  </si>
  <si>
    <t xml:space="preserve">984729894 </t>
  </si>
  <si>
    <t>Calle Agustin Gamarra 14, San Jeronimo Cuzco- Cuzco</t>
  </si>
  <si>
    <t>-13.546181389395853, -71.88651174837146</t>
  </si>
  <si>
    <t>Pasando la comisaria</t>
  </si>
  <si>
    <t>CZSJ013</t>
  </si>
  <si>
    <t>105672838</t>
  </si>
  <si>
    <t>89429099</t>
  </si>
  <si>
    <t>922303186</t>
  </si>
  <si>
    <t>02845563</t>
  </si>
  <si>
    <t>ANA ROSAS LAZO</t>
  </si>
  <si>
    <t>RIGOBERTO</t>
  </si>
  <si>
    <t>FELICIA</t>
  </si>
  <si>
    <t>melissaespinozarosas7@gmail.com</t>
  </si>
  <si>
    <t>CALLE JOSE A QUIÑONES 1509 URB LOS LIRIOS</t>
  </si>
  <si>
    <t>-11.977735840450258, -77.0918378891141</t>
  </si>
  <si>
    <t>jose quiñones</t>
  </si>
  <si>
    <t>LMMP122-S</t>
  </si>
  <si>
    <t>105612644</t>
  </si>
  <si>
    <t>89234176</t>
  </si>
  <si>
    <t>901204694</t>
  </si>
  <si>
    <t>47729850</t>
  </si>
  <si>
    <t>MIGUEL ANGEL IDROGO RAMOS</t>
  </si>
  <si>
    <t>010205</t>
  </si>
  <si>
    <t>Eriberto</t>
  </si>
  <si>
    <t>Maria</t>
  </si>
  <si>
    <t>lotnen@hotmail.com</t>
  </si>
  <si>
    <t>RESIDENCIAL CAMPOY CALLE 5 BLOCK W2</t>
  </si>
  <si>
    <t>-12.022489, -76.973771</t>
  </si>
  <si>
    <t>CALLE LOS ANGELES</t>
  </si>
  <si>
    <t>LMJL187</t>
  </si>
  <si>
    <t>105554021</t>
  </si>
  <si>
    <t>89313707</t>
  </si>
  <si>
    <t>953097714</t>
  </si>
  <si>
    <t>72954655</t>
  </si>
  <si>
    <t>MARIANA LIZBETH LIHON POZO</t>
  </si>
  <si>
    <t>EBER</t>
  </si>
  <si>
    <t>CARLITA</t>
  </si>
  <si>
    <t>marianitalihon@gmail.com</t>
  </si>
  <si>
    <t>925773594</t>
  </si>
  <si>
    <t>Av. Bellavista 1059 Calleria, Coronel Portillo, Ucayali</t>
  </si>
  <si>
    <t xml:space="preserve"> -8.386924, -74.543032</t>
  </si>
  <si>
    <t>Av. Bellavista 1059 Calleria,Coronel Portillo, Ucayali</t>
  </si>
  <si>
    <t>CPCL026-F</t>
  </si>
  <si>
    <t>105654882</t>
  </si>
  <si>
    <t>89415671</t>
  </si>
  <si>
    <t>966723406</t>
  </si>
  <si>
    <t>18110989</t>
  </si>
  <si>
    <t>CARLOS ALBERTO VALLADOLID ROMERO</t>
  </si>
  <si>
    <t>YTERIO</t>
  </si>
  <si>
    <t>ADRIANA</t>
  </si>
  <si>
    <t>carlosvalladolid033@gmail.com</t>
  </si>
  <si>
    <t>URB SANTA MARIA AV GONZALES PRADA 1415</t>
  </si>
  <si>
    <t>-8.12557222, -79.01727618</t>
  </si>
  <si>
    <t>CL FERNANDO GUIDO</t>
  </si>
  <si>
    <t>TRUJ075-S</t>
  </si>
  <si>
    <t>105678293</t>
  </si>
  <si>
    <t>89432075</t>
  </si>
  <si>
    <t>960950394</t>
  </si>
  <si>
    <t>10230941</t>
  </si>
  <si>
    <t>EDWIN FREDDY ROQUE BALBOA</t>
  </si>
  <si>
    <t>Villa El Salvador</t>
  </si>
  <si>
    <t>ELISEO</t>
  </si>
  <si>
    <t>ESTELA</t>
  </si>
  <si>
    <t>ROQUEBALBOAEF@GMAIL.COM</t>
  </si>
  <si>
    <t>Sector 2 Grupo 6 manzana  O Lote 24</t>
  </si>
  <si>
    <t>-12.200995, -76.941662</t>
  </si>
  <si>
    <t xml:space="preserve">AVENIDA CENTRAL </t>
  </si>
  <si>
    <t>LMVS139-F</t>
  </si>
  <si>
    <t>105700846</t>
  </si>
  <si>
    <t>89449330</t>
  </si>
  <si>
    <t>942450033</t>
  </si>
  <si>
    <t>40651075</t>
  </si>
  <si>
    <t>NILTON ROY RODRIGO VILELA</t>
  </si>
  <si>
    <t>miltonrv33@gmail.com</t>
  </si>
  <si>
    <t>JIRON ASUNCION 161 ATE</t>
  </si>
  <si>
    <t xml:space="preserve"> -12.067711491309755, -76.97665089019293</t>
  </si>
  <si>
    <t>AV. SEPARADOR INDUSTRIAL</t>
  </si>
  <si>
    <t>LMAT224-F</t>
  </si>
  <si>
    <t>105633195</t>
  </si>
  <si>
    <t>89394189</t>
  </si>
  <si>
    <t>949455262</t>
  </si>
  <si>
    <t>45800634</t>
  </si>
  <si>
    <t>NILDA SOLEDAD CAHUANA</t>
  </si>
  <si>
    <t>Mariscal Nieto</t>
  </si>
  <si>
    <t>NILDASOLEDAD@GMAIL.COM</t>
  </si>
  <si>
    <t>910969547</t>
  </si>
  <si>
    <t xml:space="preserve">urb 15 de abril MZ B Lote 6 </t>
  </si>
  <si>
    <t>-17.20362558905573, -70.91320789056238</t>
  </si>
  <si>
    <t>cerca de la libreria perikitos</t>
  </si>
  <si>
    <t>MQMN063-F</t>
  </si>
  <si>
    <t>105668512</t>
  </si>
  <si>
    <t>89427230</t>
  </si>
  <si>
    <t>936362881</t>
  </si>
  <si>
    <t>74365486</t>
  </si>
  <si>
    <t>BERNABE ALAJA CCAMA</t>
  </si>
  <si>
    <t xml:space="preserve">nestor </t>
  </si>
  <si>
    <t>Bernabealajaccama29@gmail.com</t>
  </si>
  <si>
    <t>951046931</t>
  </si>
  <si>
    <t>urb daniel alcides carrion, av paseo cultura mz n lt 3</t>
  </si>
  <si>
    <t>-16.425872, -71.520941</t>
  </si>
  <si>
    <t>urb la melgariana</t>
  </si>
  <si>
    <t>AQBR037</t>
  </si>
  <si>
    <t>indica que los tecnicos reprogramaron 2pm</t>
  </si>
  <si>
    <t>105664026</t>
  </si>
  <si>
    <t>89426258</t>
  </si>
  <si>
    <t>978975563</t>
  </si>
  <si>
    <t>76744153</t>
  </si>
  <si>
    <t>ASLLY LUCIA TERRONES CAMPOVERDE</t>
  </si>
  <si>
    <t>TERRONESCAMPOVERDEL@GMAIL.COM</t>
  </si>
  <si>
    <t xml:space="preserve">prolongacion jose de lama mz c lt 6 villa primavera </t>
  </si>
  <si>
    <t>a</t>
  </si>
  <si>
    <t>-4.906979386499454, -80.71130996324382</t>
  </si>
  <si>
    <t>calle el rosal</t>
  </si>
  <si>
    <t>PIUS055-F</t>
  </si>
  <si>
    <t xml:space="preserve">CALIFICA CON PAGO DE INSTALACION </t>
  </si>
  <si>
    <t>105674167</t>
  </si>
  <si>
    <t>89456166</t>
  </si>
  <si>
    <t>927651019</t>
  </si>
  <si>
    <t>44818756</t>
  </si>
  <si>
    <t>LILIANA PATRICIA DE LA CRUZ QUISPE</t>
  </si>
  <si>
    <t>DEMETRIO</t>
  </si>
  <si>
    <t>PATRICIA</t>
  </si>
  <si>
    <t>LILIANAPATRIKA@GMAIL.COM</t>
  </si>
  <si>
    <t>JR. ICA CON ANCASH LT 9F, URB. ALTO LIBERTAD. CERRO COLORADO.</t>
  </si>
  <si>
    <t>-16.383387, -71.572363</t>
  </si>
  <si>
    <t>jr anchash</t>
  </si>
  <si>
    <t>AQCC002-S</t>
  </si>
  <si>
    <t>105707289</t>
  </si>
  <si>
    <t>89451715</t>
  </si>
  <si>
    <t>930981635</t>
  </si>
  <si>
    <t>72196471</t>
  </si>
  <si>
    <t>JESUS JOSEPH MATHEUS ACOSTA</t>
  </si>
  <si>
    <t>HERBERT</t>
  </si>
  <si>
    <t>jesusete51@gmail.com</t>
  </si>
  <si>
    <t>CALLE AQUIA URB LOS JAZMINES DE NARANJAL MZ I LT 6 (LOS OLIVOS, LIMA, LIMA</t>
  </si>
  <si>
    <t>-11.9809143479999,-77.081024938</t>
  </si>
  <si>
    <t>LMLO046-S</t>
  </si>
  <si>
    <t>105651904</t>
  </si>
  <si>
    <t>89412881</t>
  </si>
  <si>
    <t>973912831</t>
  </si>
  <si>
    <t>42278869</t>
  </si>
  <si>
    <t>LADY DIANY DELGADO GONZALES</t>
  </si>
  <si>
    <t>dianydelgadogonzales@gmail.com</t>
  </si>
  <si>
    <t xml:space="preserve">JR TOMAS ROMERO 124 AH 9 DE OCTUBRE CALLERIA </t>
  </si>
  <si>
    <t>-8.389622641, -74.541817729</t>
  </si>
  <si>
    <t>CPCL025-F</t>
  </si>
  <si>
    <t>105477023</t>
  </si>
  <si>
    <t>89232621</t>
  </si>
  <si>
    <t>923820855</t>
  </si>
  <si>
    <t>46758247</t>
  </si>
  <si>
    <t>FRANCISCO LOO ESCOBAR</t>
  </si>
  <si>
    <t xml:space="preserve">EVA </t>
  </si>
  <si>
    <t xml:space="preserve">FRANCISCO  </t>
  </si>
  <si>
    <t xml:space="preserve">DESPAOO19@GMAIL.COM </t>
  </si>
  <si>
    <t xml:space="preserve">923820855 </t>
  </si>
  <si>
    <t xml:space="preserve">Jr. Capac Yupanqui 2533 </t>
  </si>
  <si>
    <t>-12.090340307681256, -77.04064193508135</t>
  </si>
  <si>
    <t>CRUCE CAPAC YIPANQUI CON AV TRINIDAD MORAN</t>
  </si>
  <si>
    <t>5017A03-S</t>
  </si>
  <si>
    <t>105712498</t>
  </si>
  <si>
    <t>89454618</t>
  </si>
  <si>
    <t>920584502</t>
  </si>
  <si>
    <t>70713627</t>
  </si>
  <si>
    <t>UGUSTO SAEZN HUANCA</t>
  </si>
  <si>
    <t>Julio</t>
  </si>
  <si>
    <t>Julia</t>
  </si>
  <si>
    <t>augustoventurahuanca@gmail.com</t>
  </si>
  <si>
    <t>986606747</t>
  </si>
  <si>
    <t>calle micaela bastidas 360  asoc. virgen del carmen</t>
  </si>
  <si>
    <t>-11.9616827, -77.03779997</t>
  </si>
  <si>
    <t>cuadra 22 de la av jorge chavez a 2 cuadras de la posta san ramon</t>
  </si>
  <si>
    <t>LMCO142-S</t>
  </si>
  <si>
    <t>105727815</t>
  </si>
  <si>
    <t>89461420</t>
  </si>
  <si>
    <t>981988499</t>
  </si>
  <si>
    <t>25481183</t>
  </si>
  <si>
    <t>ROSA GLADYS PASCO AMES</t>
  </si>
  <si>
    <t>AUGUSTA</t>
  </si>
  <si>
    <t>WILFREDOCABELLO14@GMAIL.COM</t>
  </si>
  <si>
    <t>989572614</t>
  </si>
  <si>
    <t xml:space="preserve">AV CENTENARIO 415  URB INDEPENDENCIA  - HUARAZ </t>
  </si>
  <si>
    <t>-9.52056898, -77.5293669</t>
  </si>
  <si>
    <t>HZIN010-F</t>
  </si>
  <si>
    <t>105668093</t>
  </si>
  <si>
    <t>89426646</t>
  </si>
  <si>
    <t>985409659</t>
  </si>
  <si>
    <t>71419851</t>
  </si>
  <si>
    <t>GINO DION ESPINOZA CAUSHI</t>
  </si>
  <si>
    <t>DELFIN</t>
  </si>
  <si>
    <t>ginoespinoza.95@hotmail.com</t>
  </si>
  <si>
    <t xml:space="preserve"> JIRON FRANCISCO DE ZALES SOTO 235, URB SIERRA HERMOSA</t>
  </si>
  <si>
    <t>-9.50978469057233, -77.5292580337648</t>
  </si>
  <si>
    <t>Jr. Ernesto Sirani</t>
  </si>
  <si>
    <t>HZIN045-F</t>
  </si>
  <si>
    <t>105712394</t>
  </si>
  <si>
    <t>89454486</t>
  </si>
  <si>
    <t>963545153</t>
  </si>
  <si>
    <t>08702820</t>
  </si>
  <si>
    <t>JOSE RAUL MIRANDA MINAYA</t>
  </si>
  <si>
    <t>referino</t>
  </si>
  <si>
    <t>tavidad</t>
  </si>
  <si>
    <t>MIRANDAMINAYA@GMAIL.COM</t>
  </si>
  <si>
    <t>MZ J LT5 URB MARANGA  SAN MIGUEL</t>
  </si>
  <si>
    <t>XX</t>
  </si>
  <si>
    <t>-12.075896, -77.095405</t>
  </si>
  <si>
    <t xml:space="preserve">CALLE LOS SUSPIROS </t>
  </si>
  <si>
    <t>LMSM021-S</t>
  </si>
  <si>
    <t>105770259</t>
  </si>
  <si>
    <t>89529570</t>
  </si>
  <si>
    <t>983473703</t>
  </si>
  <si>
    <t>10178934</t>
  </si>
  <si>
    <t>JUAN EDWIN PIÑAS AYALA</t>
  </si>
  <si>
    <t>wilfredo</t>
  </si>
  <si>
    <t xml:space="preserve">yolanda </t>
  </si>
  <si>
    <t>juanedwin75@gmail.com</t>
  </si>
  <si>
    <t xml:space="preserve">983473703 </t>
  </si>
  <si>
    <t>av los angeles 3234 urb sol de vitarte</t>
  </si>
  <si>
    <t>-12.036845, -76.933874</t>
  </si>
  <si>
    <t>restaurante el buen sabor</t>
  </si>
  <si>
    <t>LMAT026-S</t>
  </si>
  <si>
    <t>105767364</t>
  </si>
  <si>
    <t>89527003</t>
  </si>
  <si>
    <t>965282698</t>
  </si>
  <si>
    <t>44379150</t>
  </si>
  <si>
    <t>LUIS HUMBERTO HUAMANI QUILLATUPA</t>
  </si>
  <si>
    <t>HUMBERTO</t>
  </si>
  <si>
    <t>betto_2h@hotmail.com</t>
  </si>
  <si>
    <t>Pasaje diaz aguiller 274 urb san isidro el tambo huancayo</t>
  </si>
  <si>
    <t>-12.043199806, -75.219251267</t>
  </si>
  <si>
    <t>POR LA AV FERROCARRIL</t>
  </si>
  <si>
    <t>JNTB010-F</t>
  </si>
  <si>
    <t>105671686</t>
  </si>
  <si>
    <t>89428439</t>
  </si>
  <si>
    <t>944820962</t>
  </si>
  <si>
    <t>16757680</t>
  </si>
  <si>
    <t>FRANCISCO FERRER ROLDAN CHAVEZ</t>
  </si>
  <si>
    <t>020905</t>
  </si>
  <si>
    <t>ARTURO</t>
  </si>
  <si>
    <t>tati_1987_2@hotmail.com</t>
  </si>
  <si>
    <t>932954113</t>
  </si>
  <si>
    <t xml:space="preserve"> 944820962</t>
  </si>
  <si>
    <t>comas collique jr ricardo palma 235</t>
  </si>
  <si>
    <t>X</t>
  </si>
  <si>
    <t>-11.911292, -77.006304</t>
  </si>
  <si>
    <t>COLEGIO SANTA ROSA</t>
  </si>
  <si>
    <t>LMCO216-F</t>
  </si>
  <si>
    <t>105723842</t>
  </si>
  <si>
    <t>89459762</t>
  </si>
  <si>
    <t>944128738</t>
  </si>
  <si>
    <t>74687606</t>
  </si>
  <si>
    <t>PIERO CRISTHIAN JEANCARLO MERMA CRUZ</t>
  </si>
  <si>
    <t>CIPRIANO</t>
  </si>
  <si>
    <t>NANCY</t>
  </si>
  <si>
    <t>PIEROMERMAC@GMAIL.COM</t>
  </si>
  <si>
    <t>CALLE JULIACA 345</t>
  </si>
  <si>
    <t>-17.972508271451446, -70.23123761957171</t>
  </si>
  <si>
    <t>CALLE GABRIEL AGUILAR</t>
  </si>
  <si>
    <t>TCNA058</t>
  </si>
  <si>
    <t>105765383</t>
  </si>
  <si>
    <t>89525284</t>
  </si>
  <si>
    <t>930536258</t>
  </si>
  <si>
    <t>48521002</t>
  </si>
  <si>
    <t>JESSICA LUCERO LLONTOP LLONTOP</t>
  </si>
  <si>
    <t>anuel</t>
  </si>
  <si>
    <t>LLONTOP.95@gmail.com</t>
  </si>
  <si>
    <t>avenida alamena sur 364</t>
  </si>
  <si>
    <t>-6.878478121742452, -79.87247792010983</t>
  </si>
  <si>
    <t>AV 28 DE JULIO</t>
  </si>
  <si>
    <t>LBMO004-F</t>
  </si>
  <si>
    <t>105804337</t>
  </si>
  <si>
    <t>89574943</t>
  </si>
  <si>
    <t>928473118</t>
  </si>
  <si>
    <t>29368021</t>
  </si>
  <si>
    <t>DIONISIO CRUZ ZAPATA</t>
  </si>
  <si>
    <t>ricardo</t>
  </si>
  <si>
    <t>agustina</t>
  </si>
  <si>
    <t>alexcruztavara@gmail.com</t>
  </si>
  <si>
    <t>Upis ramiro priale mz. Q lt.13 zn. B alto selva alegre</t>
  </si>
  <si>
    <t>-16.37692534, -71.51937542</t>
  </si>
  <si>
    <t>av 12 de octubre</t>
  </si>
  <si>
    <t>AQSA017-S</t>
  </si>
  <si>
    <t>105765087</t>
  </si>
  <si>
    <t>89524985</t>
  </si>
  <si>
    <t>997023055</t>
  </si>
  <si>
    <t>10068901</t>
  </si>
  <si>
    <t>ALBERTO CHRISTIAN JESUS CASTRO JIMENEZ</t>
  </si>
  <si>
    <t>Humberto</t>
  </si>
  <si>
    <t>Margarita</t>
  </si>
  <si>
    <t>castrojimenezalbertochristianj@gmail.com</t>
  </si>
  <si>
    <t xml:space="preserve">997023055 </t>
  </si>
  <si>
    <t>Calle Casma 279 dpto. 301, URB COVIDA, LOS OLIVOS.</t>
  </si>
  <si>
    <t>-11.996597, -77.080217</t>
  </si>
  <si>
    <t>CERCA DE LA AV. Av. Santiago Antunez de Mayolo</t>
  </si>
  <si>
    <t>LMLO022-S</t>
  </si>
  <si>
    <t>105798866</t>
  </si>
  <si>
    <t>89569662</t>
  </si>
  <si>
    <t>945774777</t>
  </si>
  <si>
    <t>41718044</t>
  </si>
  <si>
    <t>ANA ISABEL CUTIPA QUISPE</t>
  </si>
  <si>
    <t>Alejandrino</t>
  </si>
  <si>
    <t>Agustina</t>
  </si>
  <si>
    <t>anaisabelcq4@gmail.com</t>
  </si>
  <si>
    <t>CL SANTA ROSA 480 URB CHACARILLA DEL LAGO</t>
  </si>
  <si>
    <t>-15.85134483, -70.0209938</t>
  </si>
  <si>
    <t>al frente de ex nueva aduana,  entre el jr nazca y av viru</t>
  </si>
  <si>
    <t>PUPU019-S</t>
  </si>
  <si>
    <t>cl adelanto visita</t>
  </si>
  <si>
    <t>105808144</t>
  </si>
  <si>
    <t>89584036</t>
  </si>
  <si>
    <t>950117078</t>
  </si>
  <si>
    <t>08459521</t>
  </si>
  <si>
    <t>CESAR AUGUSTO ROMERO REYNOSO</t>
  </si>
  <si>
    <t>Camilo</t>
  </si>
  <si>
    <t>gdcesaro@gmail.com</t>
  </si>
  <si>
    <t xml:space="preserve">CALLE SATURNO 124 URBANIZACION SOL DE ORO </t>
  </si>
  <si>
    <t>-12.000594748626453, -77.06299002047619</t>
  </si>
  <si>
    <t xml:space="preserve"> FRENTE AL INSTITUTO SENATI</t>
  </si>
  <si>
    <t>LMLO016-S</t>
  </si>
  <si>
    <t>105794852</t>
  </si>
  <si>
    <t>89565223</t>
  </si>
  <si>
    <t>938604418</t>
  </si>
  <si>
    <t>74915473</t>
  </si>
  <si>
    <t>ELISEO CALEB GALAN GARCIA</t>
  </si>
  <si>
    <t>020408</t>
  </si>
  <si>
    <t>MAURICIA</t>
  </si>
  <si>
    <t>ELISEOGALAN2025@GMAIL.COM</t>
  </si>
  <si>
    <t>KM 3 AV PRIMAVERA, BARRIO ANTAOCO</t>
  </si>
  <si>
    <t>-9.519977850134497, -77.5125934908964</t>
  </si>
  <si>
    <t>av primaverA</t>
  </si>
  <si>
    <t>HZIN046-F</t>
  </si>
  <si>
    <t>105702068</t>
  </si>
  <si>
    <t>89450074</t>
  </si>
  <si>
    <t>990886266</t>
  </si>
  <si>
    <t>45459233</t>
  </si>
  <si>
    <t>EVERLY ALBERTO CORONADO MITMA</t>
  </si>
  <si>
    <t>050101</t>
  </si>
  <si>
    <t>alberto</t>
  </si>
  <si>
    <t>candelaria</t>
  </si>
  <si>
    <t>EVERLY_88@hotmail.com</t>
  </si>
  <si>
    <t>URBANIZACIÓN	CIUDAD DE CUMANA mz f</t>
  </si>
  <si>
    <t>-13.151241, -74.221099</t>
  </si>
  <si>
    <t xml:space="preserve">CERCA AL ESTADIO CIUDAD DE CUMANA </t>
  </si>
  <si>
    <t>AYAY018-S</t>
  </si>
  <si>
    <t>105819033</t>
  </si>
  <si>
    <t>89602854</t>
  </si>
  <si>
    <t>921147133</t>
  </si>
  <si>
    <t>61576505</t>
  </si>
  <si>
    <t>NERCY VILCAS LLALLICO</t>
  </si>
  <si>
    <t>080120</t>
  </si>
  <si>
    <t>EDILBERTO</t>
  </si>
  <si>
    <t>GABI</t>
  </si>
  <si>
    <t>jesussosa018@gmail.com</t>
  </si>
  <si>
    <t xml:space="preserve">Jr Pedro Gálvez 921 urb. Cercado, El tambo- Huancayo, Junin </t>
  </si>
  <si>
    <t>-12.057924184538388, -75.22163854538135</t>
  </si>
  <si>
    <t>Abajo hay una botica</t>
  </si>
  <si>
    <t>HYTB006-S</t>
  </si>
  <si>
    <t>105802082</t>
  </si>
  <si>
    <t>89572456</t>
  </si>
  <si>
    <t>977593317</t>
  </si>
  <si>
    <t>41288686</t>
  </si>
  <si>
    <t>LISSIE MILAGROS VILLACORTA OZAMBELA</t>
  </si>
  <si>
    <t>Moyobamba</t>
  </si>
  <si>
    <t xml:space="preserve">oscar </t>
  </si>
  <si>
    <t>milagros</t>
  </si>
  <si>
    <t>paulantoniomv@gmail.com</t>
  </si>
  <si>
    <t>942889154</t>
  </si>
  <si>
    <t xml:space="preserve">MZ U URBANIZACIÓN	VISTA ALEGRE moyobamba </t>
  </si>
  <si>
    <t>-6.041493502507838, -76.97168636032636</t>
  </si>
  <si>
    <t>a la espalda del hospital moyobamba minsa</t>
  </si>
  <si>
    <t>SMMY019-F</t>
  </si>
  <si>
    <t>105819319</t>
  </si>
  <si>
    <t>89603071</t>
  </si>
  <si>
    <t>930708813</t>
  </si>
  <si>
    <t>43258364</t>
  </si>
  <si>
    <t>MANUEL DEL CARMEN CASTILLO RODRIGUEZ</t>
  </si>
  <si>
    <t>castilloalbisdiegojose@gmail.com</t>
  </si>
  <si>
    <t>949163539</t>
  </si>
  <si>
    <t xml:space="preserve">CL ZARAGOZA MZ I LOTE 4 URBANIZACIÓN	LA ESMERALDA	</t>
  </si>
  <si>
    <t>-8.10558777797217 -79.04531357573299</t>
  </si>
  <si>
    <t>TRUJ059-S</t>
  </si>
  <si>
    <t>105808528</t>
  </si>
  <si>
    <t>89585093</t>
  </si>
  <si>
    <t>966149571</t>
  </si>
  <si>
    <t>72118234</t>
  </si>
  <si>
    <t>ALEXANDER ANSELMO HUAMANI QUISPE</t>
  </si>
  <si>
    <t>040606</t>
  </si>
  <si>
    <t>Anselmo</t>
  </si>
  <si>
    <t>camuchatkm@gmail.com</t>
  </si>
  <si>
    <t>Cl 8 MZ H LOTE 18 URBANIZACIÓN GUARDIA REPUBLICANA DEL PERU</t>
  </si>
  <si>
    <t>-16.317715, -71.591781</t>
  </si>
  <si>
    <t>Bodega Vilma</t>
  </si>
  <si>
    <t>AQCC106-F</t>
  </si>
  <si>
    <t>105822268</t>
  </si>
  <si>
    <t>89609296</t>
  </si>
  <si>
    <t>912082828</t>
  </si>
  <si>
    <t>42487295</t>
  </si>
  <si>
    <t>EDUARDO ABEL BLANCAS CAMARENA</t>
  </si>
  <si>
    <t xml:space="preserve">alfredo </t>
  </si>
  <si>
    <t xml:space="preserve">zenaida </t>
  </si>
  <si>
    <t>eduardob988@gmail.com</t>
  </si>
  <si>
    <t xml:space="preserve">912082828 </t>
  </si>
  <si>
    <t>jr mariscal castilla 1792</t>
  </si>
  <si>
    <t>-12.084171174, -75.207266229</t>
  </si>
  <si>
    <t xml:space="preserve">por el ministerio transporte </t>
  </si>
  <si>
    <t>HYCH004-S</t>
  </si>
  <si>
    <t>105768020</t>
  </si>
  <si>
    <t>89527870</t>
  </si>
  <si>
    <t>981475091</t>
  </si>
  <si>
    <t>70275157</t>
  </si>
  <si>
    <t>KATIA SILVIA CAROLINA BRAVO MOSCOL</t>
  </si>
  <si>
    <t>carmelo</t>
  </si>
  <si>
    <t>carmela</t>
  </si>
  <si>
    <t>katiabravo@live.com</t>
  </si>
  <si>
    <t>Edificio domingo Orue 220 surquillo</t>
  </si>
  <si>
    <t>-12.108255, -77.025161</t>
  </si>
  <si>
    <t>ENTRE PEDRO RUIZ Y PRAGA</t>
  </si>
  <si>
    <t>LMSQ194-F</t>
  </si>
  <si>
    <t>105796425</t>
  </si>
  <si>
    <t>89573439</t>
  </si>
  <si>
    <t>981220111</t>
  </si>
  <si>
    <t>09863711</t>
  </si>
  <si>
    <t>MARIA DEL PILAR ICAZA INFANTES</t>
  </si>
  <si>
    <t>pilari86@hotmail.com</t>
  </si>
  <si>
    <t>Calle buen retiro 209 santiago de surco</t>
  </si>
  <si>
    <t>-12.096681, -76.966899</t>
  </si>
  <si>
    <t>,M</t>
  </si>
  <si>
    <t>LMSC124-S</t>
  </si>
  <si>
    <t>TECNICOS MENCIONARON QUE NO SE PODIA INSTALAR</t>
  </si>
  <si>
    <t>105868021</t>
  </si>
  <si>
    <t>89659883</t>
  </si>
  <si>
    <t>995802566</t>
  </si>
  <si>
    <t>40561380</t>
  </si>
  <si>
    <t>OSCAR ROBERTO TORRES OLIVA</t>
  </si>
  <si>
    <t>Jesús María</t>
  </si>
  <si>
    <t>MONET</t>
  </si>
  <si>
    <t>OTORRES_OLIVA@HOTMAIL.COM</t>
  </si>
  <si>
    <t>AV FRANCISCO JAVIER MARIATEGUI 164</t>
  </si>
  <si>
    <t>-12.075759, -77.03777484</t>
  </si>
  <si>
    <t>IGLESIA DE DIOS S.M.M.</t>
  </si>
  <si>
    <t>LMJM087-F</t>
  </si>
  <si>
    <t>105946492</t>
  </si>
  <si>
    <t>89732987</t>
  </si>
  <si>
    <t>945391292</t>
  </si>
  <si>
    <t>74119928</t>
  </si>
  <si>
    <t>MARIA ANTONIETA PALOMINO ROBLES</t>
  </si>
  <si>
    <t xml:space="preserve">Gerber </t>
  </si>
  <si>
    <t xml:space="preserve">Mili </t>
  </si>
  <si>
    <t xml:space="preserve">mapr2195@gmail.com </t>
  </si>
  <si>
    <t>Jirón Arturo Alcalde Mongrut 233, Santiago de Surco 15023</t>
  </si>
  <si>
    <t>-12.115667897523625, -76.97148646909866</t>
  </si>
  <si>
    <t xml:space="preserve">frete al parque huertos de san antonio </t>
  </si>
  <si>
    <t>LMSC101-S</t>
  </si>
  <si>
    <t>CONTROL DE IRREGULARIDADES</t>
  </si>
  <si>
    <t>105816467</t>
  </si>
  <si>
    <t>89600627</t>
  </si>
  <si>
    <t>900149578</t>
  </si>
  <si>
    <t>04635294</t>
  </si>
  <si>
    <t>JUAN ROGELIO VELARDE QUINA</t>
  </si>
  <si>
    <t>Ilo</t>
  </si>
  <si>
    <t>EMILIA</t>
  </si>
  <si>
    <t>JASERVE@GMAIL.COM</t>
  </si>
  <si>
    <t>Urb Daniel Alcides carrión mz 8 lote 7</t>
  </si>
  <si>
    <t>-17.653871, -71.339306</t>
  </si>
  <si>
    <t>CALLE EL MALECON</t>
  </si>
  <si>
    <t>ILIL010-F</t>
  </si>
  <si>
    <t>105801749</t>
  </si>
  <si>
    <t>89572144</t>
  </si>
  <si>
    <t>945791882</t>
  </si>
  <si>
    <t>44711433</t>
  </si>
  <si>
    <t>OLGA MILAGROS TRUJILLO RAMOS</t>
  </si>
  <si>
    <t xml:space="preserve">eladio </t>
  </si>
  <si>
    <t>gladys</t>
  </si>
  <si>
    <t>millytrujilloramos@gmail.com</t>
  </si>
  <si>
    <t>URBANIZACIÓN	CONO ALUVIONICO jiron primavera jiron chorrillos</t>
  </si>
  <si>
    <t>-9.52558124794, -77.52211893164657</t>
  </si>
  <si>
    <t>cerca al restaurante recreo campestre</t>
  </si>
  <si>
    <t>HZHU019-F</t>
  </si>
  <si>
    <t xml:space="preserve">figura que se instalo con otra SOT </t>
  </si>
  <si>
    <t>105717638</t>
  </si>
  <si>
    <t>89457119</t>
  </si>
  <si>
    <t>946602006</t>
  </si>
  <si>
    <t>10446993807</t>
  </si>
  <si>
    <t>FRANCISCO LAURA DE LA CRUZ</t>
  </si>
  <si>
    <t>050107</t>
  </si>
  <si>
    <t>epifanio</t>
  </si>
  <si>
    <t>aurelia</t>
  </si>
  <si>
    <t>fransico44699380@gmail.com</t>
  </si>
  <si>
    <t>av belgica 256</t>
  </si>
  <si>
    <t>-13.179667495631447, -74.20177981471876</t>
  </si>
  <si>
    <t>AYSB021-S</t>
  </si>
  <si>
    <t>CL NO CUENTA CON DISPONIBILIDAD PARA EL LUNES</t>
  </si>
  <si>
    <t>105081416</t>
  </si>
  <si>
    <t>88867949</t>
  </si>
  <si>
    <t>961374006</t>
  </si>
  <si>
    <t>76149403</t>
  </si>
  <si>
    <t>VASQUEZ TAIPE LUIS MIGUEL</t>
  </si>
  <si>
    <t>050701</t>
  </si>
  <si>
    <t>Parinacochas</t>
  </si>
  <si>
    <t xml:space="preserve">VICTOR </t>
  </si>
  <si>
    <t>vasqueztaipeluis@gmail.com</t>
  </si>
  <si>
    <t>jr. tupac amaru mz v lt 20 urb. san marcos</t>
  </si>
  <si>
    <t>-15.020576463274997,-73.78137200030615</t>
  </si>
  <si>
    <t>AYCO006-F</t>
  </si>
  <si>
    <t xml:space="preserve">SE MANDA PLANTILLA DE INCUMPLIMIENTO </t>
  </si>
  <si>
    <t>105416904</t>
  </si>
  <si>
    <t>89181853</t>
  </si>
  <si>
    <t>989394245</t>
  </si>
  <si>
    <t>70868795</t>
  </si>
  <si>
    <t>LUIS GABRIEL DERTEANO WALTER</t>
  </si>
  <si>
    <t>INGRID</t>
  </si>
  <si>
    <t>Lugadewal@gmail.com</t>
  </si>
  <si>
    <t>calle alcanfores 751 miraflores</t>
  </si>
  <si>
    <t>-12.126922 -77.027995</t>
  </si>
  <si>
    <t>5518B04</t>
  </si>
  <si>
    <t>CL CAMBIA DIRECCION,SE VOLVERA A CREAR SEC Y SOT</t>
  </si>
  <si>
    <t>105593269</t>
  </si>
  <si>
    <t>89342063</t>
  </si>
  <si>
    <t>942703165</t>
  </si>
  <si>
    <t>42976292</t>
  </si>
  <si>
    <t>JULIAN GRANADOS RICHARD JHONNY</t>
  </si>
  <si>
    <t>galicio</t>
  </si>
  <si>
    <t>rjuliangranados@gmail.com</t>
  </si>
  <si>
    <t>-11.974343473648549, -77.10495760429147</t>
  </si>
  <si>
    <t xml:space="preserve">av pacasmayo </t>
  </si>
  <si>
    <t>LMMP274-F</t>
  </si>
  <si>
    <t>ES VENTA NUESTRA INSTALADA HOY 24/07</t>
  </si>
  <si>
    <t>YUDI VERONICA AMACHE LAURENTE</t>
  </si>
  <si>
    <t>070106</t>
  </si>
  <si>
    <t>Calca</t>
  </si>
  <si>
    <t>Moises</t>
  </si>
  <si>
    <t>laurenteyudi@gmail.com</t>
  </si>
  <si>
    <t>prolongación Calca MZ t 2 lt. 5</t>
  </si>
  <si>
    <t>-13.321841586171674, -71.95186289099331</t>
  </si>
  <si>
    <t>Av la Mar</t>
  </si>
  <si>
    <t>CZCA003-F</t>
  </si>
  <si>
    <t xml:space="preserve">CRUZA AV DE DOBLE VIA </t>
  </si>
  <si>
    <t>975669815</t>
  </si>
  <si>
    <t>LUIS ANGEL SANCHEZ VEREAU</t>
  </si>
  <si>
    <t>105280096</t>
  </si>
  <si>
    <t>89057923</t>
  </si>
  <si>
    <t>913971946</t>
  </si>
  <si>
    <t>72454559</t>
  </si>
  <si>
    <t>JOHNNY WALTER QUISPE AVALOS</t>
  </si>
  <si>
    <t>JOHNNY</t>
  </si>
  <si>
    <t xml:space="preserve">jwqa.1991@gmail.com </t>
  </si>
  <si>
    <t xml:space="preserve"> 913971946</t>
  </si>
  <si>
    <t>Calle Julián Arias Araguez 425, Miraflores</t>
  </si>
  <si>
    <t>-12.126212666980159, -77.02009051472456</t>
  </si>
  <si>
    <t xml:space="preserve">AL FRENTE DE AV BENAVIDES </t>
  </si>
  <si>
    <t>5519B04-S</t>
  </si>
  <si>
    <t>105607793</t>
  </si>
  <si>
    <t>89351183</t>
  </si>
  <si>
    <t>980062011</t>
  </si>
  <si>
    <t>71558815</t>
  </si>
  <si>
    <t>ALESSANDRO CAMBIASO MC.LAUCHLAN</t>
  </si>
  <si>
    <t xml:space="preserve">walter </t>
  </si>
  <si>
    <t>madelaine</t>
  </si>
  <si>
    <t>CAMBIASO300@gmail.com</t>
  </si>
  <si>
    <t xml:space="preserve">mz a lote 4 URB SANTISIMA CRUZ DE MADERO </t>
  </si>
  <si>
    <t>-12.082071864658644, -76.92780012639477</t>
  </si>
  <si>
    <t>av elias aparicio</t>
  </si>
  <si>
    <t>LAMO032-S</t>
  </si>
  <si>
    <t xml:space="preserve">EDIFICIO SIN RED </t>
  </si>
  <si>
    <t>105484654</t>
  </si>
  <si>
    <t>89262156</t>
  </si>
  <si>
    <t>965403289</t>
  </si>
  <si>
    <t>40463667</t>
  </si>
  <si>
    <t>RONALD EMILIANO TERRONES MAYTA</t>
  </si>
  <si>
    <t xml:space="preserve">EMILIANO </t>
  </si>
  <si>
    <t xml:space="preserve">ESPERENZA </t>
  </si>
  <si>
    <t>ronald.terronesm@gmail.com</t>
  </si>
  <si>
    <t>Enrique meiggs 221 Miraflores</t>
  </si>
  <si>
    <t>-12.11143297404945, -77.03533113518591</t>
  </si>
  <si>
    <t xml:space="preserve">ESQUINA CA. ARICA </t>
  </si>
  <si>
    <t>5317C03-S</t>
  </si>
  <si>
    <t>105272423</t>
  </si>
  <si>
    <t>89053386</t>
  </si>
  <si>
    <t>968774697</t>
  </si>
  <si>
    <t>76310812</t>
  </si>
  <si>
    <t>ERICK MARCELO TICONA TINTAYA</t>
  </si>
  <si>
    <t>MAGALY</t>
  </si>
  <si>
    <t>eriick_mtt@hotmail.com</t>
  </si>
  <si>
    <t>CL 16 ET 2 MZ Ñ LT 4 URB ALAMEDA DE ATE</t>
  </si>
  <si>
    <t>12.029380755828358, -76.94640831960317</t>
  </si>
  <si>
    <t>CL 4</t>
  </si>
  <si>
    <t>LMSA065-F</t>
  </si>
  <si>
    <t>TEC RECHAZARA INSTALACION PORQUE ENCONTRÓ LOS EQUIPOS DEL SERVICIO DE SU PAPA</t>
  </si>
  <si>
    <t>105331283</t>
  </si>
  <si>
    <t>89093860</t>
  </si>
  <si>
    <t>952561327</t>
  </si>
  <si>
    <t>71821126</t>
  </si>
  <si>
    <t>CUSACANI SAYRA, JOHN MANUEL</t>
  </si>
  <si>
    <t>sergio</t>
  </si>
  <si>
    <t>olga</t>
  </si>
  <si>
    <t>manueljohn22@gmail.com</t>
  </si>
  <si>
    <t>ASOCIACION Villa HermoSa  MC2 LT 4</t>
  </si>
  <si>
    <t>-17.20598059592106, -70.94382288301424</t>
  </si>
  <si>
    <t>calle 3</t>
  </si>
  <si>
    <t>MQMN004-S</t>
  </si>
  <si>
    <t xml:space="preserve">TEC REPORTA SERVICIO ACTIVO EN MISMA DIRECCION </t>
  </si>
  <si>
    <t>105817997</t>
  </si>
  <si>
    <t>89601504</t>
  </si>
  <si>
    <t>969696994</t>
  </si>
  <si>
    <t>80157657</t>
  </si>
  <si>
    <t>EDWIN MAMANI MARON</t>
  </si>
  <si>
    <t xml:space="preserve">DOMINGO </t>
  </si>
  <si>
    <t>edmaron24@gmail.com</t>
  </si>
  <si>
    <t>Jr. Tupac Catari 378</t>
  </si>
  <si>
    <t>-15.827538, -70.032932</t>
  </si>
  <si>
    <t>JR ROMULO DIAS DANDLERA</t>
  </si>
  <si>
    <t>PUPU077-F</t>
  </si>
  <si>
    <t>Cliente tiene servicio act. en la misma dirección</t>
  </si>
  <si>
    <t>105250331</t>
  </si>
  <si>
    <t>89025937</t>
  </si>
  <si>
    <t>932619606</t>
  </si>
  <si>
    <t>45143534</t>
  </si>
  <si>
    <t>PAUL VICTOR HUAMANTUCO VALERIANO</t>
  </si>
  <si>
    <t>alfonso huamantuco</t>
  </si>
  <si>
    <t>historia valeriano</t>
  </si>
  <si>
    <t>chichisale@gmail.com</t>
  </si>
  <si>
    <t>urb miraflores lote 5 mz 0</t>
  </si>
  <si>
    <t>-14.065897439180327, -70.43338538737909</t>
  </si>
  <si>
    <t>avenida copacabana</t>
  </si>
  <si>
    <t>PUMC008-F</t>
  </si>
  <si>
    <t xml:space="preserve">SE EVIDENCIO SERVICIO ACTIVO MISMA DIRECCION </t>
  </si>
  <si>
    <t>105492485</t>
  </si>
  <si>
    <t>89239715</t>
  </si>
  <si>
    <t>993337252</t>
  </si>
  <si>
    <t>71062888</t>
  </si>
  <si>
    <t>LUCERO MEL MANZANO PACXI</t>
  </si>
  <si>
    <t>LETICIA</t>
  </si>
  <si>
    <t>lpm.mel.13@gmail.com</t>
  </si>
  <si>
    <t>24 DE OCTUBRE MZ 36 LT 5</t>
  </si>
  <si>
    <t>-17.645123, -71.317049</t>
  </si>
  <si>
    <t>CALLE LLOQUE YUPANQUI</t>
  </si>
  <si>
    <t>MQIL025-F</t>
  </si>
  <si>
    <t xml:space="preserve">TEC INDICA SERVICIO ACTIVO MISMA DIRECCION </t>
  </si>
  <si>
    <t>105533331</t>
  </si>
  <si>
    <t>89275593</t>
  </si>
  <si>
    <t>998392118</t>
  </si>
  <si>
    <t>75011717</t>
  </si>
  <si>
    <t>NUÑEZ LOPEZ, JUAN MANUEL</t>
  </si>
  <si>
    <t>VICTORIA</t>
  </si>
  <si>
    <t>comercializadoracatsrl@gmail.com</t>
  </si>
  <si>
    <t>Paseo del mar mz a lote 19 sector 5 nuevo chimbote</t>
  </si>
  <si>
    <t>-9.129639584561462, -78.5419965205203</t>
  </si>
  <si>
    <t xml:space="preserve">PASEO DEL MAR </t>
  </si>
  <si>
    <t>CBNV060-S</t>
  </si>
  <si>
    <t>105160044</t>
  </si>
  <si>
    <t>88939027</t>
  </si>
  <si>
    <t>970176744</t>
  </si>
  <si>
    <t>43309768</t>
  </si>
  <si>
    <t>JAVIER GARCIA FIGUEROA</t>
  </si>
  <si>
    <t>CESARIO</t>
  </si>
  <si>
    <t>LEUCARIA</t>
  </si>
  <si>
    <t>shatoche2489@hotmail.com</t>
  </si>
  <si>
    <t>902847300</t>
  </si>
  <si>
    <t xml:space="preserve">970176744 </t>
  </si>
  <si>
    <t>jose carlos mariategui mz I1 lote 3</t>
  </si>
  <si>
    <t>2C</t>
  </si>
  <si>
    <t>-11.940252, -76.987286</t>
  </si>
  <si>
    <t>JR CHINO</t>
  </si>
  <si>
    <t xml:space="preserve">ADJUNTAR DNI ambas caras, Foto de cliente mostrando DNI y Recibo de Servicio de dirección de instalación DE AGUA o luz. JALA COBERTURA </t>
  </si>
  <si>
    <t>105217742</t>
  </si>
  <si>
    <t>88989552</t>
  </si>
  <si>
    <t>985093828</t>
  </si>
  <si>
    <t>21425503</t>
  </si>
  <si>
    <t>FIDEL OSORIO RIVERA HINOSTROZA</t>
  </si>
  <si>
    <t xml:space="preserve">Abel </t>
  </si>
  <si>
    <t>Clara</t>
  </si>
  <si>
    <t xml:space="preserve">fidelrh31@gmail.com </t>
  </si>
  <si>
    <t>Urb los viñedos de santa maria mz n lote 5 ica</t>
  </si>
  <si>
    <t>-14.059192460276682, -75.73398893982761</t>
  </si>
  <si>
    <t>Al costado del merccado toledo</t>
  </si>
  <si>
    <t xml:space="preserve">ICAX018 </t>
  </si>
  <si>
    <t>105434270</t>
  </si>
  <si>
    <t>89191208</t>
  </si>
  <si>
    <t>972852488</t>
  </si>
  <si>
    <t>40853055</t>
  </si>
  <si>
    <t>BARRIGA RUIZ, SEGUNDO</t>
  </si>
  <si>
    <t>Tambopata</t>
  </si>
  <si>
    <t>cipriano</t>
  </si>
  <si>
    <t xml:space="preserve">luz </t>
  </si>
  <si>
    <t>segundobarrigaruiz@gmail.com</t>
  </si>
  <si>
    <t xml:space="preserve">av madre asuncion nicol mz 1 lt 02 urb pueblo viejo </t>
  </si>
  <si>
    <t>-12.59544650833176, -69.17165317811933</t>
  </si>
  <si>
    <t xml:space="preserve">10 de julio </t>
  </si>
  <si>
    <t>MDPM033</t>
  </si>
  <si>
    <t xml:space="preserve">telefono restringido </t>
  </si>
  <si>
    <t>105479491</t>
  </si>
  <si>
    <t>89233756</t>
  </si>
  <si>
    <t>904695130</t>
  </si>
  <si>
    <t>07403332</t>
  </si>
  <si>
    <t>SANTOS BERNALOA VELASQUE</t>
  </si>
  <si>
    <t>080000</t>
  </si>
  <si>
    <t>eulogio</t>
  </si>
  <si>
    <t>santosa</t>
  </si>
  <si>
    <t>segundoisla324@gmail.com</t>
  </si>
  <si>
    <t xml:space="preserve">setor 2 grupo 17 mz g lt 4 </t>
  </si>
  <si>
    <t>-12.206891417189642, -76.94516636212214</t>
  </si>
  <si>
    <t>calle los algarrobos</t>
  </si>
  <si>
    <t>LMVS133-F</t>
  </si>
  <si>
    <t>105489117</t>
  </si>
  <si>
    <t>89238199</t>
  </si>
  <si>
    <t>938638591</t>
  </si>
  <si>
    <t>72497305</t>
  </si>
  <si>
    <t>ERICK FRANCO PRADO TORIBIO</t>
  </si>
  <si>
    <t xml:space="preserve"> DORIELA EDDY</t>
  </si>
  <si>
    <t>AMARGURA112629@GMAIL.COM</t>
  </si>
  <si>
    <t xml:space="preserve">938638591 </t>
  </si>
  <si>
    <t>997328751</t>
  </si>
  <si>
    <t>SECTOR 3 GRUPO 23 MZ C LT 21 VILLA EL SALVADOR</t>
  </si>
  <si>
    <t>-12.226211, -76.933299</t>
  </si>
  <si>
    <t>ENTRE AV. JOSE OLAYA Y CALLE ALGARROBOS.</t>
  </si>
  <si>
    <t>LMVS101-F</t>
  </si>
  <si>
    <t>CLIENTE NO QUIERE VOLVER A GRABAR, DICE QUE CONTRATO CON OTRO OPERADOR AYER</t>
  </si>
  <si>
    <t>105489675</t>
  </si>
  <si>
    <t>89238457</t>
  </si>
  <si>
    <t>990559010</t>
  </si>
  <si>
    <t>44047031</t>
  </si>
  <si>
    <t>LUIS WALTER MOSCAIRO CUNO</t>
  </si>
  <si>
    <t>CANDELARIA</t>
  </si>
  <si>
    <t>luiswaldj@gmail.com</t>
  </si>
  <si>
    <t>JR KORICANCHA MZ F5 LT 12B</t>
  </si>
  <si>
    <t>-15.477607336988477, -70.14999869066176</t>
  </si>
  <si>
    <t>CL EMILIANO CANO</t>
  </si>
  <si>
    <t>PUJL053-F</t>
  </si>
  <si>
    <t>CL SOLO PUEDE DOMINGOS,ZONA PELIGROSA</t>
  </si>
  <si>
    <t>105489123</t>
  </si>
  <si>
    <t>89238249</t>
  </si>
  <si>
    <t>955456703</t>
  </si>
  <si>
    <t>10353857</t>
  </si>
  <si>
    <t>NELSON CHAVEZ BURGA</t>
  </si>
  <si>
    <t>060000</t>
  </si>
  <si>
    <t>ermilio</t>
  </si>
  <si>
    <t>burgasvasquez01@gmail.com</t>
  </si>
  <si>
    <t xml:space="preserve"> mz 144 lote 11 grupo 3 sector c san juan lurigancho</t>
  </si>
  <si>
    <t>-11.968896, -77.009862</t>
  </si>
  <si>
    <t>frente al colegio fe alegri</t>
  </si>
  <si>
    <t>LMJL116-S</t>
  </si>
  <si>
    <t>105811170</t>
  </si>
  <si>
    <t>89590646</t>
  </si>
  <si>
    <t>986825952</t>
  </si>
  <si>
    <t>10435613751</t>
  </si>
  <si>
    <t>MORAN BATALLANOS ALFREDO MARIO</t>
  </si>
  <si>
    <t>Ancón</t>
  </si>
  <si>
    <t xml:space="preserve">ALFREDO </t>
  </si>
  <si>
    <t xml:space="preserve">TEREZA </t>
  </si>
  <si>
    <t>mariacristinaluzquinomendez@gmail.com</t>
  </si>
  <si>
    <t>Prolongación Loa mza A lote12 AH LAS ESTERAS  - ANCON</t>
  </si>
  <si>
    <t>-11.777169, -77.167869</t>
  </si>
  <si>
    <t xml:space="preserve">COMISARIA DE ANCON </t>
  </si>
  <si>
    <t>LMAN003-F</t>
  </si>
  <si>
    <t>200.</t>
  </si>
  <si>
    <t xml:space="preserve">CANCELADO POR FACILIDADES TECNICAS </t>
  </si>
  <si>
    <t>SE ENVIO ANALISIS DE COBERTURA</t>
  </si>
  <si>
    <t>105167834</t>
  </si>
  <si>
    <t>88943073</t>
  </si>
  <si>
    <t>955110574</t>
  </si>
  <si>
    <t>73186962</t>
  </si>
  <si>
    <t>RODRIGO ALEXANDER MENDOZA JHONG</t>
  </si>
  <si>
    <t>rodrigo_26_rmj@hotmail.com</t>
  </si>
  <si>
    <t xml:space="preserve">CONDOMINIO LOS FICUS DE LUREN C29 </t>
  </si>
  <si>
    <t>-14.080588652174898, -75.72156862932847</t>
  </si>
  <si>
    <t>EL ZAPATA'S</t>
  </si>
  <si>
    <t>ICAX081-F</t>
  </si>
  <si>
    <t>105187842</t>
  </si>
  <si>
    <t>88962817</t>
  </si>
  <si>
    <t>950629983</t>
  </si>
  <si>
    <t>42951099</t>
  </si>
  <si>
    <t>RUTH MARIA CONDORI INCA</t>
  </si>
  <si>
    <t>ALFONSO</t>
  </si>
  <si>
    <t>maria09rm@gmail.com</t>
  </si>
  <si>
    <t>CL ABEL OLAECHELA MZ B LT 19 URB BOTIJERIA ANGULO SUR</t>
  </si>
  <si>
    <t>-14.0712, -75.722312836</t>
  </si>
  <si>
    <t>AV CUTERVO</t>
  </si>
  <si>
    <t>ICAX039</t>
  </si>
  <si>
    <t>105534492</t>
  </si>
  <si>
    <t>89305175</t>
  </si>
  <si>
    <t>994602442</t>
  </si>
  <si>
    <t>10002809</t>
  </si>
  <si>
    <t>ANN MARGARET TENNISON MAYNETTO</t>
  </si>
  <si>
    <t>FRED</t>
  </si>
  <si>
    <t>DORA</t>
  </si>
  <si>
    <t>annitennison@gmail.com</t>
  </si>
  <si>
    <t>UMBERTO BOCCIONI 386</t>
  </si>
  <si>
    <t>-12.092421, -76.997683</t>
  </si>
  <si>
    <t>CALLE VELÁSQUEZ</t>
  </si>
  <si>
    <t>LMSB029-S</t>
  </si>
  <si>
    <t xml:space="preserve">se enviara correo </t>
  </si>
  <si>
    <t>105275344</t>
  </si>
  <si>
    <t>89055447</t>
  </si>
  <si>
    <t>932389010</t>
  </si>
  <si>
    <t>77921840</t>
  </si>
  <si>
    <t>MARIA MICAELA CHINGA CASTILLO</t>
  </si>
  <si>
    <t>LILIAN</t>
  </si>
  <si>
    <t>micaela15.mcc@gmail.com</t>
  </si>
  <si>
    <t>Rio Amazonas 360 LA MOLINA</t>
  </si>
  <si>
    <t>-12.104291653475842, -76.94297790428449</t>
  </si>
  <si>
    <t>CALLE RIO CENEPA</t>
  </si>
  <si>
    <t>LAMO044-S</t>
  </si>
  <si>
    <t>105392304</t>
  </si>
  <si>
    <t>89152684</t>
  </si>
  <si>
    <t>944025454</t>
  </si>
  <si>
    <t>42937034</t>
  </si>
  <si>
    <t>JAVIER ERNESTO QUISPE MARTINEZ</t>
  </si>
  <si>
    <t>EDGAR</t>
  </si>
  <si>
    <t>REIVAJTB@HOTMAIL.COM</t>
  </si>
  <si>
    <t>Jr tahuantinsuyo 1180</t>
  </si>
  <si>
    <t>-12.026046, -76.992129</t>
  </si>
  <si>
    <t>CALLE HUAMAN POMA</t>
  </si>
  <si>
    <t>LMJL070-S</t>
  </si>
  <si>
    <t>105711949</t>
  </si>
  <si>
    <t>89457182</t>
  </si>
  <si>
    <t>902730843</t>
  </si>
  <si>
    <t>18149891</t>
  </si>
  <si>
    <t>ANA MARIA FLORES LEZAMA</t>
  </si>
  <si>
    <t>anamariaflezama@gmail.com</t>
  </si>
  <si>
    <t>CALLE TUPAC INCA YUPANQUI 621 URB SANTA MARIA</t>
  </si>
  <si>
    <t>-8.11893067658909, -79.02347426217774</t>
  </si>
  <si>
    <t>TRUJ073-S</t>
  </si>
  <si>
    <t>cliente no desea HFC</t>
  </si>
  <si>
    <t>105536782</t>
  </si>
  <si>
    <t>89277184</t>
  </si>
  <si>
    <t>939982404</t>
  </si>
  <si>
    <t>80229615</t>
  </si>
  <si>
    <t>JENY ANGELICA ROJAS DOROTEO</t>
  </si>
  <si>
    <t>Kleiber Felix</t>
  </si>
  <si>
    <t>Zilda</t>
  </si>
  <si>
    <t>ticllarojascinthya@gmail.com</t>
  </si>
  <si>
    <t xml:space="preserve">ticllarojascinthya@gmail.com </t>
  </si>
  <si>
    <t>-11.997837, -77.090279</t>
  </si>
  <si>
    <t>Paradero las vaquitas, Antunes de mayolo</t>
  </si>
  <si>
    <t>LMMP150-S</t>
  </si>
  <si>
    <t xml:space="preserve">contesta un hombre la llamada, e indica que por la demora la tt ya no desea nada </t>
  </si>
  <si>
    <t>105678452</t>
  </si>
  <si>
    <t>89432121</t>
  </si>
  <si>
    <t>961623915</t>
  </si>
  <si>
    <t>43631514</t>
  </si>
  <si>
    <t>HAYDE PILAR BARBARAN GONZALES</t>
  </si>
  <si>
    <t>ROLAND</t>
  </si>
  <si>
    <t>NELLY</t>
  </si>
  <si>
    <t>Juliocwong@hotmail.com</t>
  </si>
  <si>
    <t>JIRON GUILLERMO SISLEY 587, URB CERCADO DE PUCALLPA</t>
  </si>
  <si>
    <t>-8.376127, -74.541505</t>
  </si>
  <si>
    <t xml:space="preserve">av union </t>
  </si>
  <si>
    <t>CPCL005</t>
  </si>
  <si>
    <t>105310414</t>
  </si>
  <si>
    <t>89083855</t>
  </si>
  <si>
    <t>903266093</t>
  </si>
  <si>
    <t>009730337</t>
  </si>
  <si>
    <t>KENYERLIS THAIRIS MADERA MADRID</t>
  </si>
  <si>
    <t>000</t>
  </si>
  <si>
    <t>jose</t>
  </si>
  <si>
    <t>THAIRIS</t>
  </si>
  <si>
    <t>thairismadrid@gmail.com</t>
  </si>
  <si>
    <t>939061291</t>
  </si>
  <si>
    <t xml:space="preserve">calle trilce 129 urbanización cesar vallejo </t>
  </si>
  <si>
    <t>-12.187919691973343, -76.93817235508638</t>
  </si>
  <si>
    <t>av pachacutec</t>
  </si>
  <si>
    <t>LMVM027</t>
  </si>
  <si>
    <t xml:space="preserve">INDICA QUE AYER LA LLAMARON LOS TECNICOS CUANDO SU PROGRAMACION ESTABA PARA HOY 08/07 , CL SE MOLESTO Y CONTRATO CON OTRO OPERADOR </t>
  </si>
  <si>
    <t>105134511</t>
  </si>
  <si>
    <t>88910063</t>
  </si>
  <si>
    <t>921185744</t>
  </si>
  <si>
    <t>76667766</t>
  </si>
  <si>
    <t>ALEJANDRA AVALOS RONCEROS</t>
  </si>
  <si>
    <t>Elvis</t>
  </si>
  <si>
    <t>Rocio</t>
  </si>
  <si>
    <t>avalosroncerosa@gmail.com</t>
  </si>
  <si>
    <t>calle manco capac 303 chimbote</t>
  </si>
  <si>
    <t>-9.07055804, -78.58225593</t>
  </si>
  <si>
    <t>cruce av. peru</t>
  </si>
  <si>
    <t>ANCB024-F</t>
  </si>
  <si>
    <t xml:space="preserve">CLIENTE TIENE HFC, INDICA QUE LE DIJERON FTTH NO DESEA SERVICIO </t>
  </si>
  <si>
    <t>105535880</t>
  </si>
  <si>
    <t>89306213</t>
  </si>
  <si>
    <t>975081991</t>
  </si>
  <si>
    <t>71992852</t>
  </si>
  <si>
    <t>JEREMI MEDINA SOTOMAYOR</t>
  </si>
  <si>
    <t>JEREMY</t>
  </si>
  <si>
    <t>MIRIAM</t>
  </si>
  <si>
    <t>JEREMI1708@GMAIL.COM</t>
  </si>
  <si>
    <t>JIRON AROMOS 636 URB. LAS FLORES PARADERO 2 SAN JUAN DE LURIGANCHO</t>
  </si>
  <si>
    <t>-12.021093 -77.012943</t>
  </si>
  <si>
    <t>AV. LAS FLORES DE PRIMAVERA</t>
  </si>
  <si>
    <t>CLIENTE HABIA PEDIDO INTERNET  + CABLE PERO SE INGRESO SOLO INTERNET</t>
  </si>
  <si>
    <t>105530484</t>
  </si>
  <si>
    <t>89273938</t>
  </si>
  <si>
    <t>982117829</t>
  </si>
  <si>
    <t>70893020</t>
  </si>
  <si>
    <t>JOYCE ALEXANDRA HUAMANI DIAZ</t>
  </si>
  <si>
    <t>Hector</t>
  </si>
  <si>
    <t>Veronica</t>
  </si>
  <si>
    <t>jahuamanidiaz@gmail.com</t>
  </si>
  <si>
    <t>edificio calle arturo duray 235 surquillo</t>
  </si>
  <si>
    <t>-12.118213603235315, -77.0058923344541</t>
  </si>
  <si>
    <t xml:space="preserve"> Parque Guido Casassa Bacigalupo</t>
  </si>
  <si>
    <t>LMSQ088</t>
  </si>
  <si>
    <t xml:space="preserve">CLIENTE INDICA QUE LOS TECNICOS LE DIJERON QUE NO IBAN A PODER INSTALAR PORQUE ESTA EN EL MERCADO, Y SE FUERON. CLIENTE MOLESTA DESISTE. </t>
  </si>
  <si>
    <t>105201211</t>
  </si>
  <si>
    <t>88969534</t>
  </si>
  <si>
    <t>919594972</t>
  </si>
  <si>
    <t>74825767</t>
  </si>
  <si>
    <t>AMPARO CECILIA SALOME CASTRO ALVA</t>
  </si>
  <si>
    <t>CECILIA</t>
  </si>
  <si>
    <t>amparocs105@gmail.com</t>
  </si>
  <si>
    <t>Cl Riobamba 440, SMP</t>
  </si>
  <si>
    <t>-12.032298, -77.057993</t>
  </si>
  <si>
    <t>AVENIDA PERU</t>
  </si>
  <si>
    <t>LMMP018-S</t>
  </si>
  <si>
    <t xml:space="preserve">CLIENTE CONTRAT CON OTRO OPERADOR/ DEMORA EN INSTALACION POR PARTE DEL AREA TECNICA </t>
  </si>
  <si>
    <t>105230530</t>
  </si>
  <si>
    <t>88996628</t>
  </si>
  <si>
    <t>922410668</t>
  </si>
  <si>
    <t>48644332</t>
  </si>
  <si>
    <t>ALVARO ALONSO RAMIREZ JOO</t>
  </si>
  <si>
    <t>Alvaroalonsoramirezjoo@gmail.com</t>
  </si>
  <si>
    <t>AV COSTANERA 2558, EDIF AMALFI</t>
  </si>
  <si>
    <t>-12.080838, -77.106883</t>
  </si>
  <si>
    <t>CALLE 2 DE MAYO</t>
  </si>
  <si>
    <t>LMSM014-R</t>
  </si>
  <si>
    <t xml:space="preserve">CLIENTE NO DESEA/ DEMORA TECNICA, EL MISMO DOMINGO CONTRATO OTRO OPERADOR </t>
  </si>
  <si>
    <t>105278518</t>
  </si>
  <si>
    <t>89057122</t>
  </si>
  <si>
    <t>923481460</t>
  </si>
  <si>
    <t>08169942</t>
  </si>
  <si>
    <t>PEREZ HILARIO, JUAN LUIS</t>
  </si>
  <si>
    <t>MARINA</t>
  </si>
  <si>
    <t>juanlph1405@gmail.com</t>
  </si>
  <si>
    <t xml:space="preserve">calle los molinos 645 </t>
  </si>
  <si>
    <t>-12.031702904726949,-77.03453999077095</t>
  </si>
  <si>
    <t xml:space="preserve">calle molinos </t>
  </si>
  <si>
    <t>LMRC021-S</t>
  </si>
  <si>
    <t>INCUMPLIMIENTO DE LOS TECNICOS</t>
  </si>
  <si>
    <t>105394520</t>
  </si>
  <si>
    <t>89154236</t>
  </si>
  <si>
    <t>957379818</t>
  </si>
  <si>
    <t>15642967</t>
  </si>
  <si>
    <t>MARIA YSABEL NICHO MANRIQUE</t>
  </si>
  <si>
    <t>DIDIMO</t>
  </si>
  <si>
    <t>KALESKA0109@GMAIL.COM</t>
  </si>
  <si>
    <t xml:space="preserve"> Jirón teniente Arístides del Carpio 1950 dpto. 104 Cercado de lima / CONJUNTO HABITACIONAL JOSE LUIS </t>
  </si>
  <si>
    <t xml:space="preserve"> -12.060434, -77.077442</t>
  </si>
  <si>
    <t>AL COSTADO DEL GRIFO ALAS PERUANAS</t>
  </si>
  <si>
    <t>LMLM109-S</t>
  </si>
  <si>
    <t>105287072</t>
  </si>
  <si>
    <t>89061628</t>
  </si>
  <si>
    <t>912771288</t>
  </si>
  <si>
    <t>33260746</t>
  </si>
  <si>
    <t>JOSE GRABIEL COLAN SAABEDRA</t>
  </si>
  <si>
    <t>JCOLAN33260746@HOTMAIL.COM</t>
  </si>
  <si>
    <t>URB. EL AMAUTA MZ E LOTE 19 NUEVO CHIMBOTE, SANTA - ANCASH.</t>
  </si>
  <si>
    <t xml:space="preserve"> -9.138876141732107, -78.51313231301266</t>
  </si>
  <si>
    <t>FRENTE AL PARQUE DEL AMAUTA</t>
  </si>
  <si>
    <t>CBNV067-S</t>
  </si>
  <si>
    <t>CLIENTE REPORTA DEMORA DEL AREA TECNICA ESTUVO ESPERANDO TODO EL DIA DE AYER, Y NADIE SE COMUNICO CON EL</t>
  </si>
  <si>
    <t>105464008</t>
  </si>
  <si>
    <t>89223808</t>
  </si>
  <si>
    <t>941715236</t>
  </si>
  <si>
    <t>72119721</t>
  </si>
  <si>
    <t>LUIS ALONSO LESCANO CASTILLO</t>
  </si>
  <si>
    <t>GLENY</t>
  </si>
  <si>
    <t>ALONSO-2201@HOTMAIL.COM</t>
  </si>
  <si>
    <t xml:space="preserve">941715236 </t>
  </si>
  <si>
    <t>AV MANSICHE 882, SANTA INES. TRUJILLO</t>
  </si>
  <si>
    <t xml:space="preserve"> -8.10339073, -79.03783822</t>
  </si>
  <si>
    <t>PASANDO LA CLINICA PERUANA AMERICANA</t>
  </si>
  <si>
    <t>TRUJ086-S</t>
  </si>
  <si>
    <t>Campaña Oferta Ataque</t>
  </si>
  <si>
    <t>RECHAZO PEDIDO POR OTRA SOT CON DNI</t>
  </si>
  <si>
    <t>105379754</t>
  </si>
  <si>
    <t>89146885</t>
  </si>
  <si>
    <t>987144245</t>
  </si>
  <si>
    <t>72137099</t>
  </si>
  <si>
    <t>ELIAS ERNESTO CARRION CHATA</t>
  </si>
  <si>
    <t>alejandro</t>
  </si>
  <si>
    <t xml:space="preserve">carrione697@gamil.com </t>
  </si>
  <si>
    <t>calle ramon castilla 402</t>
  </si>
  <si>
    <t>-16.378600184805947, -71.5618507794011</t>
  </si>
  <si>
    <t>CALLE CAHUIDE</t>
  </si>
  <si>
    <t xml:space="preserve">CLIENTE QUERIA SU INSTALACION SI O SI PARA 19/07 DE LO CONTRARIO DESISTIRÁ </t>
  </si>
  <si>
    <t>105473514</t>
  </si>
  <si>
    <t>89232811</t>
  </si>
  <si>
    <t>941280682</t>
  </si>
  <si>
    <t>48418680</t>
  </si>
  <si>
    <t>LUIS LIZANDRO CAMARGO GIRON</t>
  </si>
  <si>
    <t>040103</t>
  </si>
  <si>
    <t>RENE</t>
  </si>
  <si>
    <t>SEBASTIANA</t>
  </si>
  <si>
    <t>camargogironluislizandro@gmail.com</t>
  </si>
  <si>
    <t>AV AREQUIPA 200 MZ 34 SEMI RURAL PACHACUTEC</t>
  </si>
  <si>
    <t>-16.392372665937785, -71.57555474530689</t>
  </si>
  <si>
    <t>AQCC134-F</t>
  </si>
  <si>
    <t>CLIENTE DICE QUE EL PLAN ES MUY CARO Y NO DA MAS INFO, SE ALERTA</t>
  </si>
  <si>
    <t>105475240</t>
  </si>
  <si>
    <t>89233443</t>
  </si>
  <si>
    <t>958340970</t>
  </si>
  <si>
    <t>74322838</t>
  </si>
  <si>
    <t>LUIS ENRIQUE DANIEL PERCCA FLORES</t>
  </si>
  <si>
    <t>pedro</t>
  </si>
  <si>
    <t>eugenia</t>
  </si>
  <si>
    <t>pepe5131@gmail.com</t>
  </si>
  <si>
    <t>uurb AMPLIACION CIUDAD NUEVA mz 137 lote 5</t>
  </si>
  <si>
    <t>-17.978560, -70.239238</t>
  </si>
  <si>
    <t>cerca al colegio simon bolivar</t>
  </si>
  <si>
    <t>TCNA068-S</t>
  </si>
  <si>
    <t>105524099</t>
  </si>
  <si>
    <t>89270269</t>
  </si>
  <si>
    <t>950056181</t>
  </si>
  <si>
    <t>09480230</t>
  </si>
  <si>
    <t>LINARES ALCANTARA CESAR VICTOR</t>
  </si>
  <si>
    <t>raul</t>
  </si>
  <si>
    <t>elsa</t>
  </si>
  <si>
    <t>clinares2234@gmail.com</t>
  </si>
  <si>
    <t>urbanizacion cesar vallejo mz d lote 11</t>
  </si>
  <si>
    <t>-16.420901, -71.507735</t>
  </si>
  <si>
    <t>parque las gemelas</t>
  </si>
  <si>
    <t>AQPP013-S</t>
  </si>
  <si>
    <t xml:space="preserve">cliente indica que para evitar problemas de facturacion con movistar, decide aun quedarse con ellos </t>
  </si>
  <si>
    <t>105527833</t>
  </si>
  <si>
    <t>89272347</t>
  </si>
  <si>
    <t>995714024</t>
  </si>
  <si>
    <t>22497509</t>
  </si>
  <si>
    <t>YONEL WILLIAM SALAZAR DURAN</t>
  </si>
  <si>
    <t>SATURNINA</t>
  </si>
  <si>
    <t>yonel.salazar15@gmail.com</t>
  </si>
  <si>
    <t>Jr. Bolivia 115 Urbanización Huaquillay Comas</t>
  </si>
  <si>
    <t>-11.95937207, -77.05487518</t>
  </si>
  <si>
    <t>calle bolivia</t>
  </si>
  <si>
    <t>LMCO117-S</t>
  </si>
  <si>
    <t>INCUMPLIMIENTO</t>
  </si>
  <si>
    <t>105562121</t>
  </si>
  <si>
    <t>89321077</t>
  </si>
  <si>
    <t>990084128</t>
  </si>
  <si>
    <t>09078332</t>
  </si>
  <si>
    <t>LUIS ALBERTO ALVA LOZADA</t>
  </si>
  <si>
    <t>EFERNAD@PUCP.EDU.PE</t>
  </si>
  <si>
    <t>999701606</t>
  </si>
  <si>
    <t xml:space="preserve"> CALLE C NRO 111 DEPARTAMENTO 102, EDIFICIO SAN TADEO - SAN MIGUEL.</t>
  </si>
  <si>
    <t>-12.079721486174439, -77.07902795521755</t>
  </si>
  <si>
    <t>AV. LA MARINA</t>
  </si>
  <si>
    <t>LMSM038-S</t>
  </si>
  <si>
    <t>CL DESISTE DE COMPRA</t>
  </si>
  <si>
    <t>105597489</t>
  </si>
  <si>
    <t>89343006</t>
  </si>
  <si>
    <t>955322932</t>
  </si>
  <si>
    <t>61029148</t>
  </si>
  <si>
    <t>SEBASTIÁN ALBERTO ECHEGARAY OLACHEA</t>
  </si>
  <si>
    <t>GERALDINE</t>
  </si>
  <si>
    <t>Sechegaryolachea@gmail.com</t>
  </si>
  <si>
    <t>AV LOS MAESTROS E1 LOTE 35 URB LA PALMA GRANDE ICA</t>
  </si>
  <si>
    <t>-14.081160941194877, -75.73534559098542</t>
  </si>
  <si>
    <t xml:space="preserve"> ICAX043-S</t>
  </si>
  <si>
    <t>SE MANDO RESCATE COMERCIAL</t>
  </si>
  <si>
    <t>105642200</t>
  </si>
  <si>
    <t>89404062</t>
  </si>
  <si>
    <t>955144089</t>
  </si>
  <si>
    <t>06784448</t>
  </si>
  <si>
    <t>DELIA CARMEN LOPEZ FERNANDEZ</t>
  </si>
  <si>
    <t>maximo</t>
  </si>
  <si>
    <t>delia</t>
  </si>
  <si>
    <t>j73eduardo@gmail.com</t>
  </si>
  <si>
    <t xml:space="preserve"> edificio los almendros 113 piso 1 interior 105 URBANIZACIÓN	MONTERRICO</t>
  </si>
  <si>
    <t>-12.065107440787656, -76.96094071534323</t>
  </si>
  <si>
    <t>las naranjos</t>
  </si>
  <si>
    <t>LAMO018-S</t>
  </si>
  <si>
    <t>105494466</t>
  </si>
  <si>
    <t>89322657</t>
  </si>
  <si>
    <t>926121149</t>
  </si>
  <si>
    <t>60670751</t>
  </si>
  <si>
    <t>CARLOS ALBERTO CONDOR OCAS</t>
  </si>
  <si>
    <t>SALOMON</t>
  </si>
  <si>
    <t>CARLOSCONDOROCAS03@GMAIL.COM</t>
  </si>
  <si>
    <t>JR ALFONSO UGARTE 1764 URB. CHUCAPAMPA, CAJAMARCA- CAJAMARCA.</t>
  </si>
  <si>
    <t xml:space="preserve"> -7.181637705225429, -78.50630798875774</t>
  </si>
  <si>
    <t>JR ELIAS AGUIRRE O FRENTE A LA IGLESIA DE MADERA.</t>
  </si>
  <si>
    <t xml:space="preserve"> CJCJ073-F</t>
  </si>
  <si>
    <t>105668762</t>
  </si>
  <si>
    <t>89431117</t>
  </si>
  <si>
    <t>949205360</t>
  </si>
  <si>
    <t>26696771</t>
  </si>
  <si>
    <t>MARIA PASCUALA GUEVARA SALAZAR</t>
  </si>
  <si>
    <t>felipe</t>
  </si>
  <si>
    <t>francisca</t>
  </si>
  <si>
    <t>marwi1920@hotmail.com</t>
  </si>
  <si>
    <t>933183924</t>
  </si>
  <si>
    <t>Jr. Cinco Esquinas 1600  URB SANTA MERCEDES</t>
  </si>
  <si>
    <t>-7.152092394148168, -78.50691106323973</t>
  </si>
  <si>
    <t>av el parque</t>
  </si>
  <si>
    <t>CJCJ019-S</t>
  </si>
  <si>
    <t>105067023</t>
  </si>
  <si>
    <t>88862159</t>
  </si>
  <si>
    <t>980408114</t>
  </si>
  <si>
    <t>22061772</t>
  </si>
  <si>
    <t>ORLANDO MEDINA HUARINGA</t>
  </si>
  <si>
    <t>HERMOGENES</t>
  </si>
  <si>
    <t>DOMITILA</t>
  </si>
  <si>
    <t>orlandomedinahuaringa@gmail.com</t>
  </si>
  <si>
    <t>pasaje pepe  410  URBA. SAN CARLOS</t>
  </si>
  <si>
    <t>-14.83396297,-74.93751685</t>
  </si>
  <si>
    <t xml:space="preserve">CALLE SUCRE </t>
  </si>
  <si>
    <t>ICNZ011-F</t>
  </si>
  <si>
    <t xml:space="preserve">repro para el 11/07 </t>
  </si>
  <si>
    <t>105080362</t>
  </si>
  <si>
    <t>88867471</t>
  </si>
  <si>
    <t>934839952</t>
  </si>
  <si>
    <t>42906737</t>
  </si>
  <si>
    <t>WALTER TOMAYQUISPE PEÑA</t>
  </si>
  <si>
    <t>MAGDA</t>
  </si>
  <si>
    <t>ISABELNUÑEZ.242912@GMAIL.COM</t>
  </si>
  <si>
    <t>935860361</t>
  </si>
  <si>
    <t>AV. PACTO ANDINO 474 SECTOR 1 GRUPO 3</t>
  </si>
  <si>
    <t>-12.1933, -76.943507</t>
  </si>
  <si>
    <t>AV. SEPARADORA INDUSTRIA, PARQUE FAMILIA BASURTO</t>
  </si>
  <si>
    <t>LMVS123-F</t>
  </si>
  <si>
    <t>105112973</t>
  </si>
  <si>
    <t>88899220</t>
  </si>
  <si>
    <t>930371079</t>
  </si>
  <si>
    <t>01098785</t>
  </si>
  <si>
    <t>TORRES PEZO, CORI</t>
  </si>
  <si>
    <t>OSVALDO</t>
  </si>
  <si>
    <t>MELANIA</t>
  </si>
  <si>
    <t xml:space="preserve">larauco88@gmail.com </t>
  </si>
  <si>
    <t xml:space="preserve">pasaje elias cordoba 150 </t>
  </si>
  <si>
    <t>-6.494839674, -76.374501006</t>
  </si>
  <si>
    <t>jr tarapoto</t>
  </si>
  <si>
    <t>SMTP060-F</t>
  </si>
  <si>
    <t xml:space="preserve">CL QUIERE INSTALACION 5PM </t>
  </si>
  <si>
    <t>105273069</t>
  </si>
  <si>
    <t>89054487</t>
  </si>
  <si>
    <t>947370052</t>
  </si>
  <si>
    <t>45254359</t>
  </si>
  <si>
    <t>MANUEL AUGUSTO CASTRO MORE</t>
  </si>
  <si>
    <t>macm861@gmail.com</t>
  </si>
  <si>
    <t>Jr Arequipa 132</t>
  </si>
  <si>
    <t>-5.262379, -80.676054</t>
  </si>
  <si>
    <t>JR CHOTA</t>
  </si>
  <si>
    <t>PRCT001-F</t>
  </si>
  <si>
    <t>CL NO RESPONDE LLAMADAS NI MENAJES WSP</t>
  </si>
  <si>
    <t>105365273</t>
  </si>
  <si>
    <t>89136089</t>
  </si>
  <si>
    <t>985425120</t>
  </si>
  <si>
    <t>09615725</t>
  </si>
  <si>
    <t>JOSE LUIS LUNA FERNANDEZ</t>
  </si>
  <si>
    <t>TITO</t>
  </si>
  <si>
    <t>ZENOBIA</t>
  </si>
  <si>
    <t>jeffriy_975@hotmail.com</t>
  </si>
  <si>
    <t>JR LAS MADRES SELVA 371 URB SANTA ISABEL</t>
  </si>
  <si>
    <t>-11.89997706,-77.03729458</t>
  </si>
  <si>
    <t>MERCADO SAN PEDRO</t>
  </si>
  <si>
    <t>LMBY046</t>
  </si>
  <si>
    <t xml:space="preserve">CLIENTE SE MUDARA RECIEN AL LUGAR DE INSTALACION, NO TIENE FECHA DE INSTALACION, INDICA QUE CONFIRMARA </t>
  </si>
  <si>
    <t>105240483</t>
  </si>
  <si>
    <t>89019695</t>
  </si>
  <si>
    <t>997673193</t>
  </si>
  <si>
    <t>46408812</t>
  </si>
  <si>
    <t>BARBOZA RAMIREZ, JUAN MANUEL</t>
  </si>
  <si>
    <t xml:space="preserve">jbarboza903@gmail.com </t>
  </si>
  <si>
    <t xml:space="preserve">jiron daniel alcides carrion 1428 urb rescate </t>
  </si>
  <si>
    <t>-12.039751577027564, -77.06079687188824</t>
  </si>
  <si>
    <t xml:space="preserve">AV MARIA PARADO DE BELLIDO </t>
  </si>
  <si>
    <t>LMLM191-F</t>
  </si>
  <si>
    <t>SE MANDA RESCATE COMERCIAL</t>
  </si>
  <si>
    <t>105809123</t>
  </si>
  <si>
    <t>89586367</t>
  </si>
  <si>
    <t>962100770</t>
  </si>
  <si>
    <t>40929999</t>
  </si>
  <si>
    <t>FELIX SUCA PARI</t>
  </si>
  <si>
    <t>Huancané</t>
  </si>
  <si>
    <t>OZCAR</t>
  </si>
  <si>
    <t xml:space="preserve">JUSTINA </t>
  </si>
  <si>
    <t>NOEMIROXANACHOQUEARPASI18@GMAIL.COM</t>
  </si>
  <si>
    <t>JR ARICA 120, HUANCANE, HUANCANE-PUNO</t>
  </si>
  <si>
    <t>-15.203875673, -69.763022772</t>
  </si>
  <si>
    <t>JR PUNO</t>
  </si>
  <si>
    <t>PUHN005-F</t>
  </si>
  <si>
    <t xml:space="preserve">LA VELOCIDAD REAL ES 400, ASS LE INDICO A CLIENTE QUE SERIA 1000 POR LO QUE CLIENTE RECHAZO </t>
  </si>
  <si>
    <t>105764640</t>
  </si>
  <si>
    <t>89524789</t>
  </si>
  <si>
    <t>942041057</t>
  </si>
  <si>
    <t>16691912</t>
  </si>
  <si>
    <t>CARLOS ALBERTO GOMEZ DIAZ</t>
  </si>
  <si>
    <t>raulo</t>
  </si>
  <si>
    <t>elena</t>
  </si>
  <si>
    <t>charlesmed5.hotmail.com</t>
  </si>
  <si>
    <t>Calle instruccion 117 Urb san luis chiclayo</t>
  </si>
  <si>
    <t>-6.764304594197594, -79.84351403816765</t>
  </si>
  <si>
    <t>costado colegio manuel pardo</t>
  </si>
  <si>
    <t>CHI054-S</t>
  </si>
  <si>
    <t>105339448</t>
  </si>
  <si>
    <t>89097693</t>
  </si>
  <si>
    <t>978413905</t>
  </si>
  <si>
    <t>02779984</t>
  </si>
  <si>
    <t>MILAGROS MONICA BERMEJO SUAREZ</t>
  </si>
  <si>
    <t>PORFIRIO</t>
  </si>
  <si>
    <t>MAESBE.08@OUTLOOK.COM</t>
  </si>
  <si>
    <t>CALLE HUANCAVELICA 1329</t>
  </si>
  <si>
    <t>-5.19500512, -80.63548803</t>
  </si>
  <si>
    <t>AVENIDA SAN MARTIN</t>
  </si>
  <si>
    <t>PIUR028-S</t>
  </si>
  <si>
    <t>105462323</t>
  </si>
  <si>
    <t>89222956</t>
  </si>
  <si>
    <t>991911301</t>
  </si>
  <si>
    <t>80676731</t>
  </si>
  <si>
    <t>DANIEL MOISES HERNANDEZ RODRIGUEZ</t>
  </si>
  <si>
    <t>agusto</t>
  </si>
  <si>
    <t>danielmoisesh6@gamil.com</t>
  </si>
  <si>
    <t>jiron juan jose crespo y castillo 211</t>
  </si>
  <si>
    <t>-11.933585979250152, -77.04919240428424</t>
  </si>
  <si>
    <t>av pumacahua</t>
  </si>
  <si>
    <t>LMCO080</t>
  </si>
  <si>
    <t>CLIENTE NO QUIERE HFC.</t>
  </si>
  <si>
    <t>105579885</t>
  </si>
  <si>
    <t>89334533</t>
  </si>
  <si>
    <t>988510660</t>
  </si>
  <si>
    <t>40446696</t>
  </si>
  <si>
    <t>ERIKA YAHAIRA ARROYO AMOROTO</t>
  </si>
  <si>
    <t>natividad</t>
  </si>
  <si>
    <t>ayde</t>
  </si>
  <si>
    <t>fiore_hermen@hotmail.com</t>
  </si>
  <si>
    <t>urb elacero mz klt 19</t>
  </si>
  <si>
    <t>-9.06999216618133,-78.597271552408</t>
  </si>
  <si>
    <t xml:space="preserve">jiron jose olaya </t>
  </si>
  <si>
    <t>cbcb026</t>
  </si>
  <si>
    <t>EDIFICIO NO LIBERADO</t>
  </si>
  <si>
    <t>105807353</t>
  </si>
  <si>
    <t>89583271</t>
  </si>
  <si>
    <t>907370977</t>
  </si>
  <si>
    <t>43728730</t>
  </si>
  <si>
    <t>PATRICIA LENIA FLORES SALLO</t>
  </si>
  <si>
    <t>NERMECIA</t>
  </si>
  <si>
    <t>pfloressallo@gmail.com</t>
  </si>
  <si>
    <t>Gran Parque Las Flores | Los Portales Depas JR MANDRAGORA 487</t>
  </si>
  <si>
    <t>-12.005842840607588, -77.01065600000003</t>
  </si>
  <si>
    <t xml:space="preserve">JR. LOS AMELOS </t>
  </si>
  <si>
    <t>LMJL030</t>
  </si>
  <si>
    <t>105651384</t>
  </si>
  <si>
    <t>89413561</t>
  </si>
  <si>
    <t>997562157</t>
  </si>
  <si>
    <t>20579272</t>
  </si>
  <si>
    <t>VILMAR ASISCLO OJEDA ZEVALLOS</t>
  </si>
  <si>
    <t>Apolinar</t>
  </si>
  <si>
    <t>Eulogia</t>
  </si>
  <si>
    <t>Vilito181160@gmail.com</t>
  </si>
  <si>
    <t>Jirón Enrique Pallardelli 193, San borja</t>
  </si>
  <si>
    <t>-12.08526, -76.994986</t>
  </si>
  <si>
    <t>PARQUE ENRIQUE PALLARDELLI</t>
  </si>
  <si>
    <t xml:space="preserve"> LMSB082-F</t>
  </si>
  <si>
    <t>105659840</t>
  </si>
  <si>
    <t>89423057</t>
  </si>
  <si>
    <t>973308751</t>
  </si>
  <si>
    <t>72658403</t>
  </si>
  <si>
    <t>LUIS FERNANDO SAMAME ORTIZ</t>
  </si>
  <si>
    <t>Jaén</t>
  </si>
  <si>
    <t>ROSSANA</t>
  </si>
  <si>
    <t>luisfernandosamameortiz1@gmail.com</t>
  </si>
  <si>
    <t xml:space="preserve">CALLE MARIA PARADO DE BELLIDO 1550 URB MORRO SOLAR </t>
  </si>
  <si>
    <t>-5.715118782, -78.806180657</t>
  </si>
  <si>
    <t>CJJN018-F</t>
  </si>
  <si>
    <t xml:space="preserve">SE ENVI0 CORREO, ANALISIS DE COBERTURA </t>
  </si>
  <si>
    <t>105253641</t>
  </si>
  <si>
    <t>89029225</t>
  </si>
  <si>
    <t>950094109</t>
  </si>
  <si>
    <t>02172035</t>
  </si>
  <si>
    <t>CECILIO CUTIPA COLQUE</t>
  </si>
  <si>
    <t>GUILLERMO</t>
  </si>
  <si>
    <t>CUTIPA1122@HOTMAIL.COM</t>
  </si>
  <si>
    <t>Av. Centenario 255</t>
  </si>
  <si>
    <t>-14.065324252660414, -70.4338727893981</t>
  </si>
  <si>
    <t>SERVICENTRO DAROL</t>
  </si>
  <si>
    <t>105365944</t>
  </si>
  <si>
    <t>89134316</t>
  </si>
  <si>
    <t>910980822</t>
  </si>
  <si>
    <t>06268110</t>
  </si>
  <si>
    <t>MARUJA IGNACIA CHACON VILLAFUERTE</t>
  </si>
  <si>
    <t>CADY20072009@GMAIL.COM</t>
  </si>
  <si>
    <t>JIRON IQUITOS 533 URB. CAJA DE AGUA, SAN JUAN DE LURIGANCHO</t>
  </si>
  <si>
    <t>-12.029626, -77.018760</t>
  </si>
  <si>
    <t>AL COSTADO DEL TUNEL SANTA ROSA</t>
  </si>
  <si>
    <t>LMJL202-F</t>
  </si>
  <si>
    <t>SE ESTA JALANDO COBERTURA, FUE RECHAZADO, SE ENVIA ANALISIS DE COBERTURA</t>
  </si>
  <si>
    <t>105471773</t>
  </si>
  <si>
    <t>89230801</t>
  </si>
  <si>
    <t>946025285</t>
  </si>
  <si>
    <t>10426110</t>
  </si>
  <si>
    <t>EFRAIN WILLIAM LOZANO CRUZ</t>
  </si>
  <si>
    <t>Ventanilla</t>
  </si>
  <si>
    <t>andres</t>
  </si>
  <si>
    <t>cristina</t>
  </si>
  <si>
    <t>efraLC@gmail.com</t>
  </si>
  <si>
    <t>calle geranios mz 74 lt 18 	urb CIUDAD SATELITE DE VENTANILLA</t>
  </si>
  <si>
    <t>-11.869932343864129, -77.11391516189073</t>
  </si>
  <si>
    <t>av pedro beltran///calle 24</t>
  </si>
  <si>
    <t>LMVT016-S</t>
  </si>
  <si>
    <t>105563127</t>
  </si>
  <si>
    <t>89322015</t>
  </si>
  <si>
    <t>934960219</t>
  </si>
  <si>
    <t>21878701</t>
  </si>
  <si>
    <t>TATIANA GUTIERREZ SOTO</t>
  </si>
  <si>
    <t>PAULINO</t>
  </si>
  <si>
    <t>tahitigs@icloud.com</t>
  </si>
  <si>
    <t>AV LOS JAZMINES, CONDOMINIO EL CORREGIDOR</t>
  </si>
  <si>
    <t>-13.42545799890899, -76.17005099215214</t>
  </si>
  <si>
    <t>CALLE JOSE OLAYA</t>
  </si>
  <si>
    <t>ICSU002-F</t>
  </si>
  <si>
    <t>105776603</t>
  </si>
  <si>
    <t>89533963</t>
  </si>
  <si>
    <t>955861681</t>
  </si>
  <si>
    <t>42807760</t>
  </si>
  <si>
    <t>MARIA VILMA GUEVARA BADA DE VELASQUEZ</t>
  </si>
  <si>
    <t>060106</t>
  </si>
  <si>
    <t>CATALINA</t>
  </si>
  <si>
    <t>odi_0007@hotmail.com</t>
  </si>
  <si>
    <t>JR JOSE CARLOS MARIAGUETI 280 URB. SAN VICENTE, CAJAMARCA-CAJAMARCA.</t>
  </si>
  <si>
    <t>-7.16195295, -78.52180398</t>
  </si>
  <si>
    <t>A ESPALDA DE SEDACAJ</t>
  </si>
  <si>
    <t>CJCJ056-F</t>
  </si>
  <si>
    <t>SE VALIDA EDIFICIO</t>
  </si>
  <si>
    <t>105772881</t>
  </si>
  <si>
    <t>89530920</t>
  </si>
  <si>
    <t>904430681</t>
  </si>
  <si>
    <t>78559721</t>
  </si>
  <si>
    <t>MARCO ANTONIO HUARACHA CHOQUE</t>
  </si>
  <si>
    <t>TEOFILO</t>
  </si>
  <si>
    <t>KATIA</t>
  </si>
  <si>
    <t>MARCOANTONIOHUARACHA2@GMAIL.COM</t>
  </si>
  <si>
    <t>AV 7 LOS KANTUS URB LARAPA GRANDE DISTRITO SAN JERONIMO EN CUSCO</t>
  </si>
  <si>
    <t>-13.530174316867656, -71.89912153998466</t>
  </si>
  <si>
    <t>AL COSTADO DEL RESTAURANTE Nanys Cakes</t>
  </si>
  <si>
    <t>CZSJ026-F</t>
  </si>
  <si>
    <t xml:space="preserve">JALA COBERTURA - AL PARECER NO PUDIERON </t>
  </si>
  <si>
    <t>105026228</t>
  </si>
  <si>
    <t>88815475</t>
  </si>
  <si>
    <t>921788631</t>
  </si>
  <si>
    <t>78199763</t>
  </si>
  <si>
    <t>EVELIN MARLIN DAZA CARBAJAL</t>
  </si>
  <si>
    <t>090603</t>
  </si>
  <si>
    <t>DONILDA</t>
  </si>
  <si>
    <t>teofilomaytherregaladoisla@gmail.com</t>
  </si>
  <si>
    <t>973718890</t>
  </si>
  <si>
    <t>AH. EL MIRADOR LA LOMAS MZ D LT 10</t>
  </si>
  <si>
    <t>-12.133943717402264, -76.93956553003424</t>
  </si>
  <si>
    <t>CALLE 8, PASAJE SANTA ROSA</t>
  </si>
  <si>
    <t>LMVM059-F</t>
  </si>
  <si>
    <t>CL SE EQUIVOCO EN SU DIRECCION</t>
  </si>
  <si>
    <t>105679604</t>
  </si>
  <si>
    <t>89432630</t>
  </si>
  <si>
    <t>975669623</t>
  </si>
  <si>
    <t>46920384</t>
  </si>
  <si>
    <t>MARISOL RABANAL BAZAN</t>
  </si>
  <si>
    <t>VISITACION</t>
  </si>
  <si>
    <t>ELVIRA</t>
  </si>
  <si>
    <t>ALBERTCD@OUTLOOK.COM</t>
  </si>
  <si>
    <t xml:space="preserve">955891291 </t>
  </si>
  <si>
    <t>AV.CANTA CALLAO 580, URB. PRO, LOS OLIVOS</t>
  </si>
  <si>
    <t>-11.930049, -77.074645</t>
  </si>
  <si>
    <t>FRENTE AL VIVERO DE LOS OLIVOS</t>
  </si>
  <si>
    <t>LMLO110-S</t>
  </si>
  <si>
    <t xml:space="preserve">CL NO CALIFICA A PLAN CONSOLIDADO 1 </t>
  </si>
  <si>
    <t>966526754</t>
  </si>
  <si>
    <t>78009654</t>
  </si>
  <si>
    <t>STEFANY JHAJAIRA VILLENA MENDOZA</t>
  </si>
  <si>
    <t>021101</t>
  </si>
  <si>
    <t>Huarmey</t>
  </si>
  <si>
    <t>MARILUZ</t>
  </si>
  <si>
    <t>Johanaanabelv@gmail.com</t>
  </si>
  <si>
    <t>913776577</t>
  </si>
  <si>
    <t>MzT, LT46 AHH. LA VICTORIA</t>
  </si>
  <si>
    <t>-10.053126586706075, -78.16027076862753</t>
  </si>
  <si>
    <t>calle Kanashiro</t>
  </si>
  <si>
    <t>ANHM011-F</t>
  </si>
  <si>
    <t>VEL INCORRECTA</t>
  </si>
  <si>
    <t>936271283</t>
  </si>
  <si>
    <t>06842783</t>
  </si>
  <si>
    <t>JULIO ENRIQUE CHAVEZ NAPAN</t>
  </si>
  <si>
    <t>ANTONIO</t>
  </si>
  <si>
    <t>JU.EN.28@HOTMAIL.COM</t>
  </si>
  <si>
    <t>995643844</t>
  </si>
  <si>
    <t>PSJ BEATITA DE HUMAY 371, URB VILLA SEÑOR DE LOS MILAGROS COMAS</t>
  </si>
  <si>
    <t>-11.941362953, -77.04450482</t>
  </si>
  <si>
    <t>KILOMETRO 13</t>
  </si>
  <si>
    <t>LMCO089</t>
  </si>
  <si>
    <t xml:space="preserve">NO CALIFICA A PLAN </t>
  </si>
  <si>
    <t>922958235</t>
  </si>
  <si>
    <t>73207795</t>
  </si>
  <si>
    <t>EDINSON RAUL SOPLOPUCO MORE</t>
  </si>
  <si>
    <t>VICTOR RAUL SOPLOPUCO BENITES</t>
  </si>
  <si>
    <t>ELSA PATRICIA MORE AGUIRRE</t>
  </si>
  <si>
    <t>morithosop@gmail.com</t>
  </si>
  <si>
    <t>A.H VILLAMOTO MZ G LT 14 (VENTANILLA, CALLAO, CALLAO)</t>
  </si>
  <si>
    <t>-11.8665486337272,-77.129769981249</t>
  </si>
  <si>
    <t>AV. GAMBETTA</t>
  </si>
  <si>
    <t>LMVT062-F</t>
  </si>
  <si>
    <t>NO CALIFICA</t>
  </si>
  <si>
    <t>914758433</t>
  </si>
  <si>
    <t>10281872</t>
  </si>
  <si>
    <t>ALFREDO ORTIZ GALLO</t>
  </si>
  <si>
    <t>GUILLERMINA</t>
  </si>
  <si>
    <t>Gallito100676@gmail.com</t>
  </si>
  <si>
    <t xml:space="preserve">Calle Pinos del Valle 170 dpto 202 </t>
  </si>
  <si>
    <t>-12.119279, -76.993265</t>
  </si>
  <si>
    <t>LMSC021-S</t>
  </si>
  <si>
    <t xml:space="preserve">PNDT CREAR SEC Y SOT </t>
  </si>
  <si>
    <t>918463454</t>
  </si>
  <si>
    <t>46498756</t>
  </si>
  <si>
    <t>DIANA MARICRUZ FIGUEROA DIAZ</t>
  </si>
  <si>
    <t>GLADYS</t>
  </si>
  <si>
    <t>dianafigueroarava79@gmail.com</t>
  </si>
  <si>
    <t>PSJ LOS JACINTOS MZ N LT 3 SECTOR 2</t>
  </si>
  <si>
    <t>-16.459872, -71.520464</t>
  </si>
  <si>
    <t>CALLE CAMPINA</t>
  </si>
  <si>
    <t>AQSB021</t>
  </si>
  <si>
    <t>NO PROCEDE CUENTA CON SERV ACT</t>
  </si>
  <si>
    <t>979325536</t>
  </si>
  <si>
    <t>72805015</t>
  </si>
  <si>
    <t>JHEISON PAOLO MALDONADO VILLANUEVA</t>
  </si>
  <si>
    <t>010101</t>
  </si>
  <si>
    <t>Chachapoyas</t>
  </si>
  <si>
    <t>WILDER</t>
  </si>
  <si>
    <t>arnoldmaldonadovillanueva@gmail.com</t>
  </si>
  <si>
    <t>av grau 952 chachapoyas amazonas</t>
  </si>
  <si>
    <t>-6.232947437, -77.871791275</t>
  </si>
  <si>
    <t>Centro Médico Santo Tomás Sede Chachapoyas</t>
  </si>
  <si>
    <t>AMCH007-F</t>
  </si>
  <si>
    <t>NO HAY FRANJA DE INSTALACION</t>
  </si>
  <si>
    <t>105283585</t>
  </si>
  <si>
    <t>928663796</t>
  </si>
  <si>
    <t>62734964</t>
  </si>
  <si>
    <t>JOSE MANUEL HUAMANI MORIEL</t>
  </si>
  <si>
    <t>INOCENCIA</t>
  </si>
  <si>
    <t>HMANUEL016H@GMAIL.COM</t>
  </si>
  <si>
    <t>20 DE OCTUBRE MZ E1 LT 24, CALLAO</t>
  </si>
  <si>
    <t>-12.042122, -77.116658</t>
  </si>
  <si>
    <t>FRENTE A UNA TIENDA</t>
  </si>
  <si>
    <t>LMCA169-F</t>
  </si>
  <si>
    <t xml:space="preserve">PAGO DE INSTALACION </t>
  </si>
  <si>
    <t>919470529</t>
  </si>
  <si>
    <t>47208365</t>
  </si>
  <si>
    <t>JHIM PABLO HUAMAN PEINADO</t>
  </si>
  <si>
    <t>Oxapampa</t>
  </si>
  <si>
    <t>ANDRES</t>
  </si>
  <si>
    <t>ESTEFANA</t>
  </si>
  <si>
    <t>JHIMHUAMANPEINADO@GMAIL.COM</t>
  </si>
  <si>
    <t>Jirón Heidinger 199, Oxapampa, Pasco</t>
  </si>
  <si>
    <t>-10.578299 -75.409172</t>
  </si>
  <si>
    <t xml:space="preserve">DETRAS DEL HOSPITAL DE GENERAL. </t>
  </si>
  <si>
    <t>PACT001-F</t>
  </si>
  <si>
    <t>922050932</t>
  </si>
  <si>
    <t>10438676118</t>
  </si>
  <si>
    <t>JONATHAN SALOMON MEDRANO RIVEROS</t>
  </si>
  <si>
    <t>040200</t>
  </si>
  <si>
    <t>GAMANIER</t>
  </si>
  <si>
    <t>jonathanmedrano944@gmail.com</t>
  </si>
  <si>
    <t>calle progreso 433 nicolas del pierola san gregorio</t>
  </si>
  <si>
    <t>casa</t>
  </si>
  <si>
    <t>-16.573270819284108, -72.71645674171617</t>
  </si>
  <si>
    <t xml:space="preserve">cerca de la comisario san gregorio </t>
  </si>
  <si>
    <t>AQNP002-F</t>
  </si>
  <si>
    <t xml:space="preserve">PROCEDE PAGO DE INSTALACION </t>
  </si>
  <si>
    <t>979322776</t>
  </si>
  <si>
    <t>09436249</t>
  </si>
  <si>
    <t>ORRILLO ESCOBAR KATHERINE JOANNA</t>
  </si>
  <si>
    <t xml:space="preserve">margarita </t>
  </si>
  <si>
    <t>mayrafalla28@gmail.com</t>
  </si>
  <si>
    <t>jr marañon 467 A rimac</t>
  </si>
  <si>
    <t>-12.041994589761194 -77.02452003445593</t>
  </si>
  <si>
    <t xml:space="preserve">tienda de baterias </t>
  </si>
  <si>
    <t>LMRC062-F</t>
  </si>
  <si>
    <t xml:space="preserve">SOLO PROCEDE PAGO DE INSTALACION, CLIENTE NO RESPONDE  </t>
  </si>
  <si>
    <t>942362260</t>
  </si>
  <si>
    <t>44308490</t>
  </si>
  <si>
    <t>ANITA PAULA TANTA CHAVEZ</t>
  </si>
  <si>
    <t xml:space="preserve">SEBASTIAN </t>
  </si>
  <si>
    <t xml:space="preserve">MARGARITA </t>
  </si>
  <si>
    <t xml:space="preserve">reparado_tanta@hotmail </t>
  </si>
  <si>
    <t xml:space="preserve">SAN MARTIN 652 EL PORVENIR trujillo </t>
  </si>
  <si>
    <t>-8.078175419642147 -78.99684908465545</t>
  </si>
  <si>
    <t>con av jaime blanco</t>
  </si>
  <si>
    <t>LLEPO15-F</t>
  </si>
  <si>
    <t xml:space="preserve">PNDT INGRESO - SE ENVIA CORREO </t>
  </si>
  <si>
    <t>977573325</t>
  </si>
  <si>
    <t>10405722459</t>
  </si>
  <si>
    <t>MAMANI ALARCON ELMER POLO</t>
  </si>
  <si>
    <t>040129</t>
  </si>
  <si>
    <t>pedro valerio</t>
  </si>
  <si>
    <t>flor de maria</t>
  </si>
  <si>
    <t>epmaperk@gmail.com</t>
  </si>
  <si>
    <t xml:space="preserve">977573325 </t>
  </si>
  <si>
    <t>967699762</t>
  </si>
  <si>
    <t>av cayma 402</t>
  </si>
  <si>
    <t>-16.38427301, -71.54620696</t>
  </si>
  <si>
    <t>av los almendros</t>
  </si>
  <si>
    <t>AQCA004-S</t>
  </si>
  <si>
    <t xml:space="preserve">PNDT FOTO DE DNI Y SELFIE PARA ESCALAR CASO / AUTORIZACION DE GERENCIA </t>
  </si>
  <si>
    <t>960139230</t>
  </si>
  <si>
    <t>46017483</t>
  </si>
  <si>
    <t>YHONAR HILDEMARO CONISLLA SANCHEZ</t>
  </si>
  <si>
    <t>yhonarps@gmail.com</t>
  </si>
  <si>
    <t>JR MARISCAL MARIANO NECOCHEA 794</t>
  </si>
  <si>
    <t>-12.03364, -77.042545</t>
  </si>
  <si>
    <t>JR. ARRIETA</t>
  </si>
  <si>
    <t>LMRC037-F</t>
  </si>
  <si>
    <t xml:space="preserve">CLIENTE NO QUIERE ESE PLAN, SE TRATA DE RECUPERAR </t>
  </si>
  <si>
    <t>935416420</t>
  </si>
  <si>
    <t>75433330</t>
  </si>
  <si>
    <t>FREDY FERNANDO HIDALGO CAHUAYA</t>
  </si>
  <si>
    <t>hidalgofern01202@gmail.com</t>
  </si>
  <si>
    <t>Mzb. Lt6 AA. HH Kenyi fujimori</t>
  </si>
  <si>
    <t>-11.898305, -77.125149</t>
  </si>
  <si>
    <t>COMERCIO DECORACIONES ROGERS</t>
  </si>
  <si>
    <t>LMVT066-F</t>
  </si>
  <si>
    <t xml:space="preserve">CORTA LLAMADA EN GRABACION </t>
  </si>
  <si>
    <t>978380564</t>
  </si>
  <si>
    <t>43714668</t>
  </si>
  <si>
    <t>VILCA MAMANI, GUILLERMO</t>
  </si>
  <si>
    <t xml:space="preserve">FELICIANA </t>
  </si>
  <si>
    <t xml:space="preserve">guillermo_vilca@hotmail.com  </t>
  </si>
  <si>
    <t xml:space="preserve"> calle manco capac  mz a lt 10 amplaiacion pamapas del cusco  PISO: 1 </t>
  </si>
  <si>
    <t>-16.452825578581237,-71.55633435521169</t>
  </si>
  <si>
    <t xml:space="preserve">CALLE MANCO CAPAC </t>
  </si>
  <si>
    <t>AQHU008-S</t>
  </si>
  <si>
    <t xml:space="preserve">GRABADO A MEDIAS / NO RESPONDE PARA GRABACION </t>
  </si>
  <si>
    <t>940548385</t>
  </si>
  <si>
    <t>40761701</t>
  </si>
  <si>
    <t>YSABEL CRISTINA ENDERTON CORTEZ DE CHONG</t>
  </si>
  <si>
    <t>gildebrandon</t>
  </si>
  <si>
    <t>yris</t>
  </si>
  <si>
    <t>pedromanuelce30@gmial.com</t>
  </si>
  <si>
    <t>urbanizacion 18 de mayo manzana H lote 07</t>
  </si>
  <si>
    <t>-5.203017148493358, -80.63253499088042</t>
  </si>
  <si>
    <t>cerca a la cevicheria el bronce</t>
  </si>
  <si>
    <t>PIUR064-S</t>
  </si>
  <si>
    <t xml:space="preserve">CL NO DESEA GRABAR, SE QUEDARA CON SU OPERADOR HASTA EL 17/07 </t>
  </si>
  <si>
    <t>29642252</t>
  </si>
  <si>
    <t>MARIA DEL ROSARIO FUENTES FLORES DE COLLADO</t>
  </si>
  <si>
    <t>Diegocollado159@gmail.com</t>
  </si>
  <si>
    <t>urb RES MONTE BELLO mz m lote 16</t>
  </si>
  <si>
    <t>av borveron</t>
  </si>
  <si>
    <t xml:space="preserve">CLIENTE DERIVA A BUZON DE VOZ, SE LE DEJA WSP </t>
  </si>
  <si>
    <t>922294350</t>
  </si>
  <si>
    <t>60943712</t>
  </si>
  <si>
    <t>MAYRA PATICIA RIOS SINGA</t>
  </si>
  <si>
    <t xml:space="preserve">LITA </t>
  </si>
  <si>
    <t xml:space="preserve">riosingapatricia1@aiclup.com </t>
  </si>
  <si>
    <t>VIRGEN DE COPACABANA LT 14 MZ C</t>
  </si>
  <si>
    <t>-12.041001254223419, -76.91989140425828</t>
  </si>
  <si>
    <t xml:space="preserve">ESPALDAS AV MONTEVERDE </t>
  </si>
  <si>
    <t>LMAT237-F</t>
  </si>
  <si>
    <t>993861923</t>
  </si>
  <si>
    <t>75987737</t>
  </si>
  <si>
    <t>TERESA PATRICIA HERRERA VASQUEZ</t>
  </si>
  <si>
    <t>JOSE BENIGNO</t>
  </si>
  <si>
    <t>PATRICIA JANETT</t>
  </si>
  <si>
    <t>PREGUNTARCORREO@GMAIL.COM</t>
  </si>
  <si>
    <t>MZ G3 LOTE 28 ASENTAMIENTO HUMANO ANGAMOS VENTANILLA CALLAO</t>
  </si>
  <si>
    <t>-11.894080961, -77.127195677</t>
  </si>
  <si>
    <t>Frente al Parque El Trapecio de Angamos</t>
  </si>
  <si>
    <t>LMVT025-S</t>
  </si>
  <si>
    <t>999885268</t>
  </si>
  <si>
    <t>44665117</t>
  </si>
  <si>
    <t>JENNY EDITH CLEMENTE LOPEZ</t>
  </si>
  <si>
    <t>BARTOLOME</t>
  </si>
  <si>
    <t>AIDA</t>
  </si>
  <si>
    <t>danyticona8@gmail.com</t>
  </si>
  <si>
    <t>CALLE COLOMBIA MZ M LT 13 URB. UVIMA, CUSCO - CUSCO.</t>
  </si>
  <si>
    <t>-13.518476113116481, -71.95888950419025</t>
  </si>
  <si>
    <t>AV. URUGUAY</t>
  </si>
  <si>
    <t>CZCZ025</t>
  </si>
  <si>
    <t>987258552</t>
  </si>
  <si>
    <t>41325002</t>
  </si>
  <si>
    <t>ALEX JESUS CHUCHON ARTETA</t>
  </si>
  <si>
    <t>MAXIMILIANO</t>
  </si>
  <si>
    <t>ELIZABETH</t>
  </si>
  <si>
    <t>alex82brida@gmail.com</t>
  </si>
  <si>
    <t xml:space="preserve">calle 8 de enero 359 - URB.EL CARMEN BAJO </t>
  </si>
  <si>
    <t>-11.939349567432142, -77.04435797198047</t>
  </si>
  <si>
    <t>LMCO091-S</t>
  </si>
  <si>
    <t xml:space="preserve">PNDT CREAR SOT TIENE USUARIO BLOQUEADO - CHANCAMOS SEC  </t>
  </si>
  <si>
    <t>105085501</t>
  </si>
  <si>
    <t>983314397</t>
  </si>
  <si>
    <t>25729074</t>
  </si>
  <si>
    <t>TITO ARISTIDES DAMIAN MARIÑOS</t>
  </si>
  <si>
    <t>MARCOS</t>
  </si>
  <si>
    <t>NICOLAS161285@GMAIL.,COM</t>
  </si>
  <si>
    <t>CALLE 6 DE ENERO MZ K LOTE 3 NAVIDAD DE VILLA</t>
  </si>
  <si>
    <t>-12.189033 -77.004711</t>
  </si>
  <si>
    <t>POSTA DE BUENOS AIRES</t>
  </si>
  <si>
    <t>LMCH108-F</t>
  </si>
  <si>
    <t>TIENE SOT PENDIENTE  DE OTRO PDV</t>
  </si>
  <si>
    <t>944488974</t>
  </si>
  <si>
    <t>23871286</t>
  </si>
  <si>
    <t>JULIA CCOLQUE GANUZA</t>
  </si>
  <si>
    <t>070401</t>
  </si>
  <si>
    <t>CIRILO</t>
  </si>
  <si>
    <t>AGEDA</t>
  </si>
  <si>
    <t>juliaccolque82@gmail.com</t>
  </si>
  <si>
    <t>966570607</t>
  </si>
  <si>
    <t>APD CAMINO INCA 2DA ETAPA MZ B LOTE 12, CUSCO, CUSCO</t>
  </si>
  <si>
    <t>-13.510343246926466, -72.00188685087441</t>
  </si>
  <si>
    <t>Ctra. Longitudinal de la Sierra Sur, Cuzco</t>
  </si>
  <si>
    <t>CZCZ064-F</t>
  </si>
  <si>
    <t>923409615</t>
  </si>
  <si>
    <t>61185178</t>
  </si>
  <si>
    <t>FLORES MEDINA MATIAS BENJAMIN</t>
  </si>
  <si>
    <t>GERMAN OSCAR</t>
  </si>
  <si>
    <t>GRETA JASSMINA</t>
  </si>
  <si>
    <t>matiasbenjaminfloresmedina@gmail.com</t>
  </si>
  <si>
    <t>AVENIDA GENERAL JOSE DE SAN MARTIN 239 ( SAN BARTOLO, LIMA, LIMA )</t>
  </si>
  <si>
    <t>A2</t>
  </si>
  <si>
    <t>-12.39079851560751, -76.78020230157473</t>
  </si>
  <si>
    <t>FRENTE A LA CALLE MALECON JOSE SAN MARTIN</t>
  </si>
  <si>
    <t>LMBT002-F</t>
  </si>
  <si>
    <t>958883029</t>
  </si>
  <si>
    <t>43636113</t>
  </si>
  <si>
    <t>MARY LUZ TRUJILLO PAUCAR</t>
  </si>
  <si>
    <t>NOLA</t>
  </si>
  <si>
    <t>marita_97_86@hotmail.com</t>
  </si>
  <si>
    <t xml:space="preserve">958883029 </t>
  </si>
  <si>
    <t>URBANIZACIÓN LA VICTORIA  calle quillarumi</t>
  </si>
  <si>
    <t>-9.940884512706905, -76.25482224541152</t>
  </si>
  <si>
    <t>cerca al estadio heraclio</t>
  </si>
  <si>
    <t>HUHU023-F</t>
  </si>
  <si>
    <t>Piden prorroga de Residencia</t>
  </si>
  <si>
    <t>960209385</t>
  </si>
  <si>
    <t>001222941</t>
  </si>
  <si>
    <t>JUDY MABEL PEREIRA SAENZ</t>
  </si>
  <si>
    <t>ALVARO</t>
  </si>
  <si>
    <t>RUBI</t>
  </si>
  <si>
    <t>judymabel79@gmail.com</t>
  </si>
  <si>
    <t xml:space="preserve">CALLE TEODORO CARDENAS 214, EDIFICIO DIAMANTE, URB SANTA BEATRIZ, LINCE, LIMA, LIMA </t>
  </si>
  <si>
    <t>-12.077826, -77.035227</t>
  </si>
  <si>
    <t>Intersección Av. Arequipa con Calle Teodoro Cardenas</t>
  </si>
  <si>
    <t>LMLM161-S</t>
  </si>
  <si>
    <t>llamada interrunpida por 3ro, NO DESEA</t>
  </si>
  <si>
    <t>105736845</t>
  </si>
  <si>
    <t>920355389</t>
  </si>
  <si>
    <t>28291778</t>
  </si>
  <si>
    <t>GRAIG JOANNE MARTINEZ HUAMAN</t>
  </si>
  <si>
    <t>cmcmultiservicio@gmail.com</t>
  </si>
  <si>
    <t>Av. José Leguía y Meléndez 1155</t>
  </si>
  <si>
    <t>-12.075630, -77.066468</t>
  </si>
  <si>
    <t>SANTA LUCIA</t>
  </si>
  <si>
    <t>LMPL010-S</t>
  </si>
  <si>
    <t>942959994</t>
  </si>
  <si>
    <t>42117400</t>
  </si>
  <si>
    <t>ANDRES GARCIA CHAVEZ</t>
  </si>
  <si>
    <t>JUSTINIANO</t>
  </si>
  <si>
    <t>FAUSTINA</t>
  </si>
  <si>
    <t>MCARLITOS2014@HOTMAIL.COM</t>
  </si>
  <si>
    <t>AV VICTORIO GOTUZZO BIANCHI	306  IC</t>
  </si>
  <si>
    <t>-14.037524080050742, -75.71084152756228</t>
  </si>
  <si>
    <t>ICTG010</t>
  </si>
  <si>
    <t>INSTALADA CON OTRA AGENCIA, SU SOT FUE CREADA ANTES</t>
  </si>
  <si>
    <t>105116329</t>
  </si>
  <si>
    <t>88900054</t>
  </si>
  <si>
    <t>954138052</t>
  </si>
  <si>
    <t>47626740</t>
  </si>
  <si>
    <t>RUIZ VISALOT, RONAL HOMERO</t>
  </si>
  <si>
    <t>060801</t>
  </si>
  <si>
    <t>ELVER</t>
  </si>
  <si>
    <t>homer_hv@hotmail.com</t>
  </si>
  <si>
    <t xml:space="preserve">cooperativa villa el sol mz k lt 08 </t>
  </si>
  <si>
    <t>-16.376112895526727, -71.52285367362248</t>
  </si>
  <si>
    <t xml:space="preserve">CALLE LOS ANDES </t>
  </si>
  <si>
    <t xml:space="preserve">AQSA016-S </t>
  </si>
  <si>
    <t>105843209</t>
  </si>
  <si>
    <t>89618777</t>
  </si>
  <si>
    <t>963700021</t>
  </si>
  <si>
    <t>44128990</t>
  </si>
  <si>
    <t>MARIO DENIS'S VASQUEZ PEREZ</t>
  </si>
  <si>
    <t>SONIA</t>
  </si>
  <si>
    <t>denisvp87@gmail.com</t>
  </si>
  <si>
    <t xml:space="preserve">963700021 </t>
  </si>
  <si>
    <t>AMPLIACION VICTOR RAUL HAYA DE LA TORRE MZ E LT 1, LA VICTORIA- CHICLAYO</t>
  </si>
  <si>
    <t>-6.791888, -79.849185</t>
  </si>
  <si>
    <t>ESPALDA DEL PARQUE ZONAL LA VICTORIA ( AMA SUA)</t>
  </si>
  <si>
    <t>LBLV010-F</t>
  </si>
  <si>
    <t>105828312</t>
  </si>
  <si>
    <t>89611789</t>
  </si>
  <si>
    <t>985311509</t>
  </si>
  <si>
    <t>46948967</t>
  </si>
  <si>
    <t>KATHERIN ROSA CORDOVA CALLUPE</t>
  </si>
  <si>
    <t>Gregorio</t>
  </si>
  <si>
    <t>gloria Inés</t>
  </si>
  <si>
    <t xml:space="preserve">Kthecordova@gmail.com </t>
  </si>
  <si>
    <t xml:space="preserve">985311509 </t>
  </si>
  <si>
    <t>CL MANUEL DEL PINO 115 INT 1005 URB. SANTA BEATRIZ LIMA</t>
  </si>
  <si>
    <t xml:space="preserve"> -12.007606266, -77.083519615</t>
  </si>
  <si>
    <t>LMLM253-F</t>
  </si>
  <si>
    <t>105830374</t>
  </si>
  <si>
    <t>89612695</t>
  </si>
  <si>
    <t>992830009</t>
  </si>
  <si>
    <t>10421699</t>
  </si>
  <si>
    <t>TATIANA PATRICIA DIAZ HERRERA</t>
  </si>
  <si>
    <t>TPDIAZH@GMAIL.COM</t>
  </si>
  <si>
    <t>CL ROSA FORZONI ASCOTI 331  AH SANTO TOMAS DE GARAGAY</t>
  </si>
  <si>
    <t>-12.007606266, -77.083519615</t>
  </si>
  <si>
    <t>LMMP071-S</t>
  </si>
  <si>
    <t>105826334</t>
  </si>
  <si>
    <t>89610989</t>
  </si>
  <si>
    <t>966669361</t>
  </si>
  <si>
    <t>43668978</t>
  </si>
  <si>
    <t>ELIS HANSEL LABOREANO SUXE</t>
  </si>
  <si>
    <t>Hipolito</t>
  </si>
  <si>
    <t>Marleny</t>
  </si>
  <si>
    <t>halsux_e_5@hotmail.com</t>
  </si>
  <si>
    <t>CL HUAYNA CAPAC 917 URB LA VICTORIA SC.4</t>
  </si>
  <si>
    <t>-6.79290422, -79.83555452</t>
  </si>
  <si>
    <t>al costado de la pollería NORBRASA</t>
  </si>
  <si>
    <t>CHI095-S</t>
  </si>
  <si>
    <t>105870857</t>
  </si>
  <si>
    <t>89662040</t>
  </si>
  <si>
    <t>989448448</t>
  </si>
  <si>
    <t>28276176</t>
  </si>
  <si>
    <t>MARY BELL PASTOR RUA</t>
  </si>
  <si>
    <t>daniel</t>
  </si>
  <si>
    <t>marypas3013@gmail.com</t>
  </si>
  <si>
    <t>JR MOISES CAVERO 436, URB LAS NAZARENAS, JESUS NAZARENO, HUAMANGA, AYACUCHO</t>
  </si>
  <si>
    <t>-13.15427332008962, -74.21410303157506</t>
  </si>
  <si>
    <t>CERCA DE LA CARRETERA HUANTA-AYACUCHO</t>
  </si>
  <si>
    <t>AYJN007-S</t>
  </si>
  <si>
    <t>105889087</t>
  </si>
  <si>
    <t>89673083</t>
  </si>
  <si>
    <t>941970087</t>
  </si>
  <si>
    <t>18109852</t>
  </si>
  <si>
    <t>JUAN CARLOS CASTILLO LESCANO</t>
  </si>
  <si>
    <t>ANTERO LEONCIO</t>
  </si>
  <si>
    <t>MARYLINDA</t>
  </si>
  <si>
    <t>JUANCARLOS04_70@HOTMAIL.COM</t>
  </si>
  <si>
    <t>965469405</t>
  </si>
  <si>
    <t>LOS ROSALES DE SAN ANDRES MZ R5 LT 9, TRUJILLO, LA LIBERTAD.</t>
  </si>
  <si>
    <t>-8.123242, -79.042045</t>
  </si>
  <si>
    <t>ESPALDA DEL COLEGIO WILLIANS</t>
  </si>
  <si>
    <t>TRUJ036-S</t>
  </si>
  <si>
    <t>105879117</t>
  </si>
  <si>
    <t>89667263</t>
  </si>
  <si>
    <t>996005105</t>
  </si>
  <si>
    <t>40682811</t>
  </si>
  <si>
    <t>GERARDO MANCHA RODRIGUEZ</t>
  </si>
  <si>
    <t>080901</t>
  </si>
  <si>
    <t>La Convención</t>
  </si>
  <si>
    <t>DAMASA</t>
  </si>
  <si>
    <t>40682811m@gmail.com</t>
  </si>
  <si>
    <t>PASAJE LA FLORIDA  mz i lt 07</t>
  </si>
  <si>
    <t>-12.870380281216772, -72.69229156223867</t>
  </si>
  <si>
    <t xml:space="preserve">av edgar de la torre </t>
  </si>
  <si>
    <t>CZSA009-F</t>
  </si>
  <si>
    <t>105907566</t>
  </si>
  <si>
    <t>89706222</t>
  </si>
  <si>
    <t>934873668</t>
  </si>
  <si>
    <t>40355199</t>
  </si>
  <si>
    <t>edith yanina ortega minaya</t>
  </si>
  <si>
    <t>francisco</t>
  </si>
  <si>
    <t>ludovina</t>
  </si>
  <si>
    <t>minayaroberto0572@gmail.com</t>
  </si>
  <si>
    <t xml:space="preserve">934873668 </t>
  </si>
  <si>
    <t xml:space="preserve"> mz 177 lt16a utba villon bajo</t>
  </si>
  <si>
    <t>-9.535681, -77.530296546</t>
  </si>
  <si>
    <t>HZHU027-F</t>
  </si>
  <si>
    <t>105872487</t>
  </si>
  <si>
    <t>89663602</t>
  </si>
  <si>
    <t>993526768</t>
  </si>
  <si>
    <t>09025743</t>
  </si>
  <si>
    <t>TERESA VILLALOBOS ALTAMIRANO</t>
  </si>
  <si>
    <t>Hilario</t>
  </si>
  <si>
    <t>Nelida</t>
  </si>
  <si>
    <t>tarrillomaria9@gmail.com</t>
  </si>
  <si>
    <t>CL 6 513 MZ 39 LT 17 A URB COUNTRY CLUB SANTA ROSA</t>
  </si>
  <si>
    <t>-11.798674, -77.173946</t>
  </si>
  <si>
    <t>CERCA A Dulces Delicias F&amp;A</t>
  </si>
  <si>
    <t>LMSR004-F</t>
  </si>
  <si>
    <t>105905380</t>
  </si>
  <si>
    <t>89705395</t>
  </si>
  <si>
    <t>01174091</t>
  </si>
  <si>
    <t>REATEGUI COLLAZOS, MARCO ANTONIO</t>
  </si>
  <si>
    <t>Rioja</t>
  </si>
  <si>
    <t xml:space="preserve">marcoreategui9@gmail.com </t>
  </si>
  <si>
    <t>941715962</t>
  </si>
  <si>
    <t>jiron san martin 1456 rioja</t>
  </si>
  <si>
    <t>-6.06573616, -77.16778779</t>
  </si>
  <si>
    <t>jiron bolognesi</t>
  </si>
  <si>
    <t>SMRJ004-F</t>
  </si>
  <si>
    <t>105872395</t>
  </si>
  <si>
    <t>89663193</t>
  </si>
  <si>
    <t>952544933</t>
  </si>
  <si>
    <t>00491734</t>
  </si>
  <si>
    <t>FREDDY HELADIO MAQUEYRA VELARDE</t>
  </si>
  <si>
    <t>FORTUNATO</t>
  </si>
  <si>
    <t>FREMAQUEYRAV@GMAIL.COM</t>
  </si>
  <si>
    <t>CL 1 DE MAYO 510 URB MARISCAL RAMON CASTILLA</t>
  </si>
  <si>
    <t>-17.99889775, -70.2420122</t>
  </si>
  <si>
    <t>A LA ESPALDA DE Iglesia Adventista Del Séptimo Día La Alborada</t>
  </si>
  <si>
    <t>TCNA014-S</t>
  </si>
  <si>
    <t>105913663</t>
  </si>
  <si>
    <t>89709395</t>
  </si>
  <si>
    <t>936390562</t>
  </si>
  <si>
    <t>31616317</t>
  </si>
  <si>
    <t>DANIEL PAULINO LOPEZ ANAYA</t>
  </si>
  <si>
    <t>ESTEBAN</t>
  </si>
  <si>
    <t>SALUSTIANA</t>
  </si>
  <si>
    <t>DAN.CHRIS.STROGER@GMAIL.COM</t>
  </si>
  <si>
    <t>PSJ PUMACAYAN 110 URB. SAN FRANCISCO, HUARAZ-ANCASH.</t>
  </si>
  <si>
    <t>-9.52680099, -77.5230912</t>
  </si>
  <si>
    <t>PISCINA MASTERPOL</t>
  </si>
  <si>
    <t>HZHU005-F</t>
  </si>
  <si>
    <t>105899470</t>
  </si>
  <si>
    <t>89701458</t>
  </si>
  <si>
    <t>942395030</t>
  </si>
  <si>
    <t>70902196</t>
  </si>
  <si>
    <t>VICTOR HENRRY AGUILAR URBINA</t>
  </si>
  <si>
    <t>VICTOR_1805@HOTMAIL.COM</t>
  </si>
  <si>
    <t>AV 28 DE ABRIL 152 MZ Z URB AH SAN CRISTOBAL</t>
  </si>
  <si>
    <t>-12.783361150494333, -74.97292626894773</t>
  </si>
  <si>
    <t>AL COSTADO DE Dirección Desconcentrada INDECI Huancavelica</t>
  </si>
  <si>
    <t>HVHV012-F</t>
  </si>
  <si>
    <t>105937753</t>
  </si>
  <si>
    <t>89730056</t>
  </si>
  <si>
    <t>997836507</t>
  </si>
  <si>
    <t>45400234</t>
  </si>
  <si>
    <t>JOSE DENNIS HILARION PICHIHUA</t>
  </si>
  <si>
    <t>Punta Hermosa</t>
  </si>
  <si>
    <t>JUANA LUISA</t>
  </si>
  <si>
    <t>josedennishilarionpichihua@gmail.com</t>
  </si>
  <si>
    <t>MZ 1 LOTE 37 AMPLIACION SANTA CRUZ</t>
  </si>
  <si>
    <t>-12.33079163278369, -76.82688941297893</t>
  </si>
  <si>
    <t>AV. SUNSET CON CALLE SALAVERRY</t>
  </si>
  <si>
    <t>LMPH005-F</t>
  </si>
  <si>
    <t>105921414</t>
  </si>
  <si>
    <t>89715294</t>
  </si>
  <si>
    <t>934312861</t>
  </si>
  <si>
    <t>09381879</t>
  </si>
  <si>
    <t>JUAN MANUEL YATACO REAÑO</t>
  </si>
  <si>
    <t>juanmyataco@hotmail.com</t>
  </si>
  <si>
    <t>AV franklin del rushbet  297</t>
  </si>
  <si>
    <t>-12.146407682200913, -77.00841484660228</t>
  </si>
  <si>
    <t>LMSC343-F</t>
  </si>
  <si>
    <t>105940969</t>
  </si>
  <si>
    <t>89729669</t>
  </si>
  <si>
    <t>986282955</t>
  </si>
  <si>
    <t>43015946</t>
  </si>
  <si>
    <t>CHOQUE CASTILLO, HERMILA DNI:43015946</t>
  </si>
  <si>
    <t>milita02_25@hotmail.com</t>
  </si>
  <si>
    <t xml:space="preserve">986282955 </t>
  </si>
  <si>
    <t>urb santa beatriz mz j lt 04</t>
  </si>
  <si>
    <t>-13.528935, -71.951628</t>
  </si>
  <si>
    <t xml:space="preserve">calle entel </t>
  </si>
  <si>
    <t>CZWQ025-S</t>
  </si>
  <si>
    <t>105890414</t>
  </si>
  <si>
    <t>89701019</t>
  </si>
  <si>
    <t>934304934</t>
  </si>
  <si>
    <t>18090160</t>
  </si>
  <si>
    <t>CARLOS ALBERTO MARIÑOS LOAYZA</t>
  </si>
  <si>
    <t>FERNANDO</t>
  </si>
  <si>
    <t>FELICITA</t>
  </si>
  <si>
    <t>MARINOSCARLOS0506@GMAIL.COM</t>
  </si>
  <si>
    <t xml:space="preserve">CALLE FELIPE PINGLO 636 URB PRIMAVERA </t>
  </si>
  <si>
    <t>-8.097409610928501, -79.03055117116398 MADRE: FELICITA</t>
  </si>
  <si>
    <t>TRUJ124-S</t>
  </si>
  <si>
    <t>105950652</t>
  </si>
  <si>
    <t>89736708</t>
  </si>
  <si>
    <t>975220635</t>
  </si>
  <si>
    <t>42098369</t>
  </si>
  <si>
    <t>JORGE LUIS MARTIN LOPEZ CROVETTO</t>
  </si>
  <si>
    <t>lopezcrjorge@gmail.com</t>
  </si>
  <si>
    <t>AV. LA PAZ 670, SAN MIGUEL, LIMA</t>
  </si>
  <si>
    <t>-12.08732, -77.089312</t>
  </si>
  <si>
    <t>Institución Educativa 1087 General Roque Saenz Peña</t>
  </si>
  <si>
    <t>LMSM030BS</t>
  </si>
  <si>
    <t>105955065</t>
  </si>
  <si>
    <t>89736823</t>
  </si>
  <si>
    <t>992546147</t>
  </si>
  <si>
    <t>40958527</t>
  </si>
  <si>
    <t>MONTOYA TIRADO, JOANNA LIZBETH</t>
  </si>
  <si>
    <t>LIA</t>
  </si>
  <si>
    <t xml:space="preserve">Joannamontoya0107@gmail.com </t>
  </si>
  <si>
    <t>av julio cesar tello 558</t>
  </si>
  <si>
    <t>-12.041292, -77.093338</t>
  </si>
  <si>
    <t xml:space="preserve">JIRON MARIANO MELGAR </t>
  </si>
  <si>
    <t>LMCL004-S</t>
  </si>
  <si>
    <t>105974093</t>
  </si>
  <si>
    <t>89748384</t>
  </si>
  <si>
    <t>990390640</t>
  </si>
  <si>
    <t>20097743</t>
  </si>
  <si>
    <t>RAMOS CASAS, ANA MARIA</t>
  </si>
  <si>
    <t xml:space="preserve">BERTHA </t>
  </si>
  <si>
    <t xml:space="preserve">anamariaramoscasas7@gmail.com </t>
  </si>
  <si>
    <t>Jr santa isabel 1285 el tambo huancayo</t>
  </si>
  <si>
    <t>-12.05527215, -75.21626917</t>
  </si>
  <si>
    <t>calle rosemberg</t>
  </si>
  <si>
    <t>HYTB064-F</t>
  </si>
  <si>
    <t>105948056</t>
  </si>
  <si>
    <t>89733313</t>
  </si>
  <si>
    <t>934184184</t>
  </si>
  <si>
    <t>60960621</t>
  </si>
  <si>
    <t>JEREMY EDILBERTO QUISPE DIOSES</t>
  </si>
  <si>
    <t>GERSON</t>
  </si>
  <si>
    <t xml:space="preserve"> DIOSESJEREMY28@GMAIL.COM</t>
  </si>
  <si>
    <t>CLL LA MARISCALA MZ 9M LT 15 AH TABLADA DE LURIN, VILLA MARIA DEL TRIUNFO</t>
  </si>
  <si>
    <t>-12.191044, -76.921479</t>
  </si>
  <si>
    <t>IGLESIA MORMON</t>
  </si>
  <si>
    <t>LMVM048-F</t>
  </si>
  <si>
    <t>105970946</t>
  </si>
  <si>
    <t>89747019</t>
  </si>
  <si>
    <t>933425228</t>
  </si>
  <si>
    <t>08242299</t>
  </si>
  <si>
    <t>LOAYZA ARENAZA, JAIME ENRIQUE JESUS</t>
  </si>
  <si>
    <t>MOISES</t>
  </si>
  <si>
    <t>LOURDES</t>
  </si>
  <si>
    <t>jalafit64@gmail.com</t>
  </si>
  <si>
    <t>CALLE LOS MANZANOS 324</t>
  </si>
  <si>
    <t>-12.098251, -77.052423</t>
  </si>
  <si>
    <t xml:space="preserve">calle miguel de echenique </t>
  </si>
  <si>
    <t>LMSI007-S</t>
  </si>
  <si>
    <t xml:space="preserve">INSTALADO CONFIRMADO POR CL </t>
  </si>
  <si>
    <t>105838048</t>
  </si>
  <si>
    <t>89617669</t>
  </si>
  <si>
    <t>996374436</t>
  </si>
  <si>
    <t>44336907</t>
  </si>
  <si>
    <t>CARLOS MANUEL JESUS SALAZAR LLERENA</t>
  </si>
  <si>
    <t>070102</t>
  </si>
  <si>
    <t>BLANCA</t>
  </si>
  <si>
    <t>GERARDO</t>
  </si>
  <si>
    <t>mrodriguezll@hotmail.com</t>
  </si>
  <si>
    <t>CONDOMINIO ALFREDO SALAZAR MIRAFLORES 433</t>
  </si>
  <si>
    <t xml:space="preserve"> -12.108690825012014, -77.04015188909827</t>
  </si>
  <si>
    <t>Global Law Abogados</t>
  </si>
  <si>
    <t xml:space="preserve">5217E03-R </t>
  </si>
  <si>
    <t>105943475</t>
  </si>
  <si>
    <t>89731163</t>
  </si>
  <si>
    <t>960354952</t>
  </si>
  <si>
    <t>15664915</t>
  </si>
  <si>
    <t>GLADYS DANCES CORDERO</t>
  </si>
  <si>
    <t>PABLO</t>
  </si>
  <si>
    <t xml:space="preserve">DORIS </t>
  </si>
  <si>
    <t>williamshuere@gmail.com</t>
  </si>
  <si>
    <t>917079904</t>
  </si>
  <si>
    <t>calle 23 de septiembre 158</t>
  </si>
  <si>
    <t>-11.962462040129932, -77.05779720308877</t>
  </si>
  <si>
    <t xml:space="preserve">10 DE DICIEMBRE </t>
  </si>
  <si>
    <t>LMCO118-S</t>
  </si>
  <si>
    <t>105960877</t>
  </si>
  <si>
    <t>89743413</t>
  </si>
  <si>
    <t>962357491</t>
  </si>
  <si>
    <t>47034224</t>
  </si>
  <si>
    <t>AUQUILLA QUIJAHUAMAN, MOISES DANIEL</t>
  </si>
  <si>
    <t>040408</t>
  </si>
  <si>
    <t>alfonso</t>
  </si>
  <si>
    <t>julia</t>
  </si>
  <si>
    <t>moisesauquilla_24@hotmail.com</t>
  </si>
  <si>
    <t>Jr libertad 408</t>
  </si>
  <si>
    <t>-16.383173344283712, -71.5708788424095</t>
  </si>
  <si>
    <t xml:space="preserve">JR MIGUEL GRAU </t>
  </si>
  <si>
    <t>105994130</t>
  </si>
  <si>
    <t>89781115</t>
  </si>
  <si>
    <t>981418827</t>
  </si>
  <si>
    <t>21421550</t>
  </si>
  <si>
    <t>MARIA DEL CARMEN ORE JERONIMO</t>
  </si>
  <si>
    <t>Josefina</t>
  </si>
  <si>
    <t>quispeoreluisalberto@gmail.com</t>
  </si>
  <si>
    <t>URB EL BOSQUE MZ G LT 8 ICA</t>
  </si>
  <si>
    <t>Latitud y Longitud: -14.083848, -75.737965</t>
  </si>
  <si>
    <t>Espalda del colegio</t>
  </si>
  <si>
    <t>ICAX042-S</t>
  </si>
  <si>
    <t>105935193</t>
  </si>
  <si>
    <t>89726592</t>
  </si>
  <si>
    <t>935478091</t>
  </si>
  <si>
    <t>46678678</t>
  </si>
  <si>
    <t>ANTONY EFRAIN VIDAURRE QUISPE</t>
  </si>
  <si>
    <t>cevereniano</t>
  </si>
  <si>
    <t>celisiana</t>
  </si>
  <si>
    <t>antony210213@gmail.com</t>
  </si>
  <si>
    <t>jr jose galvez 1970, lince</t>
  </si>
  <si>
    <t>-12.083539, -77.029352</t>
  </si>
  <si>
    <t>a la altura de la municipalidad de lince, al frente hay un MASS</t>
  </si>
  <si>
    <t xml:space="preserve">ADELANTO DE VISITA </t>
  </si>
  <si>
    <t>105983215</t>
  </si>
  <si>
    <t>89772808</t>
  </si>
  <si>
    <t>979573194</t>
  </si>
  <si>
    <t>42717582</t>
  </si>
  <si>
    <t>PERALTA ALLENDE, ALEX OSWALDO</t>
  </si>
  <si>
    <t>OSWALDO</t>
  </si>
  <si>
    <t>peralta061085@gmail.com</t>
  </si>
  <si>
    <t>calle los arqueolos 371 sector 2</t>
  </si>
  <si>
    <t>-6.764502541427186, -79.8239622571144</t>
  </si>
  <si>
    <t xml:space="preserve">CALLE SAN TO DOMINGO </t>
  </si>
  <si>
    <t>LBCH006-F</t>
  </si>
  <si>
    <t>105938038</t>
  </si>
  <si>
    <t>89745036</t>
  </si>
  <si>
    <t>999380070</t>
  </si>
  <si>
    <t>20539452011</t>
  </si>
  <si>
    <t>EDUARD JAVIER FUENTES BUTRON</t>
  </si>
  <si>
    <t>040128</t>
  </si>
  <si>
    <t>EDMER</t>
  </si>
  <si>
    <t>JAVIFUENTES_15@OUTLOOK.COM</t>
  </si>
  <si>
    <t xml:space="preserve">999380070 </t>
  </si>
  <si>
    <t>URB FRANK MICHELL MZ D LT 50</t>
  </si>
  <si>
    <t>-16.371205, -71.556795121</t>
  </si>
  <si>
    <t>Réntalo Aqp Alquiler de vestidos</t>
  </si>
  <si>
    <t>AQCC075-F</t>
  </si>
  <si>
    <t>105929167</t>
  </si>
  <si>
    <t>89723875</t>
  </si>
  <si>
    <t>959141787</t>
  </si>
  <si>
    <t>45444946</t>
  </si>
  <si>
    <t>ALCANTARA BECERRA, HEINER ALY</t>
  </si>
  <si>
    <t>alyelbb@gmail.com</t>
  </si>
  <si>
    <t>av industrial mz a lt 2a</t>
  </si>
  <si>
    <t>-9.065614, -78.595419</t>
  </si>
  <si>
    <t>AV INDUSTRIAL</t>
  </si>
  <si>
    <t>CBCB017</t>
  </si>
  <si>
    <t>105970359</t>
  </si>
  <si>
    <t>89746706</t>
  </si>
  <si>
    <t>957472081</t>
  </si>
  <si>
    <t>73366645</t>
  </si>
  <si>
    <t>POZO INGA, MIKHAIL</t>
  </si>
  <si>
    <t>080505</t>
  </si>
  <si>
    <t>NEHEMIAS</t>
  </si>
  <si>
    <t>mikhail.pozo@gmail.com</t>
  </si>
  <si>
    <t xml:space="preserve">urb villa manzanares mz l lt 05 </t>
  </si>
  <si>
    <t>-13.52286149956269, -71.94130141591597</t>
  </si>
  <si>
    <t>calle hatum</t>
  </si>
  <si>
    <t>CZSS013-S</t>
  </si>
  <si>
    <t>105908052</t>
  </si>
  <si>
    <t>89706484</t>
  </si>
  <si>
    <t>967800935</t>
  </si>
  <si>
    <t>07700622</t>
  </si>
  <si>
    <t>RAUL ABARCA TORRES</t>
  </si>
  <si>
    <t>Victor</t>
  </si>
  <si>
    <t>Delia</t>
  </si>
  <si>
    <t>abarca_361@hotmail.com</t>
  </si>
  <si>
    <t>CL SANTA MONICA 151 AH GENERAL JOSE DE SAN MARTIN</t>
  </si>
  <si>
    <t>-11.94756488, -77.06855186</t>
  </si>
  <si>
    <t>Al costado de la juguetería CIS</t>
  </si>
  <si>
    <t>LMCO196-F</t>
  </si>
  <si>
    <t>VALIDANDO COORDENADAS</t>
  </si>
  <si>
    <t>106029153</t>
  </si>
  <si>
    <t>89800715</t>
  </si>
  <si>
    <t>976532115</t>
  </si>
  <si>
    <t>03681965</t>
  </si>
  <si>
    <t>CARMEN DORA CANOVA VALLADARES</t>
  </si>
  <si>
    <t>Mario</t>
  </si>
  <si>
    <t>Dora Luisa</t>
  </si>
  <si>
    <t>ccanova_68@hotmail.com</t>
  </si>
  <si>
    <t>990615097</t>
  </si>
  <si>
    <t>URB. ENRIQUE LOPEZ ALBUJAR MZ O LT 18, ETAPA 2</t>
  </si>
  <si>
    <t>-4.91425, -80.694722</t>
  </si>
  <si>
    <t>CERCA AL OVALO SULLANA REAL PLAZA</t>
  </si>
  <si>
    <t>PIUS026-F</t>
  </si>
  <si>
    <t>106020872</t>
  </si>
  <si>
    <t>89797372</t>
  </si>
  <si>
    <t>958136392</t>
  </si>
  <si>
    <t>46808728</t>
  </si>
  <si>
    <t>JUAN VICTOR SICCHA VASQUEZ</t>
  </si>
  <si>
    <t>JSICCHA41@GMAIL.COM</t>
  </si>
  <si>
    <t>URB. VILLA VICTORIA MZ A LT 30, SAN MARTIN DE PORRES</t>
  </si>
  <si>
    <t>-11.956586252631668, -77.09079822943399</t>
  </si>
  <si>
    <t xml:space="preserve">calle panama </t>
  </si>
  <si>
    <t>LMMP181</t>
  </si>
  <si>
    <t>106018234</t>
  </si>
  <si>
    <t>89796543</t>
  </si>
  <si>
    <t>930454808</t>
  </si>
  <si>
    <t>74696328</t>
  </si>
  <si>
    <t>PIERO ALEXIS ALVARADO PALOMINO</t>
  </si>
  <si>
    <t>FABIOLA</t>
  </si>
  <si>
    <t>pieroalexis33@gmail.com</t>
  </si>
  <si>
    <t>AV MARISCAL ANDRES AVELINO CACERES Mz R Lote 4 URB EL BOSQUE</t>
  </si>
  <si>
    <t>-5.183518147856837, -80.6143538755586</t>
  </si>
  <si>
    <t>,.</t>
  </si>
  <si>
    <t>PIUC109-S</t>
  </si>
  <si>
    <t>106021644</t>
  </si>
  <si>
    <t>89797840</t>
  </si>
  <si>
    <t>941409052</t>
  </si>
  <si>
    <t>70724883</t>
  </si>
  <si>
    <t>ARROYO RAZURI, DANIELA FRANCCESCA</t>
  </si>
  <si>
    <t>GUIDO</t>
  </si>
  <si>
    <t>JOANNY</t>
  </si>
  <si>
    <t xml:space="preserve">jrazuriazo@gmail.com </t>
  </si>
  <si>
    <t>973283654</t>
  </si>
  <si>
    <t>Av.miguel  Grau 1002</t>
  </si>
  <si>
    <t>-5.20797993, -80.62270616</t>
  </si>
  <si>
    <t>av hipolito hunanue</t>
  </si>
  <si>
    <t>PIUC143-F</t>
  </si>
  <si>
    <t>106061745</t>
  </si>
  <si>
    <t>89858157</t>
  </si>
  <si>
    <t>941567778</t>
  </si>
  <si>
    <t>10463047681</t>
  </si>
  <si>
    <t>PAUL JIMMY TIXI ESPINOZA</t>
  </si>
  <si>
    <t>BALBINA</t>
  </si>
  <si>
    <t>PAULTIXI777@GMAIL.COM</t>
  </si>
  <si>
    <t>PASAJE MAGNOLIAS MZ H LT 18 LA RIVERA URB. GOYZUETA</t>
  </si>
  <si>
    <t>-12.0747637787664, -75.22639006471583</t>
  </si>
  <si>
    <t>JIRÓN LAS MAGNOLIAS</t>
  </si>
  <si>
    <t>JNHY019-F</t>
  </si>
  <si>
    <t>106039215</t>
  </si>
  <si>
    <t>89805257</t>
  </si>
  <si>
    <t>998114550</t>
  </si>
  <si>
    <t>45075766</t>
  </si>
  <si>
    <t>NICHOLAS REVOREDO MONZON</t>
  </si>
  <si>
    <t>CARMEN VIOLETA</t>
  </si>
  <si>
    <t>NREVOREDOM@GMAIL.COM</t>
  </si>
  <si>
    <t>AV MANUEL HOLGUIN 611 URB RES ISABELITA edificio E PIQUE</t>
  </si>
  <si>
    <t>-12.093593, -76.973757</t>
  </si>
  <si>
    <t>LMSC122-S</t>
  </si>
  <si>
    <t>106070405</t>
  </si>
  <si>
    <t>89863676</t>
  </si>
  <si>
    <t>965966055</t>
  </si>
  <si>
    <t>43367038</t>
  </si>
  <si>
    <t>IRIS SOFIA MORAN BAUTISTA</t>
  </si>
  <si>
    <t>JOAQUIN</t>
  </si>
  <si>
    <t>ISOMOBA@GMAIL.COM</t>
  </si>
  <si>
    <t>989933566</t>
  </si>
  <si>
    <t>993726818</t>
  </si>
  <si>
    <t>AH VICTOR RAUL MZ D LT 21 PIURA</t>
  </si>
  <si>
    <t>-5.201212759291354, -80.63937260636915</t>
  </si>
  <si>
    <t>PIUR035-S</t>
  </si>
  <si>
    <t>106037534</t>
  </si>
  <si>
    <t>89804576</t>
  </si>
  <si>
    <t>913449114</t>
  </si>
  <si>
    <t>44137584</t>
  </si>
  <si>
    <t>QUISPE PARRAGA, ENRIQUE GREGORIO</t>
  </si>
  <si>
    <t>ADITA</t>
  </si>
  <si>
    <t xml:space="preserve">equispep23@gmail.com </t>
  </si>
  <si>
    <t>Condominio villa los molles Av. Victor Andrés Belaunde 1220,torre 1  Comas</t>
  </si>
  <si>
    <t>-11.931319157446243, -77.05897924790384</t>
  </si>
  <si>
    <t xml:space="preserve">manuel gonzales prada </t>
  </si>
  <si>
    <t>LMCO176</t>
  </si>
  <si>
    <t>106068692</t>
  </si>
  <si>
    <t>89862751</t>
  </si>
  <si>
    <t>932663650</t>
  </si>
  <si>
    <t>70521100</t>
  </si>
  <si>
    <t>MORENO VASQUEZ, PAULO CESAR</t>
  </si>
  <si>
    <t>Bellavista</t>
  </si>
  <si>
    <t>paulomoreno@outlook.es</t>
  </si>
  <si>
    <t xml:space="preserve"> AV VENEZUELA 2555 COND NUEVAVISTA Edificio: NUEVAVISTA Jr. las aguilas 284 - condominio nueva vista bellavista  TORRE 2 - 2</t>
  </si>
  <si>
    <t>-12.061937, -77.094158</t>
  </si>
  <si>
    <t>av venezuela</t>
  </si>
  <si>
    <t>LMBV020</t>
  </si>
  <si>
    <t>106093950</t>
  </si>
  <si>
    <t>89896435</t>
  </si>
  <si>
    <t>967905592</t>
  </si>
  <si>
    <t>42174909</t>
  </si>
  <si>
    <t>CLAVILLA NINA, FREDDY HUBER</t>
  </si>
  <si>
    <t>Pacasmayo</t>
  </si>
  <si>
    <t>davidordonezferre@gmail.com</t>
  </si>
  <si>
    <t xml:space="preserve"> CALLE AYACUCHO 245</t>
  </si>
  <si>
    <t>-7.402524614251394,-79.56718839036661</t>
  </si>
  <si>
    <t>av ancash</t>
  </si>
  <si>
    <t>LLPC005-F</t>
  </si>
  <si>
    <t>106031752</t>
  </si>
  <si>
    <t>89802358</t>
  </si>
  <si>
    <t>906874923</t>
  </si>
  <si>
    <t>10454755974</t>
  </si>
  <si>
    <t>CRISTINA LIBETH ROMAN GRAZIA</t>
  </si>
  <si>
    <t>cristinita.lr53@gmail.com</t>
  </si>
  <si>
    <t>916651540</t>
  </si>
  <si>
    <t>Jr san jose 469 laredo ,por Trujillo dpto la libertad</t>
  </si>
  <si>
    <t>-8.08978174, -78.95855318</t>
  </si>
  <si>
    <t>LLLR014-F</t>
  </si>
  <si>
    <t>106104678</t>
  </si>
  <si>
    <t>89907347</t>
  </si>
  <si>
    <t>984830703</t>
  </si>
  <si>
    <t>46112786</t>
  </si>
  <si>
    <t>DAVID GIRON LUNA</t>
  </si>
  <si>
    <t>DOYLI</t>
  </si>
  <si>
    <t>Davidgironluna32@gmail.com</t>
  </si>
  <si>
    <t>999995287 - 984830703 - 968331401</t>
  </si>
  <si>
    <t xml:space="preserve"> SANTA LUZMILA JR MANUEL CORVACHO 128</t>
  </si>
  <si>
    <t>-11.94497822, -77.0613787</t>
  </si>
  <si>
    <t>LMCO006-S</t>
  </si>
  <si>
    <t>106119371</t>
  </si>
  <si>
    <t>89919958</t>
  </si>
  <si>
    <t>980348411</t>
  </si>
  <si>
    <t>46687848</t>
  </si>
  <si>
    <t>ESTHER MELANIE ANAMPA DIAZ</t>
  </si>
  <si>
    <t>ANAMPADIAZMELANIE@GMIAL.COM</t>
  </si>
  <si>
    <t>URB. LOS CLAVELES MZ G LT 1, HUARAL - HUARAL - LIMA</t>
  </si>
  <si>
    <t>-11.487074, -77.203607</t>
  </si>
  <si>
    <t>A LADO DE LA LOSA DEPORTIVA</t>
  </si>
  <si>
    <t>LMHL023-F</t>
  </si>
  <si>
    <t>106076358</t>
  </si>
  <si>
    <t>89867044</t>
  </si>
  <si>
    <t>997348642</t>
  </si>
  <si>
    <t>08619504</t>
  </si>
  <si>
    <t>MELGAR SOBERO, LIBERTAD AMERICA</t>
  </si>
  <si>
    <t>libertadmelgarsobero@gmail.com</t>
  </si>
  <si>
    <t>calle henry arredondo 349 urb palao</t>
  </si>
  <si>
    <t>-12.020102, -77.053536</t>
  </si>
  <si>
    <t xml:space="preserve">AV MANUEL TARAZONA </t>
  </si>
  <si>
    <t>LMMP009-S</t>
  </si>
  <si>
    <t>MESA LEVANTARA LA SOT EL DIA 12/08</t>
  </si>
  <si>
    <t>106009252</t>
  </si>
  <si>
    <t>89788557</t>
  </si>
  <si>
    <t>949412703</t>
  </si>
  <si>
    <t>73206061</t>
  </si>
  <si>
    <t>GIULIANA MARCELA LUPERDIGA RODRIGUEZ</t>
  </si>
  <si>
    <t>gluperdiga@gmail.com</t>
  </si>
  <si>
    <t>CALLE LAS HORTENSIAS 269 URB California   RESIDENCIAL LAS HORTERSIAS TORRE B</t>
  </si>
  <si>
    <t>-8.130816, -79.041033</t>
  </si>
  <si>
    <t>TRLH026-R</t>
  </si>
  <si>
    <t>106137331</t>
  </si>
  <si>
    <t>89940259</t>
  </si>
  <si>
    <t>975553828</t>
  </si>
  <si>
    <t>18082299</t>
  </si>
  <si>
    <t>POZO VERA, HERNALDO JOSE</t>
  </si>
  <si>
    <t>Lurín</t>
  </si>
  <si>
    <t>Hernaldopozovera@gmail.com</t>
  </si>
  <si>
    <t>990063763</t>
  </si>
  <si>
    <t xml:space="preserve">Prolongacion Ramon Castilla MZ B lote 14 </t>
  </si>
  <si>
    <t>-12.27831136260291, -76.86555850100545</t>
  </si>
  <si>
    <t>COLEGIO SAN MARCOS DEL SUR</t>
  </si>
  <si>
    <t>LMLR004-F</t>
  </si>
  <si>
    <t>106081933</t>
  </si>
  <si>
    <t>89870315</t>
  </si>
  <si>
    <t>955155857</t>
  </si>
  <si>
    <t>42266932</t>
  </si>
  <si>
    <t xml:space="preserve">LUIS ENRIQUE FARFAN SALAZAR </t>
  </si>
  <si>
    <t>Luisenryfasa@gmail.com</t>
  </si>
  <si>
    <t>CL LAS GUINDAS 301 COND ALAMEDA DEL AGUSTINO</t>
  </si>
  <si>
    <t>-12.03651, -76.991424</t>
  </si>
  <si>
    <t>EDIFICIO 10</t>
  </si>
  <si>
    <t>LMAG040-F</t>
  </si>
  <si>
    <t>106105465</t>
  </si>
  <si>
    <t>89911054</t>
  </si>
  <si>
    <t>918139043</t>
  </si>
  <si>
    <t>75673454</t>
  </si>
  <si>
    <t>DALLY MILAGRITOS BANEO FACHIN</t>
  </si>
  <si>
    <t>ATDULIO</t>
  </si>
  <si>
    <t>AYDA</t>
  </si>
  <si>
    <t>DALLYBANEO@GMAIL.COM</t>
  </si>
  <si>
    <t xml:space="preserve">918139043 </t>
  </si>
  <si>
    <t>933444617</t>
  </si>
  <si>
    <t>CL JOSE FELIX BOGADO 2449 MZ B URB NEON LUX</t>
  </si>
  <si>
    <t>12.05059567105391, -77.07309785348393</t>
  </si>
  <si>
    <t>A la espalda del Colegio Saco Oliveros - Sede Cipreses - Elio</t>
  </si>
  <si>
    <t>LMLM014-S</t>
  </si>
  <si>
    <t>SE MANDO ADELANTO DE VISITA</t>
  </si>
  <si>
    <t>106109999</t>
  </si>
  <si>
    <t>89914344</t>
  </si>
  <si>
    <t>924105388</t>
  </si>
  <si>
    <t>10435080354</t>
  </si>
  <si>
    <t>MARCO ANTONIO CAVASSA NAUPAY</t>
  </si>
  <si>
    <t>MARCOACAVASSA@GMAIL.COM</t>
  </si>
  <si>
    <t>Av. A 221 Praderas del Rimac Torre 4 Dpto. 1003</t>
  </si>
  <si>
    <t>-12.016459, -77.043049</t>
  </si>
  <si>
    <t>CERCA DEL Complejo Deportivo La 13 Fuerte Hoyos Rubio</t>
  </si>
  <si>
    <t>LMRC002-F</t>
  </si>
  <si>
    <t>SE MANDARA COORDINACION</t>
  </si>
  <si>
    <t>106110288</t>
  </si>
  <si>
    <t>89914567</t>
  </si>
  <si>
    <t>989146315</t>
  </si>
  <si>
    <t>73271134</t>
  </si>
  <si>
    <t>CHRISTIAN GIUSEPPE CABALLERO TELLO</t>
  </si>
  <si>
    <t>JONNY</t>
  </si>
  <si>
    <t>ccaballero.hnhu@gmail.com</t>
  </si>
  <si>
    <t>JR TUPAC AMARU 101 URBANIZACIÓN CARLOS BRANDT EDIFICIO EMERALD TORRE B</t>
  </si>
  <si>
    <t>-12.077439, -77.057303</t>
  </si>
  <si>
    <t>LMPL028-R</t>
  </si>
  <si>
    <t>106124956</t>
  </si>
  <si>
    <t>89933535</t>
  </si>
  <si>
    <t>993722636</t>
  </si>
  <si>
    <t>07291620</t>
  </si>
  <si>
    <t>RICARDO AUGUSTO AGUIRRE YANAC</t>
  </si>
  <si>
    <t>MAURO</t>
  </si>
  <si>
    <t>ESYELA</t>
  </si>
  <si>
    <t xml:space="preserve">richardaguirre.k@outlook.es </t>
  </si>
  <si>
    <t>Villa Margarita MzA Lote 24 SMP</t>
  </si>
  <si>
    <t>-11.990288440632492, -77.08805116200604</t>
  </si>
  <si>
    <t xml:space="preserve">calle cajamarca </t>
  </si>
  <si>
    <t>LMMP140-S</t>
  </si>
  <si>
    <t>106138594</t>
  </si>
  <si>
    <t>89941038</t>
  </si>
  <si>
    <t>920644364</t>
  </si>
  <si>
    <t>46476317</t>
  </si>
  <si>
    <t>JULIO CESAR ALOR CAMACHO</t>
  </si>
  <si>
    <t>mercedes</t>
  </si>
  <si>
    <t>alejandrina</t>
  </si>
  <si>
    <t>juliooluffy@gmail.com</t>
  </si>
  <si>
    <t xml:space="preserve">920644364 </t>
  </si>
  <si>
    <t xml:space="preserve">av hualmay 640 </t>
  </si>
  <si>
    <t>-11.098173, -77.608714</t>
  </si>
  <si>
    <t>LMHU029</t>
  </si>
  <si>
    <t>106129401</t>
  </si>
  <si>
    <t>89936030</t>
  </si>
  <si>
    <t>@jamesgt8</t>
  </si>
  <si>
    <t>33958899</t>
  </si>
  <si>
    <t>JAMES GRANDEZ TORRES</t>
  </si>
  <si>
    <t>010501</t>
  </si>
  <si>
    <t xml:space="preserve">Miguel </t>
  </si>
  <si>
    <t xml:space="preserve">Maria </t>
  </si>
  <si>
    <t>yacuperu66@gmail.com</t>
  </si>
  <si>
    <t>985586634</t>
  </si>
  <si>
    <t>CALLE PEDRO BENVENUTTO MURRIETA 471, SAN MIGUEL, LIMA</t>
  </si>
  <si>
    <t>-12.080252, -77.087296</t>
  </si>
  <si>
    <t>Cerca de Av. Brigada Silva de Ochoa</t>
  </si>
  <si>
    <t>LMSM037-S</t>
  </si>
  <si>
    <t>106178923</t>
  </si>
  <si>
    <t>89972667</t>
  </si>
  <si>
    <t>952925475</t>
  </si>
  <si>
    <t>03582825</t>
  </si>
  <si>
    <t>YSABEL SANTANA GARCIA</t>
  </si>
  <si>
    <t>JUANA</t>
  </si>
  <si>
    <t>CARONTE5@HOTMAIL.COM</t>
  </si>
  <si>
    <t xml:space="preserve">942664847 </t>
  </si>
  <si>
    <t>URB. SALAVERRY MZ Ñ LT 11, SULLANA, PIURA</t>
  </si>
  <si>
    <t>-4.90417360693768, -80.68816002656715</t>
  </si>
  <si>
    <t>PASANDO LA COLA DEL ALACRAN</t>
  </si>
  <si>
    <t>PIUS029-F</t>
  </si>
  <si>
    <t>106171553</t>
  </si>
  <si>
    <t>89968525</t>
  </si>
  <si>
    <t>949203686</t>
  </si>
  <si>
    <t>19692693</t>
  </si>
  <si>
    <t xml:space="preserve"> IVAN OBISPO RUIZ REYES</t>
  </si>
  <si>
    <t>Gilmer</t>
  </si>
  <si>
    <t xml:space="preserve">Julia </t>
  </si>
  <si>
    <t>Ivan_0808@hotmail.com</t>
  </si>
  <si>
    <t>945054898</t>
  </si>
  <si>
    <t xml:space="preserve"> CL CESAR VALLEJO 768 PPJJ FLORENCIA DE MORA BA.3</t>
  </si>
  <si>
    <t>-8.08179992, -79.02244001</t>
  </si>
  <si>
    <t>Al costado de la Plaza De Armas Florencia de mora</t>
  </si>
  <si>
    <t>TRFM006-S</t>
  </si>
  <si>
    <t>106150793</t>
  </si>
  <si>
    <t>89950190</t>
  </si>
  <si>
    <t>930897406</t>
  </si>
  <si>
    <t>46025780</t>
  </si>
  <si>
    <t>HERNANDEZ IBARRA, JUAN CARLOS</t>
  </si>
  <si>
    <t xml:space="preserve">JESUS </t>
  </si>
  <si>
    <t>-11.95947443301078, -76.98554917985469</t>
  </si>
  <si>
    <t xml:space="preserve">Mz a8 lt15 urb mariscal caceres </t>
  </si>
  <si>
    <t>av heroes del cenepa</t>
  </si>
  <si>
    <t>LMJL160-S</t>
  </si>
  <si>
    <t>106191016</t>
  </si>
  <si>
    <t>89996998</t>
  </si>
  <si>
    <t>966346328</t>
  </si>
  <si>
    <t>42287282</t>
  </si>
  <si>
    <t>FREDY ANTONIO GUADALUPE HUAMAN</t>
  </si>
  <si>
    <t>Yauli</t>
  </si>
  <si>
    <t>YOLANDA</t>
  </si>
  <si>
    <t>fancy3992@gmail.com</t>
  </si>
  <si>
    <t>jr jose carlos mariategui 119 PSJ SANTA ROSA URB. CHUCCHIS</t>
  </si>
  <si>
    <t>-11.549312023997816, -75.94107819750911</t>
  </si>
  <si>
    <t>ninguna</t>
  </si>
  <si>
    <t>JNSS003-F</t>
  </si>
  <si>
    <t>INCUMPLIMIENTO DE TECNICOS</t>
  </si>
  <si>
    <t>106028111</t>
  </si>
  <si>
    <t>89800156</t>
  </si>
  <si>
    <t>992752176</t>
  </si>
  <si>
    <t>41192300</t>
  </si>
  <si>
    <t>JEAN PAUL DAVID SILVA DAVILA</t>
  </si>
  <si>
    <t>davidsilva2603@gmail.com</t>
  </si>
  <si>
    <t>CALLE ANDALUCIA MZ L LOTE 22, DEPARTAMENTO 202, URB MAYORAZGO CHICO, ATE, LIMA</t>
  </si>
  <si>
    <t>-12.053546180781636, -76.94210421115493</t>
  </si>
  <si>
    <t>CERCA AL OVALO MAYORAZGO</t>
  </si>
  <si>
    <t>LMAT231-F</t>
  </si>
  <si>
    <t>106194649</t>
  </si>
  <si>
    <t>89999247</t>
  </si>
  <si>
    <t>952027353</t>
  </si>
  <si>
    <t>80071285</t>
  </si>
  <si>
    <t>JUAN BRUNO CHUMPITAZ GUZMAN</t>
  </si>
  <si>
    <t>HERMILIO</t>
  </si>
  <si>
    <t>JUBRCHGU.TAURO@GMAIL.COM</t>
  </si>
  <si>
    <t>Urb Víctor Raúl Haya de la torre MZ H LTE 25</t>
  </si>
  <si>
    <t>-11.976813, -77.055866</t>
  </si>
  <si>
    <t>LMIN044-F</t>
  </si>
  <si>
    <t>SERVICIO ACTIVO</t>
  </si>
  <si>
    <t>106216105</t>
  </si>
  <si>
    <t>90013491</t>
  </si>
  <si>
    <t>980272995</t>
  </si>
  <si>
    <t>10805899</t>
  </si>
  <si>
    <t>CAROL CINDY AREVALO MARTINEZ</t>
  </si>
  <si>
    <t>ELSY</t>
  </si>
  <si>
    <t>ccarevalom2012@hotmail.com</t>
  </si>
  <si>
    <t>Calle las Orquídeas 265</t>
  </si>
  <si>
    <t>-12.117703209661387, -77.00607349106858</t>
  </si>
  <si>
    <t>LMSQ078-S</t>
  </si>
  <si>
    <t>106199114</t>
  </si>
  <si>
    <t>90001985</t>
  </si>
  <si>
    <t>992859231</t>
  </si>
  <si>
    <t xml:space="preserve">08523047 </t>
  </si>
  <si>
    <t>NINA GREGORIA PIZCO HORNA</t>
  </si>
  <si>
    <t>ROGELIO</t>
  </si>
  <si>
    <t>TERESA</t>
  </si>
  <si>
    <t>NIGRE0409@HOTMAIL.COM</t>
  </si>
  <si>
    <t xml:space="preserve">AV SIMON BOLIVAR 2206 URB PANDO Edificio: JARDINES DE LA CATOLICA - BLOCK 21 Edifico 21 departamento 302 </t>
  </si>
  <si>
    <t>-12.070221809567355, -77.0754994178077</t>
  </si>
  <si>
    <t>Al costado de la farmacia MiFarma</t>
  </si>
  <si>
    <t>LMPL001-S</t>
  </si>
  <si>
    <t>106215803</t>
  </si>
  <si>
    <t>90013270</t>
  </si>
  <si>
    <t>915335429</t>
  </si>
  <si>
    <t>15391358</t>
  </si>
  <si>
    <t>EULALIA JUSTINA CHUMPITAZ LESCANO</t>
  </si>
  <si>
    <t>Cañete</t>
  </si>
  <si>
    <t>MODESTO</t>
  </si>
  <si>
    <t>carlacuya876@gmail.com</t>
  </si>
  <si>
    <t xml:space="preserve">915335429 </t>
  </si>
  <si>
    <t>AAHH SANTA ROSA ROSA DE MALA, CALLE FUNDADORES MZ B LT 14, MALA, CAÑETE</t>
  </si>
  <si>
    <t>-12.659406790303775, -76.62734444364402</t>
  </si>
  <si>
    <t>INSTITUTO SAN PEDRO A LA IZQUIERDA</t>
  </si>
  <si>
    <t>LMML010-F</t>
  </si>
  <si>
    <t>106120189</t>
  </si>
  <si>
    <t>89920591</t>
  </si>
  <si>
    <t>917700174</t>
  </si>
  <si>
    <t>RUC10</t>
  </si>
  <si>
    <t>10406652951</t>
  </si>
  <si>
    <t>GLISET MILAGROS INFANZON QUISPE</t>
  </si>
  <si>
    <t>Francisco</t>
  </si>
  <si>
    <t>Genoveva</t>
  </si>
  <si>
    <t>tatiana_196025@hotmail.com</t>
  </si>
  <si>
    <t>PASAJE JUAN SIFUENTES  230 URB GRUMETE MEDINA</t>
  </si>
  <si>
    <t>-12.067306, -76.97395</t>
  </si>
  <si>
    <t>LMAT222-F</t>
  </si>
  <si>
    <t>106095423</t>
  </si>
  <si>
    <t>89897255</t>
  </si>
  <si>
    <t>978425788</t>
  </si>
  <si>
    <t>41325007</t>
  </si>
  <si>
    <t>LUIS MIGUEL CARHUAJULCA CASTRO</t>
  </si>
  <si>
    <t>luiscarhuajulca@gmail.com</t>
  </si>
  <si>
    <t xml:space="preserve">978425788 </t>
  </si>
  <si>
    <t>Coronel Alfonso Ugarte 115 San Miguel</t>
  </si>
  <si>
    <t>-12.09155, -77.082447</t>
  </si>
  <si>
    <t>CERCA DE LA AV BERTOLOTO</t>
  </si>
  <si>
    <t>LMSM049-R</t>
  </si>
  <si>
    <t>CL QUIERE PARA LUNES SE MANDARA PLANTILLA</t>
  </si>
  <si>
    <t>106192633</t>
  </si>
  <si>
    <t>89997937</t>
  </si>
  <si>
    <t>984975553</t>
  </si>
  <si>
    <t xml:space="preserve">42125979 </t>
  </si>
  <si>
    <t>CLIENTE: MARIO AGUSTIN SANCHEZ CAMACHO</t>
  </si>
  <si>
    <t>marcos</t>
  </si>
  <si>
    <t>isabel</t>
  </si>
  <si>
    <t xml:space="preserve"> mariocamacho1407@gmail.com</t>
  </si>
  <si>
    <t xml:space="preserve">av CRISTOBAL DE PERALTA SUR 383 / edificio </t>
  </si>
  <si>
    <t>-12.113956, -76.977373</t>
  </si>
  <si>
    <t>eclats</t>
  </si>
  <si>
    <t>LMSC236</t>
  </si>
  <si>
    <t>106207406</t>
  </si>
  <si>
    <t>90007958</t>
  </si>
  <si>
    <t>947635307</t>
  </si>
  <si>
    <t xml:space="preserve">40820135 </t>
  </si>
  <si>
    <t>ETELDRITA EMERENCIA VILLAFUERTE DOLORES</t>
  </si>
  <si>
    <t>021206</t>
  </si>
  <si>
    <t>EUFEMIA</t>
  </si>
  <si>
    <t>alejandrottito8@gmail.com</t>
  </si>
  <si>
    <t>Av. San Martin 315, Santa Catalina, BARRANCA</t>
  </si>
  <si>
    <t xml:space="preserve"> -10.741887694895437, -77.7738236601314</t>
  </si>
  <si>
    <t>A DOS CUADRAS DEL COLEGIO SANTA CATALINA</t>
  </si>
  <si>
    <t>LMBR055-F</t>
  </si>
  <si>
    <t>106212585</t>
  </si>
  <si>
    <t>90011320</t>
  </si>
  <si>
    <t>942483944</t>
  </si>
  <si>
    <t>004875183</t>
  </si>
  <si>
    <t>MAWILDE ASUNCION ABREU  LEON</t>
  </si>
  <si>
    <t>WILLIAM</t>
  </si>
  <si>
    <t>MARCIA</t>
  </si>
  <si>
    <t>abreumawilde3e@gmail.com</t>
  </si>
  <si>
    <t xml:space="preserve">AV PRINCIPAL MZ x LOTE 16  LOS ALAMOS </t>
  </si>
  <si>
    <t>-11.999958044780815, -77.10843731991655</t>
  </si>
  <si>
    <t>LMCA127-S</t>
  </si>
  <si>
    <t>106282011</t>
  </si>
  <si>
    <t>90081652</t>
  </si>
  <si>
    <t>974877591</t>
  </si>
  <si>
    <t xml:space="preserve">60796826 </t>
  </si>
  <si>
    <t>AILTON ANGEL SULLCA DELGADO</t>
  </si>
  <si>
    <t>Anglito1804@gmail.com</t>
  </si>
  <si>
    <t>968344428</t>
  </si>
  <si>
    <t>BOCANEGRA MZ A29 LT 33, CALLAO, CALLAO, CALLAO</t>
  </si>
  <si>
    <t>-12.024520904282088, -77.09655415093785</t>
  </si>
  <si>
    <t>ATRAS DE LA POSTA</t>
  </si>
  <si>
    <t>LMCA028-S</t>
  </si>
  <si>
    <t>106166423</t>
  </si>
  <si>
    <t>89969654</t>
  </si>
  <si>
    <t>964207205</t>
  </si>
  <si>
    <t>09594603</t>
  </si>
  <si>
    <t>SARO VICENTE, ESTELA ALEJANDRINA</t>
  </si>
  <si>
    <t>mitxycuri@hotmail.com</t>
  </si>
  <si>
    <t>calle puerto coloma 292</t>
  </si>
  <si>
    <t>-12.075951, -77.004914</t>
  </si>
  <si>
    <t xml:space="preserve">av  san juan </t>
  </si>
  <si>
    <t>LMSL019-S</t>
  </si>
  <si>
    <t>106282976</t>
  </si>
  <si>
    <t>90082061</t>
  </si>
  <si>
    <t>970486247</t>
  </si>
  <si>
    <t>42155562</t>
  </si>
  <si>
    <t>MIGUEL ANGUEL DELGADO MIÑANO</t>
  </si>
  <si>
    <t>angeldelgado113083@gmail.com</t>
  </si>
  <si>
    <t>Jr José Carlos Mariátegui 151 - Barrio San Juan - Banda de Shilcayo - San Martin - San Martin</t>
  </si>
  <si>
    <t>-6.498692, -76.350510</t>
  </si>
  <si>
    <t>SMBS005-F</t>
  </si>
  <si>
    <t>SE MANDO CORREO DIRECCION RESTRINGIDA</t>
  </si>
  <si>
    <t>106191838</t>
  </si>
  <si>
    <t>89997508</t>
  </si>
  <si>
    <t>991733623</t>
  </si>
  <si>
    <t>08612868</t>
  </si>
  <si>
    <t>GERALDO GENDER GUERRERO CHULLUNCUY</t>
  </si>
  <si>
    <t>Yauyos</t>
  </si>
  <si>
    <t>ANIBAL</t>
  </si>
  <si>
    <t>MERY</t>
  </si>
  <si>
    <t>GERALDO_GUERRERO63@HOTMAIL.COM</t>
  </si>
  <si>
    <t>CL RAFAEL CACERES SANCHEZ 977 URB EL PEDREGAL</t>
  </si>
  <si>
    <t>-12.035778, -77.056732</t>
  </si>
  <si>
    <t>A LA VUELTA DE LA EMPRESA DE TRANSPORTE ABYEXPRESS</t>
  </si>
  <si>
    <t>LMMP244-F</t>
  </si>
  <si>
    <t>106272968</t>
  </si>
  <si>
    <t>90076532</t>
  </si>
  <si>
    <t>999167329</t>
  </si>
  <si>
    <t>80105353</t>
  </si>
  <si>
    <t xml:space="preserve">PATRICIA RAQUEL MELGAR DEL CASTILLO </t>
  </si>
  <si>
    <t>patitamc22@gmail.com</t>
  </si>
  <si>
    <t xml:space="preserve">999167329 </t>
  </si>
  <si>
    <t>PASAJE PUCARA MZ H1  LOTE 17 URB SAN JUAN MASIAS</t>
  </si>
  <si>
    <t>-11.998617, -77.117108</t>
  </si>
  <si>
    <t>LMCA047</t>
  </si>
  <si>
    <t>106172865</t>
  </si>
  <si>
    <t>89969246</t>
  </si>
  <si>
    <t>934665456</t>
  </si>
  <si>
    <t>41320305</t>
  </si>
  <si>
    <t>JOSELITO RUEL YATA PIO</t>
  </si>
  <si>
    <t>HEREBER</t>
  </si>
  <si>
    <t>jyatapio@gmail.com</t>
  </si>
  <si>
    <t>BARTOLOME HERRERA 566, LINCE</t>
  </si>
  <si>
    <t>-12.080969, -77.031168</t>
  </si>
  <si>
    <t>francisco lazo</t>
  </si>
  <si>
    <t>LMLC016-S</t>
  </si>
  <si>
    <t>106283556</t>
  </si>
  <si>
    <t>90082292</t>
  </si>
  <si>
    <t>955517044</t>
  </si>
  <si>
    <t>40399869</t>
  </si>
  <si>
    <t>RAFAEL MARIO AMES SANCHEZ</t>
  </si>
  <si>
    <t>Rodolfo</t>
  </si>
  <si>
    <t>Aida</t>
  </si>
  <si>
    <t>amessanchezrafael0979@gmail.com</t>
  </si>
  <si>
    <t xml:space="preserve">955517044 </t>
  </si>
  <si>
    <t>CL JOSE PARODI 219 URB STELLA MARIS ET.1</t>
  </si>
  <si>
    <t>-12.05779104, -77.11584084</t>
  </si>
  <si>
    <t>A UNA CUADRA DEL COLEGIO Nido "Santa Elena"</t>
  </si>
  <si>
    <t>LMBV008-S</t>
  </si>
  <si>
    <t>106318291</t>
  </si>
  <si>
    <t>90124120</t>
  </si>
  <si>
    <t>949873897</t>
  </si>
  <si>
    <t>45630107</t>
  </si>
  <si>
    <t>NELDO MAZA SALVADOR</t>
  </si>
  <si>
    <t>LIZANDRO</t>
  </si>
  <si>
    <t>EMERITA</t>
  </si>
  <si>
    <t xml:space="preserve"> mazasalvadorn@gmail.com</t>
  </si>
  <si>
    <t>ALLE JOSE MARIA ARGUEDAS, AAHH SAN MARTIN 1ERA ETAPA MZ Q1 LT 3A, VEINTISEIS DE OCTUBRE, PIURA.</t>
  </si>
  <si>
    <t xml:space="preserve"> -5.186072147335733, -80.66775959414102</t>
  </si>
  <si>
    <t>CERCA A LA COMISARIA DE SAN MARTIN</t>
  </si>
  <si>
    <t>PIUR003</t>
  </si>
  <si>
    <t>106230146</t>
  </si>
  <si>
    <t>90027594</t>
  </si>
  <si>
    <t>921152057</t>
  </si>
  <si>
    <t>43487092</t>
  </si>
  <si>
    <t>JUAN DAVID ÑAÑEZ PARI</t>
  </si>
  <si>
    <t>MATEO</t>
  </si>
  <si>
    <t>VALENTINA</t>
  </si>
  <si>
    <t>Juancitosatoshi@gmail.com</t>
  </si>
  <si>
    <t>CALLE SANTOS ORELLANA MZ 37 LT 5 URB NICOLAS DE PIEROLA</t>
  </si>
  <si>
    <t>-11.939729, -76.709598</t>
  </si>
  <si>
    <t>CALLE ALEJANDRO LLERENA</t>
  </si>
  <si>
    <t>LMCS005-F</t>
  </si>
  <si>
    <t>MESA LEVANTARA LA SOT EL DIA 17/08 AM1</t>
  </si>
  <si>
    <t>106027130</t>
  </si>
  <si>
    <t>89799822</t>
  </si>
  <si>
    <t>974789966</t>
  </si>
  <si>
    <t>23975382</t>
  </si>
  <si>
    <t>FHARY PEREZ RADO</t>
  </si>
  <si>
    <t>080108</t>
  </si>
  <si>
    <t>PERCY</t>
  </si>
  <si>
    <t>MAXIMILIANA</t>
  </si>
  <si>
    <t>fharynho@gmail.com</t>
  </si>
  <si>
    <t>AV COLLASUYO 513 URB MAGISTERIO  WANCHAQ CUSCO</t>
  </si>
  <si>
    <t>-13.52234524, -71.94700699</t>
  </si>
  <si>
    <t>CZCZ032-S</t>
  </si>
  <si>
    <t>CL REPROGRAMADO 19/08 AM1</t>
  </si>
  <si>
    <t>106240998</t>
  </si>
  <si>
    <t>90032803</t>
  </si>
  <si>
    <t>906597716</t>
  </si>
  <si>
    <t>47031460</t>
  </si>
  <si>
    <t>HEPZAY MARTIN MEZA SALAZAR</t>
  </si>
  <si>
    <t>Martin</t>
  </si>
  <si>
    <t>Gloria</t>
  </si>
  <si>
    <t>leslumezasalazar@gmail.com</t>
  </si>
  <si>
    <t>986983061</t>
  </si>
  <si>
    <t>MZ D4 LT 15 AH PRINCIPE DE ASTURIAS</t>
  </si>
  <si>
    <t>-12.232247, -76.912075</t>
  </si>
  <si>
    <t>ESQUINA DE LA CL 10</t>
  </si>
  <si>
    <t>106312652</t>
  </si>
  <si>
    <t>90120820</t>
  </si>
  <si>
    <t>921795061</t>
  </si>
  <si>
    <t>10106832124</t>
  </si>
  <si>
    <t xml:space="preserve">CARI LEON FERNANDO RUDY  </t>
  </si>
  <si>
    <t>040110</t>
  </si>
  <si>
    <t>nandocarileon@gmail.com</t>
  </si>
  <si>
    <t>(CA. 3 CDA.2 S/N - COND.  PQ. DEL AGUSTINO "LOS CEDROS" TORRE 8)</t>
  </si>
  <si>
    <t>-12.038721, -77.000369</t>
  </si>
  <si>
    <t>calle 4</t>
  </si>
  <si>
    <t>LMAG002</t>
  </si>
  <si>
    <t>106297499</t>
  </si>
  <si>
    <t>90119756</t>
  </si>
  <si>
    <t>925301760</t>
  </si>
  <si>
    <t>006766562</t>
  </si>
  <si>
    <t>Jhon Cristofer Lugo Ornelas</t>
  </si>
  <si>
    <t>Juan</t>
  </si>
  <si>
    <t>Mary</t>
  </si>
  <si>
    <t>jhonplugo@gmail.com</t>
  </si>
  <si>
    <t>935060156</t>
  </si>
  <si>
    <t>CL LAS AGATAS 117 URB HUANCAYO</t>
  </si>
  <si>
    <t>-12.03112998, -77.0015142</t>
  </si>
  <si>
    <t>A DOS CUADRAS DE Dental Medic Zuñiga</t>
  </si>
  <si>
    <t>LMAG014-F</t>
  </si>
  <si>
    <t>106220102</t>
  </si>
  <si>
    <t>90022793</t>
  </si>
  <si>
    <t>939313553</t>
  </si>
  <si>
    <t>42806460</t>
  </si>
  <si>
    <t>MARISOL MUÑICO ASTO</t>
  </si>
  <si>
    <t>La Punta</t>
  </si>
  <si>
    <t>representaciones.marisol@gmail.com</t>
  </si>
  <si>
    <t>CL TENIENTE DIEGO FERRE 357, La punta, CALLAO</t>
  </si>
  <si>
    <t>-12.06895102062405, -77.16009404417784</t>
  </si>
  <si>
    <t>CERCA DE Plaza José Gálvez</t>
  </si>
  <si>
    <t>LMPT002-S</t>
  </si>
  <si>
    <t>106299893</t>
  </si>
  <si>
    <t>90111385</t>
  </si>
  <si>
    <t>986717102</t>
  </si>
  <si>
    <t>23806403</t>
  </si>
  <si>
    <t>NINANTAY APAZA, AUGUSTO ADRIAN</t>
  </si>
  <si>
    <t>081201</t>
  </si>
  <si>
    <t>NEMESIO</t>
  </si>
  <si>
    <t>augustoadrianninantayapaza@gmail.com</t>
  </si>
  <si>
    <t xml:space="preserve">AV MANZANARES MZ B LT 02 </t>
  </si>
  <si>
    <t>-13.524271, -71.953412</t>
  </si>
  <si>
    <t xml:space="preserve">calle pucara </t>
  </si>
  <si>
    <t>CZCZ017</t>
  </si>
  <si>
    <t>106344961</t>
  </si>
  <si>
    <t>90149276</t>
  </si>
  <si>
    <t>944572274</t>
  </si>
  <si>
    <t>28314131</t>
  </si>
  <si>
    <t>ROXANA MENDOZA BUSTAMANTE</t>
  </si>
  <si>
    <t>felix</t>
  </si>
  <si>
    <t>Melania</t>
  </si>
  <si>
    <t>28314131@sanmarcelo.edu.pe</t>
  </si>
  <si>
    <t>Asoc Aprovisa Mz C1 lt 7</t>
  </si>
  <si>
    <t>-13.171801598882688, -74.20649725429276</t>
  </si>
  <si>
    <t>jr laureles</t>
  </si>
  <si>
    <t>AYSB012-S</t>
  </si>
  <si>
    <t>106350113</t>
  </si>
  <si>
    <t>90151922</t>
  </si>
  <si>
    <t>943519418</t>
  </si>
  <si>
    <t>47937178</t>
  </si>
  <si>
    <t>IRO DANIEL ABANTO VERA</t>
  </si>
  <si>
    <t>SARA</t>
  </si>
  <si>
    <t>abanto24@outlook.com</t>
  </si>
  <si>
    <t>Calle Marcelo Corne 369</t>
  </si>
  <si>
    <t>-8.118194, -79.034637</t>
  </si>
  <si>
    <t xml:space="preserve">AV SAN VICENTE </t>
  </si>
  <si>
    <t>TRUJ053-S</t>
  </si>
  <si>
    <t>106342000</t>
  </si>
  <si>
    <t>90147871</t>
  </si>
  <si>
    <t>962574232</t>
  </si>
  <si>
    <t>18032716</t>
  </si>
  <si>
    <t>HEIDE RENEE BURGA SANCHEZ</t>
  </si>
  <si>
    <t>taticamisaabu@gmail.com</t>
  </si>
  <si>
    <t>MONSERRATE 5T ETAPA Y LOTE 30, TRUJILLO</t>
  </si>
  <si>
    <t>-8.122674, -79.027537</t>
  </si>
  <si>
    <t>FRENTE AL PARQUE LOS CRISTALES</t>
  </si>
  <si>
    <t>TRUJ046</t>
  </si>
  <si>
    <t>106333334</t>
  </si>
  <si>
    <t>90141636</t>
  </si>
  <si>
    <t>945534713</t>
  </si>
  <si>
    <t>009044778</t>
  </si>
  <si>
    <t>JOEL JOSE ZAVALA QUIRPA</t>
  </si>
  <si>
    <t>marta</t>
  </si>
  <si>
    <t>zabala165@gmail.com</t>
  </si>
  <si>
    <t>907352593</t>
  </si>
  <si>
    <t>CL 21 MZ J2 LT 12 URB Los rosales de pro</t>
  </si>
  <si>
    <t>-11.950611025259272, -77.0759656129518</t>
  </si>
  <si>
    <t>pasaje 6</t>
  </si>
  <si>
    <t>LMLO122-F</t>
  </si>
  <si>
    <t>DIRECCION RESTRINGIDA</t>
  </si>
  <si>
    <t>106228618</t>
  </si>
  <si>
    <t>90026704</t>
  </si>
  <si>
    <t>913380362</t>
  </si>
  <si>
    <t>10672363</t>
  </si>
  <si>
    <t>ALBINA SERNA RAMIREZ</t>
  </si>
  <si>
    <t>SATURNINO</t>
  </si>
  <si>
    <t>ALBINASERNARAMIREZ3@GMAIL.COM</t>
  </si>
  <si>
    <t>MZ D1 LT 12 AV REPUBLICA DE POLONIA 14 URB LOS PINOS</t>
  </si>
  <si>
    <t>-11.974629977611546, -77.00196287741744</t>
  </si>
  <si>
    <t>AL COSTADO DEL BANCO Cajero Banco de la Nación</t>
  </si>
  <si>
    <t>LMJL121-S</t>
  </si>
  <si>
    <t>106360469</t>
  </si>
  <si>
    <t>90162992</t>
  </si>
  <si>
    <t>959774099</t>
  </si>
  <si>
    <t>29680041</t>
  </si>
  <si>
    <t>JAIME ERNESTO  LARA QUILLA</t>
  </si>
  <si>
    <t>QUINTIN</t>
  </si>
  <si>
    <t>EUGENIA</t>
  </si>
  <si>
    <t>psjelq08@hotmail.com</t>
  </si>
  <si>
    <t>AV Alfonso Quiroz MZ A LOTE 1</t>
  </si>
  <si>
    <t>-16.430642821505305, -71.53871510420896</t>
  </si>
  <si>
    <t>AQSB045-F</t>
  </si>
  <si>
    <t xml:space="preserve">106361180 </t>
  </si>
  <si>
    <t xml:space="preserve">90163262 </t>
  </si>
  <si>
    <t>964401833</t>
  </si>
  <si>
    <t>74133788</t>
  </si>
  <si>
    <t>MANUEL JESUS  PEDEMONTE  MOSCOSO</t>
  </si>
  <si>
    <t>mpedemonte95@gmail.com</t>
  </si>
  <si>
    <t>Jirón Cartagena 324 Pueblo Libre</t>
  </si>
  <si>
    <t>-12.069091670413746, -77.06995166871386</t>
  </si>
  <si>
    <t>AV LA CORUÑA</t>
  </si>
  <si>
    <t>LMPL007</t>
  </si>
  <si>
    <t xml:space="preserve">CL REPROGRAMA </t>
  </si>
  <si>
    <t>106330805</t>
  </si>
  <si>
    <t>90140071</t>
  </si>
  <si>
    <t>972920189</t>
  </si>
  <si>
    <t xml:space="preserve">42127190 </t>
  </si>
  <si>
    <t>KRUPUSKAYA FIGUEROA YABAR</t>
  </si>
  <si>
    <t>030101</t>
  </si>
  <si>
    <t>ramon</t>
  </si>
  <si>
    <t>gisela</t>
  </si>
  <si>
    <t>carlo1973.gonzalesherrera@gmail.com</t>
  </si>
  <si>
    <t xml:space="preserve">972920189 </t>
  </si>
  <si>
    <t>Jirón Enrique León García 416, Santiago de Surco</t>
  </si>
  <si>
    <t>-12.126452, -76.995538</t>
  </si>
  <si>
    <t>CERCA DEL Parque Cristo Salvador</t>
  </si>
  <si>
    <t>LMSC184-S</t>
  </si>
  <si>
    <t>106334318</t>
  </si>
  <si>
    <t>90142753</t>
  </si>
  <si>
    <t>914540579</t>
  </si>
  <si>
    <t>29621072</t>
  </si>
  <si>
    <t>ARTURO FERNANDO CHOQUE LLACHO</t>
  </si>
  <si>
    <t>070601</t>
  </si>
  <si>
    <t>richard16_20@HOTMAIL.COM</t>
  </si>
  <si>
    <t>914540579 - 982071930</t>
  </si>
  <si>
    <t xml:space="preserve">PROLONGACIÓN AV AREQUIPA  </t>
  </si>
  <si>
    <t>-14.287262060103872, -71.22357972883536</t>
  </si>
  <si>
    <t>CZSC024-F</t>
  </si>
  <si>
    <t>106370641</t>
  </si>
  <si>
    <t>90168027</t>
  </si>
  <si>
    <t>955119592</t>
  </si>
  <si>
    <t>25579553</t>
  </si>
  <si>
    <t>CARMEN PAULINA CORRALES</t>
  </si>
  <si>
    <t>LUCILA</t>
  </si>
  <si>
    <t>LUCERITO1606@GMAIL.COM</t>
  </si>
  <si>
    <t>cl 2 mz J1 LT4  URB VENTANILLA ALTA</t>
  </si>
  <si>
    <t>-11.870212563499788, -77.11226000430712</t>
  </si>
  <si>
    <t>FRENTE AL PARQUE 9 de Febrero</t>
  </si>
  <si>
    <t>LMVT015-S</t>
  </si>
  <si>
    <t>106392051</t>
  </si>
  <si>
    <t>90194953</t>
  </si>
  <si>
    <t>940859130</t>
  </si>
  <si>
    <t>46916302</t>
  </si>
  <si>
    <t>ROMEL RANDY DELGADO QUISPE</t>
  </si>
  <si>
    <t xml:space="preserve">antonia </t>
  </si>
  <si>
    <t>romel.delgado.aqp.gmail.com</t>
  </si>
  <si>
    <t xml:space="preserve"> Urb. Alameda del Sol J-7 Jose luis bustamante y rivero</t>
  </si>
  <si>
    <t>-16.430300819624804, -71.51451927116372</t>
  </si>
  <si>
    <t xml:space="preserve">1 cuadra ntes del parque santa ursula </t>
  </si>
  <si>
    <t xml:space="preserve"> AQBR088-F</t>
  </si>
  <si>
    <t>106363195</t>
  </si>
  <si>
    <t>90164263</t>
  </si>
  <si>
    <t>974376807</t>
  </si>
  <si>
    <t>44043404</t>
  </si>
  <si>
    <t>ROSARIO ROCA ORE</t>
  </si>
  <si>
    <t>FIDEL</t>
  </si>
  <si>
    <t>jlfg82@hotmail.com</t>
  </si>
  <si>
    <t>976091333</t>
  </si>
  <si>
    <t>URB MONTEBELLO MZ M LT 10 CERRO COLORADO</t>
  </si>
  <si>
    <t>-16.36482963093836, -71.56500354172114</t>
  </si>
  <si>
    <t>CERCA ARCHIVO DE REGISTRIOS PUBLICOS</t>
  </si>
  <si>
    <t>106399711</t>
  </si>
  <si>
    <t>90200402</t>
  </si>
  <si>
    <t>982882221</t>
  </si>
  <si>
    <t>21114338</t>
  </si>
  <si>
    <t>KLINFORD JUAN VILCHEZ ARELLANO</t>
  </si>
  <si>
    <t>ROFINO</t>
  </si>
  <si>
    <t>VILCHEZARELLANOK@GMAIL.COM</t>
  </si>
  <si>
    <t>910997098</t>
  </si>
  <si>
    <t>JR TACNA 1492 Edificio: LOS AIRES - TORRE B urb OYAGUE PISO 5 502</t>
  </si>
  <si>
    <t>-12.085059, -77.069038</t>
  </si>
  <si>
    <t>AL FRENTE DEL HOTEL Eda Inn</t>
  </si>
  <si>
    <t>LMMG006</t>
  </si>
  <si>
    <t>106368555</t>
  </si>
  <si>
    <t>90166816</t>
  </si>
  <si>
    <t>906666530</t>
  </si>
  <si>
    <t>10630205</t>
  </si>
  <si>
    <t xml:space="preserve"> MONICA PILAR CALDERON DURAND</t>
  </si>
  <si>
    <t>Pucusana</t>
  </si>
  <si>
    <t>GAVINO</t>
  </si>
  <si>
    <t>zoevalentinaguillenescudero@gmail.com</t>
  </si>
  <si>
    <t>991400654</t>
  </si>
  <si>
    <t xml:space="preserve"> CALLE GOMEZ SANCHEZ MZ 32 LOTE 16</t>
  </si>
  <si>
    <t>-12.48405, -76.797321</t>
  </si>
  <si>
    <t>CERCA Parque Gómez Sánchez</t>
  </si>
  <si>
    <t>LMPU002-F</t>
  </si>
  <si>
    <t>106290827</t>
  </si>
  <si>
    <t>90086479</t>
  </si>
  <si>
    <t>990088000</t>
  </si>
  <si>
    <t>44559029</t>
  </si>
  <si>
    <t>JAANS AYALA GARAUNDO</t>
  </si>
  <si>
    <t>050401</t>
  </si>
  <si>
    <t>JAYALAGARAUNDO1087@GMAIL.COM</t>
  </si>
  <si>
    <t xml:space="preserve">AV SANTA ROSA N E04 18  SECTOR CIRO ALEGRIA </t>
  </si>
  <si>
    <t>-12.52539, -73.82496</t>
  </si>
  <si>
    <t>CZPI003-F</t>
  </si>
  <si>
    <t>106389808</t>
  </si>
  <si>
    <t>90193843</t>
  </si>
  <si>
    <t>947036519</t>
  </si>
  <si>
    <t>31637733</t>
  </si>
  <si>
    <t>LEOCADIA VALERIA CORDOVA SARZOZA</t>
  </si>
  <si>
    <t>020106</t>
  </si>
  <si>
    <t>RCVAL82@gmail.com</t>
  </si>
  <si>
    <t xml:space="preserve">947036519 </t>
  </si>
  <si>
    <t>Jr César Vallejo 107, URB SAN MIGUEL</t>
  </si>
  <si>
    <t>-9.51757901, -77.52316711</t>
  </si>
  <si>
    <t>A LA ESPALDA DEL UNASAM</t>
  </si>
  <si>
    <t>HZIN033-F</t>
  </si>
  <si>
    <t>106397279</t>
  </si>
  <si>
    <t xml:space="preserve">90199061   </t>
  </si>
  <si>
    <t>955867928</t>
  </si>
  <si>
    <t>08345498</t>
  </si>
  <si>
    <t>LUZ VICTORIA VINCES CRISANTO</t>
  </si>
  <si>
    <t>ARTIDORO</t>
  </si>
  <si>
    <t>YSABEL</t>
  </si>
  <si>
    <t>jacb227@gmail.com</t>
  </si>
  <si>
    <t>999585817</t>
  </si>
  <si>
    <t>CL CONTRA ALMIRANTE MONTERO ROSAS 1294 URB SANTA BEATRIZ</t>
  </si>
  <si>
    <t>-12.0710165, -77.038206593</t>
  </si>
  <si>
    <t>2 CUADRAS ANTES DEL CANAL 4</t>
  </si>
  <si>
    <t>LMJM041-F</t>
  </si>
  <si>
    <t>106365657</t>
  </si>
  <si>
    <t>90165882</t>
  </si>
  <si>
    <t>957848235</t>
  </si>
  <si>
    <t>08694352</t>
  </si>
  <si>
    <t>OFELIA JASMINA VALERA SANCHEZ</t>
  </si>
  <si>
    <t xml:space="preserve">ofevalera@gmail.com </t>
  </si>
  <si>
    <t xml:space="preserve">957848235 </t>
  </si>
  <si>
    <t>Carlos concha cárdenas 150</t>
  </si>
  <si>
    <t>-12.023310802173382, -77.08836766446</t>
  </si>
  <si>
    <t xml:space="preserve">calle rebeca carrion </t>
  </si>
  <si>
    <t>LMMP051-S</t>
  </si>
  <si>
    <t>PLANTILLA DE ADELANTO</t>
  </si>
  <si>
    <t>106428302</t>
  </si>
  <si>
    <t>90221145</t>
  </si>
  <si>
    <t>904234719</t>
  </si>
  <si>
    <t>06243031</t>
  </si>
  <si>
    <t>MIROPE HUALBERTO ROBLES DE LA CRUZ</t>
  </si>
  <si>
    <t>EMILIANO</t>
  </si>
  <si>
    <t>NATIVIDAD</t>
  </si>
  <si>
    <t>groblesabogados@gmail.com</t>
  </si>
  <si>
    <t>AV AMERICA SUR 1748, URB CHICAGO, LA LIBERTAD, TRUJILLO</t>
  </si>
  <si>
    <t>-8.11783405, -79.01768895</t>
  </si>
  <si>
    <t>CERCA Complejo Deportivo Mochica Chimú</t>
  </si>
  <si>
    <t>TRUJ079-S</t>
  </si>
  <si>
    <t>106367350</t>
  </si>
  <si>
    <t>90166413</t>
  </si>
  <si>
    <t>997250578</t>
  </si>
  <si>
    <t>45649685</t>
  </si>
  <si>
    <t>JUAN CARLOS RENGIFO PEREZ</t>
  </si>
  <si>
    <t>HACELA DE JESUS</t>
  </si>
  <si>
    <t>karlitos1rengifo@gmail.com</t>
  </si>
  <si>
    <t>calle rio alto purus mzb lt 21</t>
  </si>
  <si>
    <t>-8.400669579430472, -74.56044025001877</t>
  </si>
  <si>
    <t xml:space="preserve">av aviacion </t>
  </si>
  <si>
    <t>UCCL018-F</t>
  </si>
  <si>
    <t>106442707</t>
  </si>
  <si>
    <t>90227623</t>
  </si>
  <si>
    <t>984257759</t>
  </si>
  <si>
    <t>61327070</t>
  </si>
  <si>
    <t>DERICK ANDRES HUAYTA ROQUE</t>
  </si>
  <si>
    <t>040100</t>
  </si>
  <si>
    <t>MARLENI</t>
  </si>
  <si>
    <t>derick.andres.2002@gmail.com</t>
  </si>
  <si>
    <t>URB. ALTO DE LA LUNA 1ERA ETAPA MZ F LT 15</t>
  </si>
  <si>
    <t>-16.43082113366576, -71.52651598258294</t>
  </si>
  <si>
    <t xml:space="preserve">AV TUPAC AMARU </t>
  </si>
  <si>
    <t>AQBR041-S</t>
  </si>
  <si>
    <t>106330100</t>
  </si>
  <si>
    <t>90138977</t>
  </si>
  <si>
    <t>944893043</t>
  </si>
  <si>
    <t>45670091</t>
  </si>
  <si>
    <t>JOSE LUIS PAUCARA CLEMENTE</t>
  </si>
  <si>
    <t>kamurakings@gmail.com</t>
  </si>
  <si>
    <t>av CIRCUNVALACION 273 urb parachico</t>
  </si>
  <si>
    <t>-18.02143478, -70.2599028</t>
  </si>
  <si>
    <t xml:space="preserve">agroforestal tacna </t>
  </si>
  <si>
    <t>TCNA021-S</t>
  </si>
  <si>
    <t xml:space="preserve">DERIVADO A SISTEMAS </t>
  </si>
  <si>
    <t>106395162</t>
  </si>
  <si>
    <t>90197606</t>
  </si>
  <si>
    <t>955243310</t>
  </si>
  <si>
    <t>29545482</t>
  </si>
  <si>
    <t>LUCIA CHAMBI DE APAZA</t>
  </si>
  <si>
    <t>Florentina</t>
  </si>
  <si>
    <t>luciachambiadco@GMAIL.COM</t>
  </si>
  <si>
    <t xml:space="preserve">955243310 </t>
  </si>
  <si>
    <t>CALLE RICARDO PALMA 318, URB ALMIRANTE MIGUEL GRAU, PAUCARPATA, AREQUIPA</t>
  </si>
  <si>
    <t>n/a</t>
  </si>
  <si>
    <t xml:space="preserve"> -16.407439344, -71.47565537</t>
  </si>
  <si>
    <t>CERCA A LA AV. VILLA HERMOSA</t>
  </si>
  <si>
    <t xml:space="preserve"> AQPP001-S</t>
  </si>
  <si>
    <t>FIGURA ATENDIDA PERO CL INDICA QUE NO SE INSTALO</t>
  </si>
  <si>
    <t>106038854</t>
  </si>
  <si>
    <t>89805316</t>
  </si>
  <si>
    <t>973069444</t>
  </si>
  <si>
    <t>10400403002</t>
  </si>
  <si>
    <t>LOPEZ CARMONA JUAN CARLOS</t>
  </si>
  <si>
    <t>dante</t>
  </si>
  <si>
    <t>marina</t>
  </si>
  <si>
    <t xml:space="preserve">juankalopeco1978@gmail.com </t>
  </si>
  <si>
    <t xml:space="preserve">973069444 </t>
  </si>
  <si>
    <t>Urb Velasco astete lote mzf lt 24</t>
  </si>
  <si>
    <t>-13.537149, -71.945855</t>
  </si>
  <si>
    <t>el aeropuerto</t>
  </si>
  <si>
    <t>CZWQ012</t>
  </si>
  <si>
    <t>106320585</t>
  </si>
  <si>
    <t>90125426</t>
  </si>
  <si>
    <t>976228310</t>
  </si>
  <si>
    <t>40241576</t>
  </si>
  <si>
    <t>CARLOS ALBERTO SILVERA PEÑA</t>
  </si>
  <si>
    <t>carlossilvera2000@hotmail.com</t>
  </si>
  <si>
    <t>AV LOS FAISANES 204 URB LA CAMPIÑA ZN.3 Edificio: MIXXO</t>
  </si>
  <si>
    <t>-77.001782 -12.180614</t>
  </si>
  <si>
    <t>LMCH181-F</t>
  </si>
  <si>
    <t>106371012</t>
  </si>
  <si>
    <t>90168319</t>
  </si>
  <si>
    <t>969857592</t>
  </si>
  <si>
    <t>00100936</t>
  </si>
  <si>
    <t>DAN RAFAEL VELA DIAZ</t>
  </si>
  <si>
    <t>Ucayali</t>
  </si>
  <si>
    <t>DANVELADIAZ@GMAIL.COM</t>
  </si>
  <si>
    <t>JIRON GUILLERMO LUMBRERAS MZ 185A LT 19</t>
  </si>
  <si>
    <t>-8.369513860523275, -74.55581345534497</t>
  </si>
  <si>
    <t>CALLE ISRAEL</t>
  </si>
  <si>
    <t>CPYC008-S</t>
  </si>
  <si>
    <t>106377179</t>
  </si>
  <si>
    <t>90171543</t>
  </si>
  <si>
    <t>969147630</t>
  </si>
  <si>
    <t xml:space="preserve">00114939 </t>
  </si>
  <si>
    <t>JUAN MIGUEL ALVAREZ GARCIA</t>
  </si>
  <si>
    <t>JUAN.MIGUELAG@HOTMAIL.,COM</t>
  </si>
  <si>
    <t>JR. FRANCISCO DEL AGUILA MZ 26 LT 3, YARINACOCHA, PUCALLPA, UCAYALI.</t>
  </si>
  <si>
    <t>-8.36185933183059, -74.56755710360137</t>
  </si>
  <si>
    <t>CAMPO FERIAL DE YARINACOCHA</t>
  </si>
  <si>
    <t xml:space="preserve">CPYC006   </t>
  </si>
  <si>
    <t>106375053</t>
  </si>
  <si>
    <t>90194526</t>
  </si>
  <si>
    <t>961612838</t>
  </si>
  <si>
    <t>20393344459</t>
  </si>
  <si>
    <t>EDUARD MOSQUERA ALIAGA</t>
  </si>
  <si>
    <t>CLARA</t>
  </si>
  <si>
    <t xml:space="preserve">emosa25@hotmail.com </t>
  </si>
  <si>
    <t>JR ZAVALA 465 URB CERCADO DE PUCALLPA</t>
  </si>
  <si>
    <t>-8.380724, -74.536225</t>
  </si>
  <si>
    <t>CPCL006</t>
  </si>
  <si>
    <t>106398568</t>
  </si>
  <si>
    <t>90199522</t>
  </si>
  <si>
    <t>Olga</t>
  </si>
  <si>
    <t>jayalaGARAUNDO1087@gmail.com</t>
  </si>
  <si>
    <t xml:space="preserve"> JR CESAR VALLEJO 789 URB LA VICTORIA</t>
  </si>
  <si>
    <t>-12.522042969, -73.829579931</t>
  </si>
  <si>
    <t>al costado del parque del amor</t>
  </si>
  <si>
    <t>CCZPI003-F</t>
  </si>
  <si>
    <t>106406154</t>
  </si>
  <si>
    <t>90205496</t>
  </si>
  <si>
    <t>976493839</t>
  </si>
  <si>
    <t>00428538</t>
  </si>
  <si>
    <t xml:space="preserve"> EDDA LOURDES GOMEZ DE ARCE</t>
  </si>
  <si>
    <t>Lidia</t>
  </si>
  <si>
    <t>arceromina0709@gmail.com</t>
  </si>
  <si>
    <t>995991135</t>
  </si>
  <si>
    <t>AV GUSTAVO PINTO 1417-A, TACNA</t>
  </si>
  <si>
    <t>-18.007793103, -70.239030044</t>
  </si>
  <si>
    <t>A la altura del cruce Av. Bolognesi con Av. Gustavo Pinto</t>
  </si>
  <si>
    <t>TCNA139</t>
  </si>
  <si>
    <t>106411563</t>
  </si>
  <si>
    <t>90207301</t>
  </si>
  <si>
    <t>958146401</t>
  </si>
  <si>
    <t>23874401</t>
  </si>
  <si>
    <t>CARMEN ROSA ACURIO CANAL</t>
  </si>
  <si>
    <t>TEODORA</t>
  </si>
  <si>
    <t>caracur3@hotmail.com</t>
  </si>
  <si>
    <t>APV BELLAVISTA, AV. ANDRES AVELINO CACERES C-3 SANTA ANA, CUSCO</t>
  </si>
  <si>
    <t>-13.509591364465331, -71.98836621980186</t>
  </si>
  <si>
    <t>FRENTE A LA PLANTA DE TRATAMIENTO CUSCO</t>
  </si>
  <si>
    <t>CZCZ043-F</t>
  </si>
  <si>
    <t>106415980</t>
  </si>
  <si>
    <t>90211369</t>
  </si>
  <si>
    <t>980725079</t>
  </si>
  <si>
    <t>71883226</t>
  </si>
  <si>
    <t>KATERIN VIANEY DURAN LINO</t>
  </si>
  <si>
    <t>090803</t>
  </si>
  <si>
    <t>EFRAIN</t>
  </si>
  <si>
    <t>EDI AMELIA</t>
  </si>
  <si>
    <t>katerinduranlino.8@gmail.com</t>
  </si>
  <si>
    <t>JR ALFREDO EGLINTON MZ E LT 8</t>
  </si>
  <si>
    <t>-8.383188178064662, -74.55614887068768</t>
  </si>
  <si>
    <t>UCCL015-F</t>
  </si>
  <si>
    <t>106432973</t>
  </si>
  <si>
    <t>90223124</t>
  </si>
  <si>
    <t>955215757</t>
  </si>
  <si>
    <t>60652623</t>
  </si>
  <si>
    <t>LIZBETH JOHANA JARA CANDELA</t>
  </si>
  <si>
    <t xml:space="preserve">YRENE </t>
  </si>
  <si>
    <t xml:space="preserve"> johana.jara2612@gmail.com</t>
  </si>
  <si>
    <t>Calle Juan Velez Mz E4 Lote 25, Asentamiento Humano 10 de Octubre</t>
  </si>
  <si>
    <t>-11.942462, -76.989293</t>
  </si>
  <si>
    <t>CERCA DEL MERCADO 10 DE OCTUBRE</t>
  </si>
  <si>
    <t>LMJL167-S</t>
  </si>
  <si>
    <t>106464359</t>
  </si>
  <si>
    <t>90242014</t>
  </si>
  <si>
    <t>993226938</t>
  </si>
  <si>
    <t>76265171</t>
  </si>
  <si>
    <t>GONZALO JOEL CHAUCAYANQUI CIÑA </t>
  </si>
  <si>
    <t>040104</t>
  </si>
  <si>
    <t>GONZALO HUGO</t>
  </si>
  <si>
    <t>LOURDES OLGA</t>
  </si>
  <si>
    <t>wisi2000@hotmail.com</t>
  </si>
  <si>
    <t xml:space="preserve">PR	MARISCAL RAMON CASTILLA 205 MZ B LOTE 6 URB SEMI RURAL PACHACUTEC CERRO COLORADO AREQUIPA </t>
  </si>
  <si>
    <t>-16.38682413322346, -71.57077885521358</t>
  </si>
  <si>
    <t>AQCC135-F</t>
  </si>
  <si>
    <t>106438086</t>
  </si>
  <si>
    <t>90225516</t>
  </si>
  <si>
    <t>923166616</t>
  </si>
  <si>
    <t>77389691</t>
  </si>
  <si>
    <t>MARIO LAFAIX MAUTINO</t>
  </si>
  <si>
    <t>NO TIENE</t>
  </si>
  <si>
    <t>IRENA</t>
  </si>
  <si>
    <t>Xixolafaix@gmail.com</t>
  </si>
  <si>
    <t>LT 105 urb JAMANCA JIRCA</t>
  </si>
  <si>
    <t>-9.502454499999992, -77.52702013743206</t>
  </si>
  <si>
    <t>CERCA A LA Aldea Infantil De Huaraz</t>
  </si>
  <si>
    <t>HZIN043-F</t>
  </si>
  <si>
    <t>106438765</t>
  </si>
  <si>
    <t>90225775</t>
  </si>
  <si>
    <t>931880474</t>
  </si>
  <si>
    <t>76819354</t>
  </si>
  <si>
    <t>FAYE FERNANDA PORTILLA DAZA</t>
  </si>
  <si>
    <t>portilladazafey@gmail.com</t>
  </si>
  <si>
    <t>hevert de la flor angulo mz g lt 19</t>
  </si>
  <si>
    <t>-17.20182, -70.919563</t>
  </si>
  <si>
    <t>al frente de la parroquia virgen de chapi</t>
  </si>
  <si>
    <t>MQMN020-S</t>
  </si>
  <si>
    <t>106381878</t>
  </si>
  <si>
    <t>90174319</t>
  </si>
  <si>
    <t>943463525</t>
  </si>
  <si>
    <t>32978973</t>
  </si>
  <si>
    <t>Mónica Arias Tiznado</t>
  </si>
  <si>
    <t>MIRTHA</t>
  </si>
  <si>
    <t>monica.ariasti@gmail.com</t>
  </si>
  <si>
    <t xml:space="preserve">CL 117 MZ E3 LOTE 16 URB JOSE CARLOS MARIATEGUI </t>
  </si>
  <si>
    <t>-9.125417, -78.519822</t>
  </si>
  <si>
    <t>CBNV029-S</t>
  </si>
  <si>
    <t>RIESGO CREDITICIO</t>
  </si>
  <si>
    <t>106135483</t>
  </si>
  <si>
    <t>89939207</t>
  </si>
  <si>
    <t>993218999</t>
  </si>
  <si>
    <t>09582678</t>
  </si>
  <si>
    <t xml:space="preserve"> JOSE LUIS BAZAN CANTA</t>
  </si>
  <si>
    <t>CAROLINA</t>
  </si>
  <si>
    <t>jlbazancanta@gmail.com</t>
  </si>
  <si>
    <t>CL DANIEL GARCES 473, SAN JUAN DE MIRAFLORES</t>
  </si>
  <si>
    <t>-12.144982, -76.97728</t>
  </si>
  <si>
    <t>Cerca del  Complejo Deportivo de la Universidad Ricardo Palma</t>
  </si>
  <si>
    <t>LMJR001-S</t>
  </si>
  <si>
    <t>105942269</t>
  </si>
  <si>
    <t>89730479</t>
  </si>
  <si>
    <t>947694665</t>
  </si>
  <si>
    <t>71080398</t>
  </si>
  <si>
    <t>CESAR ANTONIO TORRES CAMILO</t>
  </si>
  <si>
    <t xml:space="preserve">cesartorrescamilo@gmail.com </t>
  </si>
  <si>
    <t xml:space="preserve"> av 26 DE NOVIEMBRE 752</t>
  </si>
  <si>
    <t>-12.174104654093346, -76.93454718588593</t>
  </si>
  <si>
    <t xml:space="preserve">av 28 de julio </t>
  </si>
  <si>
    <t>LMVM023-S</t>
  </si>
  <si>
    <t>105888566</t>
  </si>
  <si>
    <t>89672677</t>
  </si>
  <si>
    <t>919057962</t>
  </si>
  <si>
    <t>40155032</t>
  </si>
  <si>
    <t>VASQUEZ PEZO, ALINA</t>
  </si>
  <si>
    <t xml:space="preserve">GILMA </t>
  </si>
  <si>
    <t>vapealina@gmail.com</t>
  </si>
  <si>
    <t>952825380</t>
  </si>
  <si>
    <t xml:space="preserve">JIRON MIGUEL GRAU 1230 </t>
  </si>
  <si>
    <t>-6.4792982, -76.3673684</t>
  </si>
  <si>
    <t>SMTP006-F</t>
  </si>
  <si>
    <t>105920389</t>
  </si>
  <si>
    <t>89714646</t>
  </si>
  <si>
    <t>921905933</t>
  </si>
  <si>
    <t>16765803</t>
  </si>
  <si>
    <t>SUAREZ MILIAN, ITAMAR</t>
  </si>
  <si>
    <t>060812</t>
  </si>
  <si>
    <t>NEMIAS</t>
  </si>
  <si>
    <t>diazcalerofelix@gmail.com</t>
  </si>
  <si>
    <t>900811194</t>
  </si>
  <si>
    <t>av mariano cornejo 255</t>
  </si>
  <si>
    <t>-6.75845478, -79.8509349</t>
  </si>
  <si>
    <t xml:space="preserve">calle tahuantisuyo </t>
  </si>
  <si>
    <t>LBLO026-F</t>
  </si>
  <si>
    <t>105993789</t>
  </si>
  <si>
    <t>89779366</t>
  </si>
  <si>
    <t>931947980</t>
  </si>
  <si>
    <t>41358740</t>
  </si>
  <si>
    <t>MARCO ANTONIO BANCES VERA</t>
  </si>
  <si>
    <t>vicente</t>
  </si>
  <si>
    <t>nelida</t>
  </si>
  <si>
    <t>mab_515@hotmail.com</t>
  </si>
  <si>
    <t>Mz 21 lt 06 A, CERCADO DE TUMAN, TUMAN</t>
  </si>
  <si>
    <t>-6.745852, -79.702554</t>
  </si>
  <si>
    <t>CERCA DE LA AV MICAELA BASTIDAS</t>
  </si>
  <si>
    <t>LBTU008-F</t>
  </si>
  <si>
    <t>TELEFONO RESTRIGIDO</t>
  </si>
  <si>
    <t>106439316</t>
  </si>
  <si>
    <t>90225956</t>
  </si>
  <si>
    <t>963758874</t>
  </si>
  <si>
    <t>01311168</t>
  </si>
  <si>
    <t>MARIA CARMELA DAVALOS ROJAS</t>
  </si>
  <si>
    <t>Wilber</t>
  </si>
  <si>
    <t>medcamu@hotmail.com</t>
  </si>
  <si>
    <t>PSJ 22 MZ X LT 2 URB PEDRO DIEZ CANSECO</t>
  </si>
  <si>
    <t>-16.4294884, -71.5272442</t>
  </si>
  <si>
    <t>al frente de Multimarket Rebeca</t>
  </si>
  <si>
    <t>AQBR040-S</t>
  </si>
  <si>
    <t>SOT DUPLICADO</t>
  </si>
  <si>
    <t>105977524</t>
  </si>
  <si>
    <t>89749734</t>
  </si>
  <si>
    <t>920571358</t>
  </si>
  <si>
    <t>40211979</t>
  </si>
  <si>
    <t>JESSICA DOMENICA QUISPE YNGA</t>
  </si>
  <si>
    <t>jessica4021quispe@GMAIL.COM</t>
  </si>
  <si>
    <t xml:space="preserve">PSJ PEDRO ROMERO 70  URB BARRIO ALONSO DE ALVARADO CHACHAPOYAS AMAZONAS </t>
  </si>
  <si>
    <t>-6.221045031-77.873401029</t>
  </si>
  <si>
    <t>AMCH013-F</t>
  </si>
  <si>
    <t>105994577</t>
  </si>
  <si>
    <t>89779842</t>
  </si>
  <si>
    <t>933141308</t>
  </si>
  <si>
    <t>29242933</t>
  </si>
  <si>
    <t>SANTUSA MACHACA MAMANI</t>
  </si>
  <si>
    <t>Emanuel</t>
  </si>
  <si>
    <t>Flora</t>
  </si>
  <si>
    <t>erom4501@gmail.com</t>
  </si>
  <si>
    <t xml:space="preserve">952817945 </t>
  </si>
  <si>
    <t>Calle Oroya 108 Urb. San Martín de Socabaya distrito Socabaya, Arequipa</t>
  </si>
  <si>
    <t>-16.441768773, -71.528098092</t>
  </si>
  <si>
    <t>Cerca de la Av. Socabaya</t>
  </si>
  <si>
    <t>AQSB026</t>
  </si>
  <si>
    <t>FACTIIBILIDAD TECNICA</t>
  </si>
  <si>
    <t>105881716</t>
  </si>
  <si>
    <t>89668886</t>
  </si>
  <si>
    <t>961385458</t>
  </si>
  <si>
    <t>19901508</t>
  </si>
  <si>
    <t>SOFIA CERRON HUAMAN</t>
  </si>
  <si>
    <t>Chupaca</t>
  </si>
  <si>
    <t xml:space="preserve">sofia_c1@hotmail.com </t>
  </si>
  <si>
    <t xml:space="preserve">961385458 </t>
  </si>
  <si>
    <t xml:space="preserve">calle progreso s/n prolongaciòn coronel aliaga </t>
  </si>
  <si>
    <t>-12.067459229417025, -75.29353938650141</t>
  </si>
  <si>
    <t xml:space="preserve"> </t>
  </si>
  <si>
    <t>JNCP006-F</t>
  </si>
  <si>
    <t>105989077</t>
  </si>
  <si>
    <t>89775765</t>
  </si>
  <si>
    <t>991374629</t>
  </si>
  <si>
    <t>47856571</t>
  </si>
  <si>
    <t>ELIZABETH MILUSKA GALVEZ PAREJA</t>
  </si>
  <si>
    <t xml:space="preserve"> HECTOR PERCY </t>
  </si>
  <si>
    <t xml:space="preserve">MILUSCA MERCEDES </t>
  </si>
  <si>
    <t>Oscargabrielmatenciogalvez@gmail.com</t>
  </si>
  <si>
    <t>Coronel Cano 171 CHORRILLOS</t>
  </si>
  <si>
    <t>-12.171345215495437, -77.02016265765906</t>
  </si>
  <si>
    <t xml:space="preserve">av pereyra </t>
  </si>
  <si>
    <t>LMCH083</t>
  </si>
  <si>
    <t>106352203</t>
  </si>
  <si>
    <t>90153121</t>
  </si>
  <si>
    <t>915150823</t>
  </si>
  <si>
    <t>70577251</t>
  </si>
  <si>
    <t>ZHILTSON MARIO CAPRISTANO ESPINOLA</t>
  </si>
  <si>
    <t>zhiltson90@hotmail.com</t>
  </si>
  <si>
    <t xml:space="preserve">915150823 </t>
  </si>
  <si>
    <t xml:space="preserve"> mz a lt 23 nuevo chimbote urb san diego</t>
  </si>
  <si>
    <t>-9.111501, -78.517981</t>
  </si>
  <si>
    <t>COSTADO DE ChikiPunch</t>
  </si>
  <si>
    <t>106289427</t>
  </si>
  <si>
    <t>90085360</t>
  </si>
  <si>
    <t>922042280</t>
  </si>
  <si>
    <t>70665501</t>
  </si>
  <si>
    <t>YARITZA KATHERINE SANCHEZ CHANTA</t>
  </si>
  <si>
    <t>RICARDO</t>
  </si>
  <si>
    <t>MARILU</t>
  </si>
  <si>
    <t>jruiz.opb@gmail.com</t>
  </si>
  <si>
    <t>971904717</t>
  </si>
  <si>
    <t>MZ D LT 4 Urb. Andres Araujo Moran</t>
  </si>
  <si>
    <t>-3.558219191969249, -80.43123681995692</t>
  </si>
  <si>
    <t>CL JORGE CHAVEZ</t>
  </si>
  <si>
    <t>TBTB043-F</t>
  </si>
  <si>
    <t>SERVICIO ACTIVO EN MISMA DIRECCION</t>
  </si>
  <si>
    <t>106135442</t>
  </si>
  <si>
    <t>89939928</t>
  </si>
  <si>
    <t>930381767</t>
  </si>
  <si>
    <t>43031187</t>
  </si>
  <si>
    <t>JOHN CARLO CHINCHA FLORES</t>
  </si>
  <si>
    <t>020501</t>
  </si>
  <si>
    <t>Casma</t>
  </si>
  <si>
    <t>JOHNCARLOCHINCHAFLORES034@GMAIL.COM</t>
  </si>
  <si>
    <t>URB NACIONES UNIDAS MZ G LT 14</t>
  </si>
  <si>
    <t>-9.473992858198871, -78.30238263328216</t>
  </si>
  <si>
    <t>ANCM006-F</t>
  </si>
  <si>
    <t>106032627</t>
  </si>
  <si>
    <t>89802877</t>
  </si>
  <si>
    <t>918981650</t>
  </si>
  <si>
    <t>27660207</t>
  </si>
  <si>
    <t>HERLINDA HOYOS GUERRERO</t>
  </si>
  <si>
    <t>EDELMIRA</t>
  </si>
  <si>
    <t>SAMYMIELRI@GMAIL.COM</t>
  </si>
  <si>
    <t>Av. Mesones muro 129, Jaén - CAJAMARCA.</t>
  </si>
  <si>
    <t>-5.71056788, -78.80661224</t>
  </si>
  <si>
    <t>al costado de CARSA</t>
  </si>
  <si>
    <t>CJJN020-F</t>
  </si>
  <si>
    <t>105831064</t>
  </si>
  <si>
    <t>89613209</t>
  </si>
  <si>
    <t>959835552</t>
  </si>
  <si>
    <t>30835474</t>
  </si>
  <si>
    <t>DORIS PACO JARAMILLO</t>
  </si>
  <si>
    <t>Islay</t>
  </si>
  <si>
    <t>lucas</t>
  </si>
  <si>
    <t>AUGUEZ757@GMAIL.COM</t>
  </si>
  <si>
    <t>CL FRANCISCO PIZARRO 100 con jonh kennedy 504 (esquina)</t>
  </si>
  <si>
    <t>-17.01950262246535, -72.00723764846867</t>
  </si>
  <si>
    <t>calle garcilazo de la vega</t>
  </si>
  <si>
    <t>AQMD007-F</t>
  </si>
  <si>
    <t>106436699</t>
  </si>
  <si>
    <t>90224975</t>
  </si>
  <si>
    <t>945671093</t>
  </si>
  <si>
    <t>41516186</t>
  </si>
  <si>
    <t xml:space="preserve">JOSE LUIS MIRANDA GARCIA  </t>
  </si>
  <si>
    <t>BEATRIZ</t>
  </si>
  <si>
    <t>sangrereal1901@hotmail.com</t>
  </si>
  <si>
    <t>AV JOSE CARLOS MARIATEGUI 2200</t>
  </si>
  <si>
    <t>-12.035814258333826, -76.99710064180239</t>
  </si>
  <si>
    <t xml:space="preserve">LAS GRAZAS </t>
  </si>
  <si>
    <t>LMAG028-F</t>
  </si>
  <si>
    <t>CL ADULTO MAYOR NO PUEDE VALIDAR SUS DATOS,RECHAZAN AUDIO.</t>
  </si>
  <si>
    <t>106033149</t>
  </si>
  <si>
    <t>89804067</t>
  </si>
  <si>
    <t>914937729</t>
  </si>
  <si>
    <t>947432065</t>
  </si>
  <si>
    <t>090701</t>
  </si>
  <si>
    <t>EMILIO</t>
  </si>
  <si>
    <t>ENCARNACION</t>
  </si>
  <si>
    <t>zaidacamac@gmail.com</t>
  </si>
  <si>
    <t>Av Melchor Gonzales 451 Urbanización Gonzales El Tambo</t>
  </si>
  <si>
    <t>-12.04813334, -75.22587573</t>
  </si>
  <si>
    <t>HYTB007-S</t>
  </si>
  <si>
    <t>106065069</t>
  </si>
  <si>
    <t>89860679</t>
  </si>
  <si>
    <t>979214588</t>
  </si>
  <si>
    <t>03644076</t>
  </si>
  <si>
    <t>VICTOR ANDRES MADRID FERNANDEZ</t>
  </si>
  <si>
    <t xml:space="preserve">nicolas </t>
  </si>
  <si>
    <t xml:space="preserve">norma </t>
  </si>
  <si>
    <t>victor1_madrid@hotmail.com</t>
  </si>
  <si>
    <t xml:space="preserve">979214588 </t>
  </si>
  <si>
    <t>puerto sol I mz q lt 2</t>
  </si>
  <si>
    <t>-6.80615917, -79.82648398</t>
  </si>
  <si>
    <t>refer. urigame</t>
  </si>
  <si>
    <t>CHI111-S</t>
  </si>
  <si>
    <t>FACILIDAD TECNICAS</t>
  </si>
  <si>
    <t>106026018</t>
  </si>
  <si>
    <t>89799381</t>
  </si>
  <si>
    <t>943673894</t>
  </si>
  <si>
    <t>07965457</t>
  </si>
  <si>
    <t xml:space="preserve"> BEATRIZ YAMASHIRO NAKASONE</t>
  </si>
  <si>
    <t>LIRA</t>
  </si>
  <si>
    <t>KEYKO_2003@HOTMAIL.COM</t>
  </si>
  <si>
    <t xml:space="preserve">943673894 </t>
  </si>
  <si>
    <t>CALLE MARTIN OVIEDO 319 URB. LA MAR</t>
  </si>
  <si>
    <t>-12.07581021, -77.07878568</t>
  </si>
  <si>
    <t>RESIDENCIAL UNIÓN</t>
  </si>
  <si>
    <t>LMPL003-S</t>
  </si>
  <si>
    <t>105879463</t>
  </si>
  <si>
    <t>89667802</t>
  </si>
  <si>
    <t>953762135</t>
  </si>
  <si>
    <t>29720720</t>
  </si>
  <si>
    <t>RAMIRO PEÑA CHENEAUX</t>
  </si>
  <si>
    <t>Ramiro</t>
  </si>
  <si>
    <t>Blanca</t>
  </si>
  <si>
    <t>ramiropeche@hotmail.com</t>
  </si>
  <si>
    <t>Urb. los narajos mz i lt 3, Jose Luis Bustamante y Rivero. Arequipa</t>
  </si>
  <si>
    <t>-16.42189968713847, -71.52667370068446</t>
  </si>
  <si>
    <t>Frente al edificio El Greco</t>
  </si>
  <si>
    <t>AQBR053-F</t>
  </si>
  <si>
    <t>SOLO DESEA FTTH</t>
  </si>
  <si>
    <t>106416748</t>
  </si>
  <si>
    <t>90211484</t>
  </si>
  <si>
    <t>983449248</t>
  </si>
  <si>
    <t>47604773</t>
  </si>
  <si>
    <t>MAYKEL MANUEL MERALDO CHALCO</t>
  </si>
  <si>
    <t>Mayk13@hotmail.com</t>
  </si>
  <si>
    <t>Jr Manuel Candamo 820 Lince ARTECO INMOBILIARIAS</t>
  </si>
  <si>
    <t>-12.08199, -77.028157</t>
  </si>
  <si>
    <t>106214329</t>
  </si>
  <si>
    <t>90012599</t>
  </si>
  <si>
    <t>945629988</t>
  </si>
  <si>
    <t>40088288</t>
  </si>
  <si>
    <t>MARTHA AMPARO  ARANA CUAYLA</t>
  </si>
  <si>
    <t>anparito27_7@hotmail.com</t>
  </si>
  <si>
    <t>MZ A LT 2 URB LOS CONDES</t>
  </si>
  <si>
    <t>-16.401280100357358, -71.55353818650669</t>
  </si>
  <si>
    <t>PARQUE EL OLIVAR</t>
  </si>
  <si>
    <t>AQYA024-F</t>
  </si>
  <si>
    <t>RED SATURADA</t>
  </si>
  <si>
    <t>106233315</t>
  </si>
  <si>
    <t>90029243</t>
  </si>
  <si>
    <t>984404980</t>
  </si>
  <si>
    <t>46691222</t>
  </si>
  <si>
    <t>CESAR ADOLFO TACO CAMARGO</t>
  </si>
  <si>
    <t>adolfo</t>
  </si>
  <si>
    <t>lorenza</t>
  </si>
  <si>
    <t>cesar.tacocamargo@gmail.com</t>
  </si>
  <si>
    <t>CL LOS ANGELES Mz A Lt 2 TORRE 1 Edificio: CONDOMINIO TERRAZAS DEL SOL - TORRE 1</t>
  </si>
  <si>
    <t>-12.021283, -76.974323</t>
  </si>
  <si>
    <t>delivery teacher  lima</t>
  </si>
  <si>
    <t>LMJL101-S</t>
  </si>
  <si>
    <t xml:space="preserve">saturado plano </t>
  </si>
  <si>
    <t>105963180</t>
  </si>
  <si>
    <t>89743648</t>
  </si>
  <si>
    <t>949429484</t>
  </si>
  <si>
    <t>44843480</t>
  </si>
  <si>
    <t>julio eduardo medina carlos</t>
  </si>
  <si>
    <t>genero</t>
  </si>
  <si>
    <t xml:space="preserve">maria </t>
  </si>
  <si>
    <t>antroucci@gmail.com</t>
  </si>
  <si>
    <t>jr miguel grau 2549 el tambo junin</t>
  </si>
  <si>
    <t>-12.04284883, -75.22264888</t>
  </si>
  <si>
    <t>pasaje tumbes</t>
  </si>
  <si>
    <t>JNTB009-F</t>
  </si>
  <si>
    <t>106267125</t>
  </si>
  <si>
    <t>90074391</t>
  </si>
  <si>
    <t>990161616</t>
  </si>
  <si>
    <t>02432842</t>
  </si>
  <si>
    <t>LEON PEREZ, WILLIAM ANTONIO</t>
  </si>
  <si>
    <t>leonperesw1808@gmail.com</t>
  </si>
  <si>
    <t>jiron guatemala 336 juliaca</t>
  </si>
  <si>
    <t>-15.511584721, -70.130276274</t>
  </si>
  <si>
    <t xml:space="preserve">las americas </t>
  </si>
  <si>
    <t>SRJL015-F</t>
  </si>
  <si>
    <t>106380207</t>
  </si>
  <si>
    <t>90173107</t>
  </si>
  <si>
    <t>950364201</t>
  </si>
  <si>
    <t>41968034</t>
  </si>
  <si>
    <t xml:space="preserve">HERNAN CHOQUECHAMBI CONDORI </t>
  </si>
  <si>
    <t>SEVERO</t>
  </si>
  <si>
    <t>DELFINA</t>
  </si>
  <si>
    <t>HERNANCHOQUECHAMBI@GMAIL.COM</t>
  </si>
  <si>
    <t>PSJ 1 DE ENERO MZ E1 LOTE 7 URB VILLA SAN JACINTO</t>
  </si>
  <si>
    <t>-15.497133256594648, -70.11633794658115</t>
  </si>
  <si>
    <t>PUJL072-F</t>
  </si>
  <si>
    <t>106234935</t>
  </si>
  <si>
    <t>90031557</t>
  </si>
  <si>
    <t>968990986</t>
  </si>
  <si>
    <t>10285579</t>
  </si>
  <si>
    <t>marco antonio BERECHE OBLITAS</t>
  </si>
  <si>
    <t>sonia</t>
  </si>
  <si>
    <t>mberecheo@gmail.com</t>
  </si>
  <si>
    <t>calle los halcones 655 / edifcio /  halcones II</t>
  </si>
  <si>
    <t>-12.102458, -77.019647</t>
  </si>
  <si>
    <t xml:space="preserve">entre cuadra 9 y 10 arramburu </t>
  </si>
  <si>
    <t>LMSQ159-F</t>
  </si>
  <si>
    <t>CORREO POR ACTUALIZACION DE ESTADO SOT</t>
  </si>
  <si>
    <t>106145356</t>
  </si>
  <si>
    <t>89947389</t>
  </si>
  <si>
    <t>940201873</t>
  </si>
  <si>
    <t>23998945</t>
  </si>
  <si>
    <t>BLANCO YUPANQUI, CARLOS DANIEL</t>
  </si>
  <si>
    <t>DANIEL</t>
  </si>
  <si>
    <t>charlyb135@hotmail.com</t>
  </si>
  <si>
    <t>av los incas 912</t>
  </si>
  <si>
    <t>-13.5237025, -71.96042617</t>
  </si>
  <si>
    <t xml:space="preserve">AV MICAELA BASTIDAS </t>
  </si>
  <si>
    <t>CZCZ035-S</t>
  </si>
  <si>
    <t xml:space="preserve">INCUMPLIMIENTO </t>
  </si>
  <si>
    <t>106280734</t>
  </si>
  <si>
    <t>90081178</t>
  </si>
  <si>
    <t>924273541</t>
  </si>
  <si>
    <t xml:space="preserve">70681873 </t>
  </si>
  <si>
    <t>HAROLD YOSSEF SILVA LLANOS</t>
  </si>
  <si>
    <t>ABIGAIL</t>
  </si>
  <si>
    <t>harold.silva.llanos@gmail.com</t>
  </si>
  <si>
    <t>LAS PALMERAS 113, SANTA ANITA</t>
  </si>
  <si>
    <t>-12.051295683190647, -76.97732406382006</t>
  </si>
  <si>
    <t>A la altura del puente azul</t>
  </si>
  <si>
    <t>NO CONTESTA PARA RECUPERAR</t>
  </si>
  <si>
    <t>106414031</t>
  </si>
  <si>
    <t>90208803</t>
  </si>
  <si>
    <t>953828952</t>
  </si>
  <si>
    <t>75198804</t>
  </si>
  <si>
    <t>JUAN DIEGO BANDA  VILLEGAS</t>
  </si>
  <si>
    <t>Juan Diego</t>
  </si>
  <si>
    <t>Jessica Elizabeth</t>
  </si>
  <si>
    <t>DieguitoBanda30@gmail.com</t>
  </si>
  <si>
    <t xml:space="preserve">CALLE CIRO ALEGRIA MZ F LOTE 15 URBANIZACIÓN	SAN JOAQUIN ICA  </t>
  </si>
  <si>
    <t>-14.05537702, -75.74620599</t>
  </si>
  <si>
    <t>ICAX080-F</t>
  </si>
  <si>
    <t>106415211</t>
  </si>
  <si>
    <t>90209697</t>
  </si>
  <si>
    <t>977610529</t>
  </si>
  <si>
    <t xml:space="preserve">76582183 </t>
  </si>
  <si>
    <t>YELITZA MARCELA RODRIGUEZ VALERIANO</t>
  </si>
  <si>
    <t>Talara</t>
  </si>
  <si>
    <t>MARIANA</t>
  </si>
  <si>
    <t>Yrodriguezvaleriano7@gmail.com</t>
  </si>
  <si>
    <t xml:space="preserve">977610529 </t>
  </si>
  <si>
    <t>938266877</t>
  </si>
  <si>
    <t>CALLE TUMBES 116, MANCORA, PIURA</t>
  </si>
  <si>
    <t>-4.10563801, -81.048533</t>
  </si>
  <si>
    <t>POR EL PARADERO DE LOS ORGANOS</t>
  </si>
  <si>
    <t>PIMA003-F</t>
  </si>
  <si>
    <t>CL NO CONTESTA,SE LE LLAMO PARA RECUPERAR</t>
  </si>
  <si>
    <t>106370164</t>
  </si>
  <si>
    <t>90167695</t>
  </si>
  <si>
    <t>997039750</t>
  </si>
  <si>
    <t>41065856</t>
  </si>
  <si>
    <t xml:space="preserve">FANNY VANESSA PONCE BERNABE </t>
  </si>
  <si>
    <t>vanessa_ponceb@hotmail.com</t>
  </si>
  <si>
    <t>calle hidra 111 ub naval</t>
  </si>
  <si>
    <t>-11.885071001856552, -77.12718536319146</t>
  </si>
  <si>
    <t xml:space="preserve">CALLE ESCORPION </t>
  </si>
  <si>
    <t>LMVT002-S</t>
  </si>
  <si>
    <t>YA CUENTA CON OTRO OPERADOR /CABLE</t>
  </si>
  <si>
    <t>106375831</t>
  </si>
  <si>
    <t>90170884</t>
  </si>
  <si>
    <t>955427578</t>
  </si>
  <si>
    <t>74231416</t>
  </si>
  <si>
    <t xml:space="preserve">JOSÉ ALONSO MONTALVÁN SUCSO </t>
  </si>
  <si>
    <t>SOLEDAD</t>
  </si>
  <si>
    <t>Josemonsu93@gmail.com</t>
  </si>
  <si>
    <t>calle 23 urb Villa municipal mz b lt8</t>
  </si>
  <si>
    <t>-18.022558343412975, -70.2455925616964</t>
  </si>
  <si>
    <t xml:space="preserve">villa municipal </t>
  </si>
  <si>
    <t>TCNA026-S</t>
  </si>
  <si>
    <t>NC PARA RECUPERAR</t>
  </si>
  <si>
    <t>106385960</t>
  </si>
  <si>
    <t>90176955</t>
  </si>
  <si>
    <t>910111827</t>
  </si>
  <si>
    <t>40634356</t>
  </si>
  <si>
    <t>ANGEL LICAS VEGA</t>
  </si>
  <si>
    <t>051012</t>
  </si>
  <si>
    <t>TEODOSIO</t>
  </si>
  <si>
    <t>FIDENCIA</t>
  </si>
  <si>
    <t>licasangel312@gmail.com</t>
  </si>
  <si>
    <t>CACERIO BALCONCITO S/N</t>
  </si>
  <si>
    <t>-13.412188633391402, -76.1412482841078</t>
  </si>
  <si>
    <t>CHCH012-F</t>
  </si>
  <si>
    <t>106287558</t>
  </si>
  <si>
    <t>90084330</t>
  </si>
  <si>
    <t>936285082</t>
  </si>
  <si>
    <t>41155690</t>
  </si>
  <si>
    <t>MILTON AGUILAR VILCA</t>
  </si>
  <si>
    <t>Eustaquio</t>
  </si>
  <si>
    <t>Epifania</t>
  </si>
  <si>
    <t>milton.blanca85@gmail.com</t>
  </si>
  <si>
    <t>958044250</t>
  </si>
  <si>
    <t xml:space="preserve">958044250 </t>
  </si>
  <si>
    <t>Av. Che Guevara MZ B LOTE 5 URB CIUDAD BLANCA Paucarpata arequipa</t>
  </si>
  <si>
    <t>-16.421449, -71.497803</t>
  </si>
  <si>
    <t>AQPP044</t>
  </si>
  <si>
    <t>INCUMPLIMIENTO/NO DESEA HFC/RESCATE COMERCIAL</t>
  </si>
  <si>
    <t>106314209</t>
  </si>
  <si>
    <t>90121496</t>
  </si>
  <si>
    <t>961779334</t>
  </si>
  <si>
    <t>10051719</t>
  </si>
  <si>
    <t>FREDDY WALTER PIÑAS HERRADA</t>
  </si>
  <si>
    <t>CELSO</t>
  </si>
  <si>
    <t>GRACIELA</t>
  </si>
  <si>
    <t>Freddymercuri98@gmail.com</t>
  </si>
  <si>
    <t>AV LAS GRULLAS 1105, SANTA ANITA</t>
  </si>
  <si>
    <t>-12.046878041106618, -76.96475688649107</t>
  </si>
  <si>
    <t>calle albatros</t>
  </si>
  <si>
    <t>LMSA018</t>
  </si>
  <si>
    <t>CL RECHAZA SIN MOTIVO</t>
  </si>
  <si>
    <t>106319846</t>
  </si>
  <si>
    <t>90124970</t>
  </si>
  <si>
    <t>959747974</t>
  </si>
  <si>
    <t>71229644</t>
  </si>
  <si>
    <t>GRACO ARIANO LINO FLORES SOTO</t>
  </si>
  <si>
    <t>LINO</t>
  </si>
  <si>
    <t>gracoflores16@gmail.com</t>
  </si>
  <si>
    <t>CALLE QUESADA 103 URB CERCADO DE YANAHUARA</t>
  </si>
  <si>
    <t>-16.39105917, -71.54223168</t>
  </si>
  <si>
    <t>AQYA003-S</t>
  </si>
  <si>
    <t>106073911</t>
  </si>
  <si>
    <t>89865879</t>
  </si>
  <si>
    <t>933019686</t>
  </si>
  <si>
    <t>006968953</t>
  </si>
  <si>
    <t>YUSMARY DEL CARMEN BASTIDAS GARCIA</t>
  </si>
  <si>
    <t>yusmarybastidas387@gmail.com</t>
  </si>
  <si>
    <t xml:space="preserve">JIRON VOLCAN MISTI MZ B 12 LT 56, CHORRILLOS </t>
  </si>
  <si>
    <t>B</t>
  </si>
  <si>
    <t>-12.198920598460072, -76.98903636870877</t>
  </si>
  <si>
    <t>AV CORDILLERA</t>
  </si>
  <si>
    <t>LMCH123-F</t>
  </si>
  <si>
    <t xml:space="preserve">cliente desiste, queria dos servicios, ahora solo mantiene 1 </t>
  </si>
  <si>
    <t>105976484</t>
  </si>
  <si>
    <t>89749258</t>
  </si>
  <si>
    <t>46811879</t>
  </si>
  <si>
    <t>ROCIO DEL PILAR ORIHUELA RAMOS</t>
  </si>
  <si>
    <t>ANA MARIA</t>
  </si>
  <si>
    <t>orihuelapilar2022@gmail.com</t>
  </si>
  <si>
    <t>945613404</t>
  </si>
  <si>
    <t xml:space="preserve">av rosemberg </t>
  </si>
  <si>
    <t>105948127</t>
  </si>
  <si>
    <t>89733389</t>
  </si>
  <si>
    <t>980759772</t>
  </si>
  <si>
    <t>74587583</t>
  </si>
  <si>
    <t>ATANACIO PIÑAS, ROMARIO ESLI</t>
  </si>
  <si>
    <t xml:space="preserve">ronaldoesli12@gmail.com </t>
  </si>
  <si>
    <t xml:space="preserve">980759772 </t>
  </si>
  <si>
    <t>urb los pinos mz b lt 01 amarilis_huanuco</t>
  </si>
  <si>
    <t>-9.914550189306711, -76.23239175095321</t>
  </si>
  <si>
    <t xml:space="preserve">av belaunde terry </t>
  </si>
  <si>
    <t>HCAM005-S</t>
  </si>
  <si>
    <t>CLIENTE QUERIA TV E INTERNET, NO QUIERE PAGAR MAS</t>
  </si>
  <si>
    <t>106208232</t>
  </si>
  <si>
    <t>90008619</t>
  </si>
  <si>
    <t>929121370</t>
  </si>
  <si>
    <t>40968704</t>
  </si>
  <si>
    <t xml:space="preserve">LIDIA PEÑALOZA CAMPOS </t>
  </si>
  <si>
    <t>BERNARDO</t>
  </si>
  <si>
    <t>GLADIS</t>
  </si>
  <si>
    <t>camposlidia225@gmail.com</t>
  </si>
  <si>
    <t xml:space="preserve">929121370 </t>
  </si>
  <si>
    <t>964580676</t>
  </si>
  <si>
    <t>CL UCV 199 lote 21 zona Q URB HUAYCAN</t>
  </si>
  <si>
    <t>-12.012383483963019, -76.81122049082418</t>
  </si>
  <si>
    <t>LMAT211-F</t>
  </si>
  <si>
    <t>SE LLAMO AL CL NO DESEA RETENIDO POR SU OPERADOR</t>
  </si>
  <si>
    <t>106409538</t>
  </si>
  <si>
    <t>90206297</t>
  </si>
  <si>
    <t>987094804</t>
  </si>
  <si>
    <t>74233410</t>
  </si>
  <si>
    <t>LORENA ESTEPHANY CANARIO PUELLES</t>
  </si>
  <si>
    <t>Nazario</t>
  </si>
  <si>
    <t>Arazely</t>
  </si>
  <si>
    <t>Stephanycanario.99@gmail.com</t>
  </si>
  <si>
    <t>CALLE LAS ACACIAS 197 URBANIZACIÓN	LAS GARDENIAS</t>
  </si>
  <si>
    <t>-10.746204609, -77.752106397</t>
  </si>
  <si>
    <t>LMBR010-F</t>
  </si>
  <si>
    <t>CL NO CONTESTA A LOS TECNICOS</t>
  </si>
  <si>
    <t>106338894</t>
  </si>
  <si>
    <t>90145463</t>
  </si>
  <si>
    <t>997303500</t>
  </si>
  <si>
    <t>45024252</t>
  </si>
  <si>
    <t>JONATHAN YAMPIERE   ESCOBEDO CONDORI</t>
  </si>
  <si>
    <t>MANOEL</t>
  </si>
  <si>
    <t>Inventifescobedo@gmail.com</t>
  </si>
  <si>
    <t xml:space="preserve">calle felicia moscoso 120 arequipa </t>
  </si>
  <si>
    <t>-16.40122506, -71.54861584</t>
  </si>
  <si>
    <t>calle moscoso</t>
  </si>
  <si>
    <t>AQAQ022-S</t>
  </si>
  <si>
    <t>RESCATE COMERCIAL</t>
  </si>
  <si>
    <t>106369637</t>
  </si>
  <si>
    <t>90167425</t>
  </si>
  <si>
    <t>974745273</t>
  </si>
  <si>
    <t>47956719</t>
  </si>
  <si>
    <t>DAFFI TANIA ARAUJO CARRILLO</t>
  </si>
  <si>
    <t>Leonardo</t>
  </si>
  <si>
    <t>TANIAARAUJOCARRILLO@GMAIL.COM</t>
  </si>
  <si>
    <t>CL CHAPARRAL 1 urb MARIANO NICOLAS VALCARCEL URASQUI CECOCHA</t>
  </si>
  <si>
    <t>-15.9809843507735, -73.1728061042184</t>
  </si>
  <si>
    <t>A UNAS CASAS AL COSTADO DE LA FARMACIA Biopharma</t>
  </si>
  <si>
    <t>AQMN002-F</t>
  </si>
  <si>
    <t>106424241</t>
  </si>
  <si>
    <t>90216735</t>
  </si>
  <si>
    <t>931427350</t>
  </si>
  <si>
    <t>73430989</t>
  </si>
  <si>
    <t>LUCY MEREDITH RODRIGUEZ VALDERRAMA</t>
  </si>
  <si>
    <t>ALFREDO ROMELIO</t>
  </si>
  <si>
    <t>JUANA UBALDINA</t>
  </si>
  <si>
    <t xml:space="preserve">lucy2rodval@gmail.com </t>
  </si>
  <si>
    <t xml:space="preserve">940448136 </t>
  </si>
  <si>
    <t>940448136</t>
  </si>
  <si>
    <t>CALLE ORQUIDEAS 233 URBANIZACIÓN LAS FLORES</t>
  </si>
  <si>
    <t>-8.12878108, -79.04434891</t>
  </si>
  <si>
    <t>TRLH025-S</t>
  </si>
  <si>
    <t>106435152</t>
  </si>
  <si>
    <t>90224162</t>
  </si>
  <si>
    <t>946099772</t>
  </si>
  <si>
    <t xml:space="preserve">45810615 </t>
  </si>
  <si>
    <t>ALVARO VYANNE ROJAS VELASQUEZ</t>
  </si>
  <si>
    <t>VIANNYE</t>
  </si>
  <si>
    <t>elizabeth</t>
  </si>
  <si>
    <t>mastermidas12345678@gmail.com</t>
  </si>
  <si>
    <t xml:space="preserve">946099772 </t>
  </si>
  <si>
    <t>jr loma umbrosa 1025 /URB RESIDENCIAL MONTERRICO</t>
  </si>
  <si>
    <t>-12.140684276, -76.981241466</t>
  </si>
  <si>
    <t>LMSC281-F</t>
  </si>
  <si>
    <t>CL NO CONTESTA/SERVICIO ACTIVO</t>
  </si>
  <si>
    <t>106300829</t>
  </si>
  <si>
    <t>90111995</t>
  </si>
  <si>
    <t>921271981</t>
  </si>
  <si>
    <t>74446993</t>
  </si>
  <si>
    <t>LETTICIA LISSET SALVATIERRA RODRIGUEZ</t>
  </si>
  <si>
    <t>yordin.11.birgo@gmail.com</t>
  </si>
  <si>
    <t>CALLE SAN PABLO 910</t>
  </si>
  <si>
    <t>-8.06648049, -79.05997195</t>
  </si>
  <si>
    <t>TRLE021</t>
  </si>
  <si>
    <t>CL NO CONTACTO</t>
  </si>
  <si>
    <t>106329739</t>
  </si>
  <si>
    <t>90138784</t>
  </si>
  <si>
    <t>918711108</t>
  </si>
  <si>
    <t>46079308</t>
  </si>
  <si>
    <t>YANETH SAGUA CHOQUEGONZA</t>
  </si>
  <si>
    <t>MERCEDEZ</t>
  </si>
  <si>
    <t>joter10@hotmail.com</t>
  </si>
  <si>
    <t>938154559</t>
  </si>
  <si>
    <t>ASOC JOSE CARLO MARIATEGUI MZ E LT 7</t>
  </si>
  <si>
    <t>-16.344476741380785, -71.54958247054114</t>
  </si>
  <si>
    <t>6 CUADRAS COMISARIA CASIMIRO CUADROS</t>
  </si>
  <si>
    <t>AQCA034-F</t>
  </si>
  <si>
    <t>INCUMPLIMIENTO DE 2  DIAS</t>
  </si>
  <si>
    <t>105965362</t>
  </si>
  <si>
    <t>89744403</t>
  </si>
  <si>
    <t>980431191</t>
  </si>
  <si>
    <t>41066758</t>
  </si>
  <si>
    <t>LIZ GIOVANA CASTILLO VILLARREAL</t>
  </si>
  <si>
    <t>lizicitacv@gmail.com</t>
  </si>
  <si>
    <t xml:space="preserve">51980431191 </t>
  </si>
  <si>
    <t>Jr.Rodolfo Beltrán 1165, LIMA</t>
  </si>
  <si>
    <t>-12.049171612202114, -77.05174663925548</t>
  </si>
  <si>
    <t xml:space="preserve">CERCA DEL JIRON ZORRITOS </t>
  </si>
  <si>
    <t>LMLM181-F</t>
  </si>
  <si>
    <t>CL SOLO PUEDE SABADOS Y DOMINGOS</t>
  </si>
  <si>
    <t>105934716</t>
  </si>
  <si>
    <t>89729915</t>
  </si>
  <si>
    <t>994723541</t>
  </si>
  <si>
    <t>29645610</t>
  </si>
  <si>
    <t>JULIO SAMUEL CARDENAS SOTO</t>
  </si>
  <si>
    <t>PASCUALA</t>
  </si>
  <si>
    <t>JULIO.SAML72@GMAIL.COM</t>
  </si>
  <si>
    <t>ubr santa rosa mz C lt 19 av camaná</t>
  </si>
  <si>
    <t>-16.629678, -72.710255</t>
  </si>
  <si>
    <t>al frente del parque Santa Rosa</t>
  </si>
  <si>
    <t>AQCM010-F</t>
  </si>
  <si>
    <t>105884075</t>
  </si>
  <si>
    <t>89670361</t>
  </si>
  <si>
    <t>998000508</t>
  </si>
  <si>
    <t>20614652927</t>
  </si>
  <si>
    <t>MENDEZ ARPITA, LEYDIYEN DIANA MADU</t>
  </si>
  <si>
    <t xml:space="preserve">ERNESTO </t>
  </si>
  <si>
    <t xml:space="preserve">floresercentropsicologico@gmail.com </t>
  </si>
  <si>
    <t xml:space="preserve">998000508 </t>
  </si>
  <si>
    <t>urb SIGLO XXI MZ B LT 31</t>
  </si>
  <si>
    <t>-17.653605949679445, -71.32881494542808</t>
  </si>
  <si>
    <t xml:space="preserve">av jose maldonado </t>
  </si>
  <si>
    <t>MQIL001-F</t>
  </si>
  <si>
    <t>106168673</t>
  </si>
  <si>
    <t>89967727</t>
  </si>
  <si>
    <t>924986624</t>
  </si>
  <si>
    <t>23979579</t>
  </si>
  <si>
    <t>BUSTAMANTE PARICOTO, BETSY ROXANA</t>
  </si>
  <si>
    <t>teresa</t>
  </si>
  <si>
    <t>bustamantebetsy49@gmail.com</t>
  </si>
  <si>
    <t>984057503</t>
  </si>
  <si>
    <t>MZ T LT 10 JIRON YAVERO</t>
  </si>
  <si>
    <t>-12.85438632000211, -72.69742323372068</t>
  </si>
  <si>
    <t>pichari</t>
  </si>
  <si>
    <t>CZSA001-F</t>
  </si>
  <si>
    <t>DEMORA EN LA INSTALACION</t>
  </si>
  <si>
    <t>105963964</t>
  </si>
  <si>
    <t>89743873</t>
  </si>
  <si>
    <t>44809874</t>
  </si>
  <si>
    <t>JOSUE JOSE LUQUE VELAZCO</t>
  </si>
  <si>
    <t>irma</t>
  </si>
  <si>
    <t>josueluque1987@gmail.com</t>
  </si>
  <si>
    <t>edifico lasso - san luis</t>
  </si>
  <si>
    <t>-12.074729, -76.996254</t>
  </si>
  <si>
    <t>LMSL024-F</t>
  </si>
  <si>
    <t>CL SOLO PODIA EL DIA 12</t>
  </si>
  <si>
    <t>106127287</t>
  </si>
  <si>
    <t>89934954</t>
  </si>
  <si>
    <t>981810682</t>
  </si>
  <si>
    <t>41686398</t>
  </si>
  <si>
    <t>MARIA ELIZABETH MAMANI ALE</t>
  </si>
  <si>
    <t>Felicitas</t>
  </si>
  <si>
    <t>marializ201783@gmail.com</t>
  </si>
  <si>
    <t xml:space="preserve">981810682 </t>
  </si>
  <si>
    <t>Av varelata 405, urb vigil</t>
  </si>
  <si>
    <t xml:space="preserve"> -18.005645, -70.246585</t>
  </si>
  <si>
    <t>Cerca del Ovalo Tacna</t>
  </si>
  <si>
    <t xml:space="preserve"> TCNA003-S</t>
  </si>
  <si>
    <t>CL FUERA DE PLANO</t>
  </si>
  <si>
    <t>106145985</t>
  </si>
  <si>
    <t>89947543</t>
  </si>
  <si>
    <t>903051967</t>
  </si>
  <si>
    <t>46097627</t>
  </si>
  <si>
    <t>REYNA YARESI MACEDO</t>
  </si>
  <si>
    <t>Pablo</t>
  </si>
  <si>
    <t>Andrea</t>
  </si>
  <si>
    <t>yarelimacedoreyna@gmail.com</t>
  </si>
  <si>
    <t>CL JULIACA 2169</t>
  </si>
  <si>
    <t>-15.828678991, -70.033954813</t>
  </si>
  <si>
    <t>entre cl yanamayo y av juliaca</t>
  </si>
  <si>
    <t>PUPU089-F</t>
  </si>
  <si>
    <t>PLANO ERRADO</t>
  </si>
  <si>
    <t>105898495</t>
  </si>
  <si>
    <t>89700702</t>
  </si>
  <si>
    <t>996462306</t>
  </si>
  <si>
    <t>70356158</t>
  </si>
  <si>
    <t>YURI RENZO LINDO COSME</t>
  </si>
  <si>
    <t>GILVER</t>
  </si>
  <si>
    <t>ESTHER</t>
  </si>
  <si>
    <t>RENZOLICO_17@HOTMAIL.COM</t>
  </si>
  <si>
    <t xml:space="preserve">calle delgrado 188 urb los portales del javier prado </t>
  </si>
  <si>
    <t>-12.0403145, -76.923503563</t>
  </si>
  <si>
    <t>90077018</t>
  </si>
  <si>
    <t>963309430</t>
  </si>
  <si>
    <t xml:space="preserve">00839129 </t>
  </si>
  <si>
    <t>WELINTON TORRES VALLES</t>
  </si>
  <si>
    <t>PAQUITA</t>
  </si>
  <si>
    <t>chriss72841967@gmail.com</t>
  </si>
  <si>
    <t>PROLONGACION AV GRAU S/N CAR BAÑOS TERMALES</t>
  </si>
  <si>
    <t>-6.049352587192085, -76.97152781401974</t>
  </si>
  <si>
    <t>CERCA AL OVALO LA ÓRQUIDEA</t>
  </si>
  <si>
    <t>SMMY022-F</t>
  </si>
  <si>
    <t xml:space="preserve"> 106434116</t>
  </si>
  <si>
    <t>90223609</t>
  </si>
  <si>
    <t>930519630</t>
  </si>
  <si>
    <t>42975286</t>
  </si>
  <si>
    <t>SANIER ZENEN GOMEZ YNFANTES</t>
  </si>
  <si>
    <t>NARCIZA</t>
  </si>
  <si>
    <t>sanier.zgy@gmail.com</t>
  </si>
  <si>
    <t xml:space="preserve">930519630 </t>
  </si>
  <si>
    <t>Pje. Husares de Junín Mz 14 Lt 3D</t>
  </si>
  <si>
    <t>-8.078303, -79.028775</t>
  </si>
  <si>
    <t>CRUCE DE 30 DE MAYO CON PASAJE Husares de Junín</t>
  </si>
  <si>
    <t xml:space="preserve"> LLEP021-F</t>
  </si>
  <si>
    <t>981908707</t>
  </si>
  <si>
    <t>02626330</t>
  </si>
  <si>
    <t>EFREN BAYONA VITE</t>
  </si>
  <si>
    <t>JOSE TOMAS</t>
  </si>
  <si>
    <t>ANGELA</t>
  </si>
  <si>
    <t>efrafish1965@gmail.com</t>
  </si>
  <si>
    <t>Av. Justino Ramirez Mz A Lote 15, URB MICAELA BASTIDAS</t>
  </si>
  <si>
    <t>-5.177362165974203, -80.67261029086308</t>
  </si>
  <si>
    <t>CERCA DE LA AV SANCHEZ CARRION</t>
  </si>
  <si>
    <t>PIUR153</t>
  </si>
  <si>
    <t>NO CALIFICA A 2PLAY</t>
  </si>
  <si>
    <t>949664393</t>
  </si>
  <si>
    <t>10423802486</t>
  </si>
  <si>
    <t>GUILLERMO HELADIO SANTIAGO LEON</t>
  </si>
  <si>
    <t>Guillermo</t>
  </si>
  <si>
    <t>Sofía</t>
  </si>
  <si>
    <t>santiagoleonguillermo@gmail.com</t>
  </si>
  <si>
    <t>PASAJE MACOCAPAC URB LA LIBERTAD  MZ QK LT 7 (COMAS, LIMA, LIMA)</t>
  </si>
  <si>
    <t>-11.9619681323563,-77.0433475479229</t>
  </si>
  <si>
    <t>LMCO131-S</t>
  </si>
  <si>
    <t>NO CALIFICA 2PLAY</t>
  </si>
  <si>
    <t>969724448</t>
  </si>
  <si>
    <t>40638268</t>
  </si>
  <si>
    <t>MIGUEL ANGEL ORRILLO CHUEZ</t>
  </si>
  <si>
    <t>JUAN RAMON</t>
  </si>
  <si>
    <t>miguelorrillomoc@gmail.com</t>
  </si>
  <si>
    <t>CALLE ALFREDO MALDONADO 3072, SAN MARTIN DE PORRES</t>
  </si>
  <si>
    <t>-12.02814471688086, -77.07757746256385</t>
  </si>
  <si>
    <t>CERCA DE LA AV UNIVERSITARIA CON LA AV LIMA</t>
  </si>
  <si>
    <t>LMMP048-S</t>
  </si>
  <si>
    <t>NO PROCEDE SERVICIO ACTIVO</t>
  </si>
  <si>
    <t>956882045</t>
  </si>
  <si>
    <t xml:space="preserve">41961406 </t>
  </si>
  <si>
    <t>HENRY OMAR REYES CORTEZ</t>
  </si>
  <si>
    <t>hreyes.cortez@gmail.com</t>
  </si>
  <si>
    <t xml:space="preserve">956882045 </t>
  </si>
  <si>
    <t>MZ KD LT 12, URB. SANTA MARGARITA, VEINTISEIS DE OCTUBRE, PIURA</t>
  </si>
  <si>
    <t>-5.165809904627983, -80.66121615517446</t>
  </si>
  <si>
    <t>PARQUE SANTA MARGARITA</t>
  </si>
  <si>
    <t>PIUR126</t>
  </si>
  <si>
    <t>duplicada</t>
  </si>
  <si>
    <t>Eugenio</t>
  </si>
  <si>
    <t>María</t>
  </si>
  <si>
    <t>CASO PARAMETROS,A LA ESPERA</t>
  </si>
  <si>
    <t>31673863</t>
  </si>
  <si>
    <t>LIBBA HIPOLITA QUIROZ LAGUNA</t>
  </si>
  <si>
    <t>LINDOSO</t>
  </si>
  <si>
    <t>ALIDA</t>
  </si>
  <si>
    <t>LIBAQUIROZ@YAHOO.COM</t>
  </si>
  <si>
    <t>CL INDEPENDENCIA 543 URB CERCADO DE HUANUCO</t>
  </si>
  <si>
    <t>-9.93062471, -76.24783581</t>
  </si>
  <si>
    <t>CERCA AL cetpro citep'smas</t>
  </si>
  <si>
    <t>HCHC005-S</t>
  </si>
  <si>
    <t>NO TIENE COBERTURA</t>
  </si>
  <si>
    <t>106062515</t>
  </si>
  <si>
    <t>936730943</t>
  </si>
  <si>
    <t>40515131</t>
  </si>
  <si>
    <t>SALINAS CARRANZA, LUIS ENRIQUE</t>
  </si>
  <si>
    <t>salinascarranzaluisenrique@gmailcom</t>
  </si>
  <si>
    <t xml:space="preserve"> MZ D lote 1 URB 3 COMPUERTAS DE CAJA DE AGUA</t>
  </si>
  <si>
    <t>-12.023686, -77.017843</t>
  </si>
  <si>
    <t>pisco</t>
  </si>
  <si>
    <t>LMJL203-F</t>
  </si>
  <si>
    <t>SIN COBERTURA</t>
  </si>
  <si>
    <t>901623050</t>
  </si>
  <si>
    <t>75460249</t>
  </si>
  <si>
    <t>RAMOS VEGA, MEL</t>
  </si>
  <si>
    <t>mellramosvega@gmail.com</t>
  </si>
  <si>
    <t>941620536</t>
  </si>
  <si>
    <t>910747601</t>
  </si>
  <si>
    <t>URB JUAN BAUTISTA ETAPA 1 MZD LT 06</t>
  </si>
  <si>
    <t>-11.915450414,-77.041270335</t>
  </si>
  <si>
    <t>LMCO057-S</t>
  </si>
  <si>
    <t>106307213</t>
  </si>
  <si>
    <t>90117104</t>
  </si>
  <si>
    <t>991409786</t>
  </si>
  <si>
    <t>09596998</t>
  </si>
  <si>
    <t>ANGEL RUBEN TAQUIRE OVIEDO</t>
  </si>
  <si>
    <t xml:space="preserve">JOSE </t>
  </si>
  <si>
    <t>BENILDA</t>
  </si>
  <si>
    <t>ANGELRUBENTAQUIREOVIEDO@gmail.com</t>
  </si>
  <si>
    <t>urb valle hermoso mz b lt 2</t>
  </si>
  <si>
    <t>-13.066301, -76.353345</t>
  </si>
  <si>
    <t>Atras de Hospedaje Las Dunas Cañete</t>
  </si>
  <si>
    <t>LMCN014-F</t>
  </si>
  <si>
    <t>CL SE ARREPIENTE DE COMPRA</t>
  </si>
  <si>
    <t>984994477</t>
  </si>
  <si>
    <t>73890242</t>
  </si>
  <si>
    <t>DIANA LUCERO SOTA SAAVEDRA</t>
  </si>
  <si>
    <t>Santiago</t>
  </si>
  <si>
    <t>Valentina</t>
  </si>
  <si>
    <t>darioninan@gmail.com</t>
  </si>
  <si>
    <t>Urbanización los nogales MZ H LT 10</t>
  </si>
  <si>
    <t>-13.540039, -71.935963</t>
  </si>
  <si>
    <t>ABARROTES LOS NOGALES</t>
  </si>
  <si>
    <t>CZSS021-S</t>
  </si>
  <si>
    <t>SOT DE OTRO PDV</t>
  </si>
  <si>
    <t>921997299</t>
  </si>
  <si>
    <t>18227055</t>
  </si>
  <si>
    <t>JOSE LUIS BAUTISTA RODRIGUEZ</t>
  </si>
  <si>
    <t>JUAN ISIDRO</t>
  </si>
  <si>
    <t>ELICIA</t>
  </si>
  <si>
    <t>JLLUIS2@HOTMAIL.COM</t>
  </si>
  <si>
    <t>BERNARDO PUMALLI 512, EL PORVENIR TRUJILLO, LA LIBERTAD</t>
  </si>
  <si>
    <t>-8.07588633, -79.002116375</t>
  </si>
  <si>
    <t>AV. HIPOLITO UNANUE</t>
  </si>
  <si>
    <t>LLEP010-F</t>
  </si>
  <si>
    <t>PAGO DE INSTALACION</t>
  </si>
  <si>
    <t>105965715</t>
  </si>
  <si>
    <t>916669331</t>
  </si>
  <si>
    <t>75898838</t>
  </si>
  <si>
    <t>YOSHIMAR MARTIN MAMANI NINA</t>
  </si>
  <si>
    <t>Nicolas</t>
  </si>
  <si>
    <t>Berta</t>
  </si>
  <si>
    <t>YOSHIMARmmn2@gmail.com</t>
  </si>
  <si>
    <t>asoc cesar vallejo mz d lt 16</t>
  </si>
  <si>
    <t>-17.2020065, -70.955711286</t>
  </si>
  <si>
    <t>a la espalda de la Asoc. Viv. Los Pantanos</t>
  </si>
  <si>
    <t>MQMN041-F</t>
  </si>
  <si>
    <t>AUTORIZACION DE VENTA</t>
  </si>
  <si>
    <t>105975264</t>
  </si>
  <si>
    <t>937498709</t>
  </si>
  <si>
    <t>08059142</t>
  </si>
  <si>
    <t>DANIEL RAUL OSORIO ZEGARRA</t>
  </si>
  <si>
    <t>RAULOSORIO1964@GMAIL.COM</t>
  </si>
  <si>
    <t>JR VIRU 269, RIMAC</t>
  </si>
  <si>
    <t>-12.040786, -77.030988</t>
  </si>
  <si>
    <t>JR. AYABACA</t>
  </si>
  <si>
    <t>LMRC054-F</t>
  </si>
  <si>
    <t>CON SOT EN EJECUCION</t>
  </si>
  <si>
    <t>945372097</t>
  </si>
  <si>
    <t>40857656</t>
  </si>
  <si>
    <t>JENNY YANETH MATAMOROS DE LA CRUZ</t>
  </si>
  <si>
    <t>VENEDICTA</t>
  </si>
  <si>
    <t>Jennymatamorosdelacruz@gmail.com</t>
  </si>
  <si>
    <t>PROLONGACION PARINACOCHAS 557, LA VICTORIA</t>
  </si>
  <si>
    <t>-12.063790725681374,. -77.0175309408455</t>
  </si>
  <si>
    <t>A LA ESPALDA DEL PARQUE EL PROVENIR</t>
  </si>
  <si>
    <t>LMLV142-F</t>
  </si>
  <si>
    <t>VELOCIDAD INCORRECTA MAX 300 SE LE VENDIO 400</t>
  </si>
  <si>
    <t>974311038</t>
  </si>
  <si>
    <t>40679815</t>
  </si>
  <si>
    <t>ALFREDO OMAR SALAS PORTUGAL</t>
  </si>
  <si>
    <t>Prudencio</t>
  </si>
  <si>
    <t>Dori</t>
  </si>
  <si>
    <t>Omarbayo_20@hotmail.com</t>
  </si>
  <si>
    <t>Urb Quinta Victoria B-16 int4 Tingo Urb Quinta Victoria B-16 int4 Tingo URB MORRO DE ARICA</t>
  </si>
  <si>
    <t>-16.433379885236224, -71.56345501263823</t>
  </si>
  <si>
    <t>al costado de QUANTA SERVICE SAC</t>
  </si>
  <si>
    <t>AQHU011</t>
  </si>
  <si>
    <t>926146440</t>
  </si>
  <si>
    <t>10476372912</t>
  </si>
  <si>
    <t>GRIMALDO LLANOS VALDIVIA</t>
  </si>
  <si>
    <t>060105</t>
  </si>
  <si>
    <t>Gabriel</t>
  </si>
  <si>
    <t>Grimaldollv@gmail.com</t>
  </si>
  <si>
    <t xml:space="preserve"> AV AVIACION 290 POBLADO COLUMBO</t>
  </si>
  <si>
    <t>-7.14564722, -78.50266844</t>
  </si>
  <si>
    <t>ESQUINA ENTRE AV AVIACION Y CL LOS ALMENDROS</t>
  </si>
  <si>
    <t>CJCJ076-F</t>
  </si>
  <si>
    <t>DNI ERRONEO ,NO PROCEDE</t>
  </si>
  <si>
    <t>925791879</t>
  </si>
  <si>
    <t>46496865</t>
  </si>
  <si>
    <t>René Aduviri Banegas</t>
  </si>
  <si>
    <t>renixab@gmail.com</t>
  </si>
  <si>
    <t>CL JACINTO SANTA CRUZ MZ 542 LT 21 ASOC PASEO DE LOS HEROES</t>
  </si>
  <si>
    <t xml:space="preserve"> -18.060918032897064, -70.25284320416702</t>
  </si>
  <si>
    <t>unas casas al costado de la lavandería SUPER CLEAN</t>
  </si>
  <si>
    <t>TCGA004-F</t>
  </si>
  <si>
    <t>955890854</t>
  </si>
  <si>
    <t>17903678</t>
  </si>
  <si>
    <t>JOSE MIGUEL GALVEZ PEREZ</t>
  </si>
  <si>
    <t>060601</t>
  </si>
  <si>
    <t>Cutervo</t>
  </si>
  <si>
    <t>Antonio</t>
  </si>
  <si>
    <t>archigp1@gmail.com</t>
  </si>
  <si>
    <t xml:space="preserve">955890854 </t>
  </si>
  <si>
    <t>JR AMERICA 179 BA EL COMBO</t>
  </si>
  <si>
    <t xml:space="preserve"> -6.376041298, -78.819604621</t>
  </si>
  <si>
    <t>Entre av la asuncion y av america</t>
  </si>
  <si>
    <t>CJCV005-F</t>
  </si>
  <si>
    <t>988750826</t>
  </si>
  <si>
    <t>42539984</t>
  </si>
  <si>
    <t>MARCO ANTONIO GALVEZ LOAYZA</t>
  </si>
  <si>
    <t>JOSE ANTONIO</t>
  </si>
  <si>
    <t>VIRGINIA</t>
  </si>
  <si>
    <t>Marco1792001@gmail.com</t>
  </si>
  <si>
    <t xml:space="preserve"> Avenida costanera 2590 san. Miguel URB MIRAMAR EDIFICIO COSTANERA 25 </t>
  </si>
  <si>
    <t>-12.080636, -77.107424</t>
  </si>
  <si>
    <t>LMSM072</t>
  </si>
  <si>
    <t>947628274</t>
  </si>
  <si>
    <t>75558866</t>
  </si>
  <si>
    <t>ASTRID COLLAZOS FERNANDEZ</t>
  </si>
  <si>
    <t>Jhon</t>
  </si>
  <si>
    <t>Fani</t>
  </si>
  <si>
    <t xml:space="preserve">ASTRIDCOLLAZOSF@GMAIL.COM </t>
  </si>
  <si>
    <t>CL MIGUEL ORTIZ 242 URB VILLA SOL ET.4</t>
  </si>
  <si>
    <t>-11.968564087, -77.074288068</t>
  </si>
  <si>
    <t>AL FRENTE DE LA Panadería maspan</t>
  </si>
  <si>
    <t>LMLO067-S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</si>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</sst>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/M/yyyy H:mm:ss"/>
    <numFmt numFmtId="166" formatCode="d/MM/yyyy H:mm:ss"/>
    <numFmt numFmtId="167" formatCode="d/MM/yyyy"/>
    <numFmt numFmtId="168" formatCode="d/M/yyyy"/>
    <numFmt numFmtId="169" formatCode="[$S/.]#,##0.00"/>
    <numFmt numFmtId="170" formatCode="yyyy-mm-dd"/>
  </numFmts>
  <fonts count="33">
    <font>
      <sz val="10.0"/>
      <color rgb="FF000000"/>
      <name val="Arial"/>
      <scheme val="minor"/>
    </font>
    <font>
      <color theme="1"/>
      <name val="Google Sans"/>
    </font>
    <font>
      <sz val="12.0"/>
      <color rgb="FF660000"/>
      <name val="Google Sans"/>
    </font>
    <font/>
    <font>
      <b/>
      <sz val="15.0"/>
      <color rgb="FFFFFFFF"/>
      <name val="Google Sans"/>
    </font>
    <font>
      <b/>
      <sz val="20.0"/>
      <color theme="1"/>
      <name val="Google Sans"/>
    </font>
    <font>
      <b/>
      <color rgb="FFFFFFFF"/>
      <name val="Google Sans"/>
    </font>
    <font>
      <b/>
      <sz val="9.0"/>
      <color theme="1"/>
      <name val="Nunito"/>
    </font>
    <font>
      <color rgb="FFFFFFFF"/>
      <name val="Google Sans"/>
    </font>
    <font>
      <b/>
      <sz val="17.0"/>
      <color rgb="FF0B5394"/>
      <name val="Google Sans"/>
    </font>
    <font>
      <b/>
      <color theme="1"/>
      <name val="Google Sans"/>
    </font>
    <font>
      <b/>
      <sz val="11.0"/>
      <color rgb="FFFFFFFF"/>
      <name val="Google Sans"/>
    </font>
    <font>
      <b/>
      <sz val="8.0"/>
      <color theme="1"/>
      <name val="Nunito"/>
    </font>
    <font>
      <b/>
      <sz val="20.0"/>
      <color rgb="FF660000"/>
      <name val="Google Sans"/>
    </font>
    <font>
      <b/>
      <color rgb="FF073763"/>
      <name val="Google Sans"/>
    </font>
    <font>
      <b/>
      <sz val="9.0"/>
      <color theme="1"/>
      <name val="Google Sans"/>
    </font>
    <font>
      <color theme="1"/>
      <name val="Arial"/>
      <scheme val="minor"/>
    </font>
    <font>
      <sz val="9.0"/>
      <color theme="1"/>
      <name val="Nunito"/>
    </font>
    <font>
      <b/>
      <sz val="9.0"/>
      <color rgb="FFFFFFFF"/>
      <name val="Google Sans"/>
    </font>
    <font>
      <b/>
      <sz val="10.0"/>
      <color rgb="FFFFFFFF"/>
      <name val="Google Sans"/>
    </font>
    <font>
      <sz val="8.0"/>
      <color theme="1"/>
      <name val="Google Sans"/>
    </font>
    <font>
      <sz val="8.0"/>
      <color rgb="FFFF6D01"/>
      <name val="Google Sans"/>
    </font>
    <font>
      <sz val="9.0"/>
      <color theme="1"/>
      <name val="Google Sans"/>
    </font>
    <font>
      <sz val="8.0"/>
      <color theme="1"/>
      <name val="Arial"/>
      <scheme val="minor"/>
    </font>
    <font>
      <b/>
      <sz val="13.0"/>
      <color rgb="FFFFFFFF"/>
      <name val="Google Sans"/>
    </font>
    <font>
      <b/>
      <sz val="17.0"/>
      <color rgb="FF073763"/>
      <name val="Google Sans"/>
    </font>
    <font>
      <b/>
      <sz val="8.0"/>
      <color rgb="FFFFFFFF"/>
      <name val="Google Sans"/>
    </font>
    <font>
      <color theme="1"/>
      <name val="Arial"/>
    </font>
    <font>
      <b/>
      <sz val="8.0"/>
      <color theme="1"/>
      <name val="Google Sans"/>
    </font>
    <font>
      <b/>
      <sz val="8.0"/>
      <color rgb="FF351C75"/>
      <name val="Google Sans"/>
    </font>
    <font>
      <b/>
      <sz val="8.0"/>
      <color rgb="FFFF0000"/>
      <name val="Google Sans"/>
    </font>
    <font>
      <b/>
      <sz val="8.0"/>
      <color rgb="FF0000FF"/>
      <name val="Google Sans"/>
    </font>
    <font>
      <u/>
      <sz val="8.0"/>
      <color rgb="FF0000FF"/>
      <name val="Google Sans"/>
    </font>
  </fonts>
  <fills count="1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hair">
        <color rgb="FFD9D9D9"/>
      </right>
      <top style="thin">
        <color rgb="FFFFFFFF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thin">
        <color rgb="FFFFFFFF"/>
      </top>
      <bottom style="hair">
        <color rgb="FFD9D9D9"/>
      </bottom>
    </border>
    <border>
      <left style="hair">
        <color rgb="FFD9D9D9"/>
      </left>
      <right style="thin">
        <color rgb="FFFFFFFF"/>
      </right>
      <top style="thin">
        <color rgb="FFFFFFFF"/>
      </top>
      <bottom style="hair">
        <color rgb="FFD9D9D9"/>
      </bottom>
    </border>
    <border>
      <left style="thin">
        <color rgb="FFFFFFFF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FFFFFF"/>
      </right>
      <top style="hair">
        <color rgb="FFD9D9D9"/>
      </top>
      <bottom style="hair">
        <color rgb="FFD9D9D9"/>
      </bottom>
    </border>
    <border>
      <right style="hair">
        <color rgb="FFD9D9D9"/>
      </righ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left" readingOrder="0" vertical="bottom"/>
    </xf>
    <xf borderId="3" fillId="0" fontId="3" numFmtId="0" xfId="0" applyBorder="1" applyFont="1"/>
    <xf borderId="4" fillId="2" fontId="4" numFmtId="0" xfId="0" applyAlignment="1" applyBorder="1" applyFill="1" applyFont="1">
      <alignment horizontal="right" readingOrder="0" vertical="center"/>
    </xf>
    <xf borderId="5" fillId="0" fontId="5" numFmtId="0" xfId="0" applyAlignment="1" applyBorder="1" applyFont="1">
      <alignment horizontal="left"/>
    </xf>
    <xf borderId="6" fillId="0" fontId="3" numFmtId="0" xfId="0" applyBorder="1" applyFont="1"/>
    <xf borderId="2" fillId="3" fontId="6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/>
    </xf>
    <xf borderId="2" fillId="3" fontId="8" numFmtId="0" xfId="0" applyAlignment="1" applyBorder="1" applyFill="1" applyFont="1">
      <alignment horizontal="center" readingOrder="0"/>
    </xf>
    <xf borderId="7" fillId="0" fontId="3" numFmtId="0" xfId="0" applyBorder="1" applyFont="1"/>
    <xf borderId="5" fillId="0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readingOrder="0" shrinkToFit="0" vertical="center" wrapText="1"/>
    </xf>
    <xf borderId="5" fillId="3" fontId="8" numFmtId="0" xfId="0" applyAlignment="1" applyBorder="1" applyFill="1" applyFont="1">
      <alignment horizontal="center" readingOrder="0" vertical="center"/>
    </xf>
    <xf borderId="2" fillId="2" fontId="1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vertical="center"/>
    </xf>
    <xf borderId="0" fillId="0" fontId="10" numFmtId="0" xfId="0" applyAlignment="1" applyFont="1">
      <alignment horizontal="righ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4" fillId="0" fontId="13" numFmtId="14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right"/>
    </xf>
    <xf borderId="1" fillId="4" fontId="8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8" numFmtId="0" xfId="0" applyBorder="1" applyFill="1" applyFont="1"/>
    <xf borderId="1" fillId="7" fontId="6" numFmtId="0" xfId="0" applyAlignment="1" applyBorder="1" applyFill="1" applyFont="1">
      <alignment horizontal="center" readingOrder="0" vertical="center"/>
    </xf>
    <xf borderId="1" fillId="0" fontId="1" numFmtId="10" xfId="0" applyBorder="1" applyFont="1" applyNumberFormat="1"/>
    <xf borderId="1" fillId="0" fontId="14" numFmtId="0" xfId="0" applyAlignment="1" applyBorder="1" applyFont="1">
      <alignment horizontal="center" vertical="center"/>
    </xf>
    <xf borderId="1" fillId="8" fontId="15" numFmtId="0" xfId="0" applyAlignment="1" applyBorder="1" applyFill="1" applyFont="1">
      <alignment horizontal="left" readingOrder="0"/>
    </xf>
    <xf borderId="1" fillId="8" fontId="10" numFmtId="0" xfId="0" applyAlignment="1" applyBorder="1" applyFill="1" applyFont="1">
      <alignment horizontal="left"/>
    </xf>
    <xf borderId="1" fillId="0" fontId="16" numFmtId="0" xfId="0" applyBorder="1" applyFont="1"/>
    <xf borderId="0" fillId="0" fontId="1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1" fillId="9" fontId="15" numFmtId="0" xfId="0" applyAlignment="1" applyBorder="1" applyFill="1" applyFont="1">
      <alignment horizontal="left" readingOrder="0"/>
    </xf>
    <xf borderId="0" fillId="0" fontId="7" numFmtId="0" xfId="0" applyAlignment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horizontal="left"/>
    </xf>
    <xf borderId="1" fillId="10" fontId="18" numFmtId="0" xfId="0" applyAlignment="1" applyBorder="1" applyFill="1" applyFont="1">
      <alignment horizontal="left" readingOrder="0"/>
    </xf>
    <xf borderId="1" fillId="11" fontId="19" numFmtId="0" xfId="0" applyAlignment="1" applyBorder="1" applyFill="1" applyFont="1">
      <alignment horizontal="center" shrinkToFit="0" vertical="bottom" wrapText="1"/>
    </xf>
    <xf borderId="1" fillId="10" fontId="6" numFmtId="10" xfId="0" applyAlignment="1" applyBorder="1" applyFill="1" applyFont="1" applyNumberFormat="1">
      <alignment horizontal="left"/>
    </xf>
    <xf borderId="1" fillId="11" fontId="19" numFmtId="0" xfId="0" applyAlignment="1" applyBorder="1" applyFill="1" applyFont="1">
      <alignment horizontal="right" shrinkToFit="0" vertical="bottom" wrapText="1"/>
    </xf>
    <xf borderId="1" fillId="0" fontId="1" numFmtId="0" xfId="0" applyAlignment="1" applyBorder="1" applyFont="1">
      <alignment horizontal="left"/>
    </xf>
    <xf borderId="0" fillId="0" fontId="17" numFmtId="0" xfId="0" applyAlignment="1" applyFont="1">
      <alignment horizontal="left" readingOrder="0" shrinkToFit="0" vertical="center" wrapText="1"/>
    </xf>
    <xf borderId="1" fillId="11" fontId="19" numFmtId="3" xfId="0" applyAlignment="1" applyBorder="1" applyFill="1" applyFont="1" applyNumberFormat="1">
      <alignment horizontal="center" shrinkToFit="0" vertical="bottom" wrapText="1"/>
    </xf>
    <xf borderId="0" fillId="12" fontId="20" numFmtId="0" xfId="0" applyAlignment="1" applyFill="1" applyFont="1">
      <alignment horizontal="right" vertical="center"/>
    </xf>
    <xf borderId="0" fillId="0" fontId="20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12" fontId="20" numFmtId="165" xfId="0" applyAlignment="1" applyFill="1" applyFont="1" applyNumberFormat="1">
      <alignment horizontal="right" vertical="center"/>
    </xf>
    <xf borderId="0" fillId="0" fontId="21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0"/>
    </xf>
    <xf borderId="0" fillId="0" fontId="20" numFmtId="166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right" vertical="center"/>
    </xf>
    <xf borderId="0" fillId="0" fontId="20" numFmtId="164" xfId="0" applyAlignment="1" applyFont="1" applyNumberFormat="1">
      <alignment horizontal="left" readingOrder="0" shrinkToFit="0" vertical="center" wrapText="0"/>
    </xf>
    <xf borderId="0" fillId="0" fontId="20" numFmtId="49" xfId="0" applyAlignment="1" applyFont="1" applyNumberFormat="1">
      <alignment horizontal="center" readingOrder="0" shrinkToFit="0" vertical="center" wrapText="0"/>
    </xf>
    <xf borderId="0" fillId="12" fontId="22" numFmtId="166" xfId="0" applyAlignment="1" applyFill="1" applyFont="1" applyNumberFormat="1">
      <alignment horizontal="right" vertical="center"/>
    </xf>
    <xf borderId="0" fillId="0" fontId="20" numFmtId="0" xfId="0" applyAlignment="1" applyFont="1">
      <alignment horizontal="left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12" fontId="22" numFmtId="166" xfId="0" applyAlignment="1" applyFill="1" applyFont="1" applyNumberFormat="1">
      <alignment horizontal="center" vertical="center"/>
    </xf>
    <xf borderId="1" fillId="3" fontId="18" numFmtId="0" xfId="0" applyAlignment="1" applyBorder="1" applyFill="1" applyFont="1">
      <alignment horizontal="center" shrinkToFit="0" vertical="bottom" wrapText="1"/>
    </xf>
    <xf borderId="0" fillId="0" fontId="22" numFmtId="0" xfId="0" applyAlignment="1" applyFont="1">
      <alignment horizontal="center" vertical="center"/>
    </xf>
    <xf borderId="0" fillId="0" fontId="20" numFmtId="0" xfId="0" applyAlignment="1" applyFont="1">
      <alignment horizontal="center" readingOrder="0" shrinkToFit="0" vertical="center" wrapText="0"/>
    </xf>
    <xf borderId="0" fillId="12" fontId="22" numFmtId="0" xfId="0" applyAlignment="1" applyFill="1" applyFont="1">
      <alignment horizontal="center" vertical="center"/>
    </xf>
    <xf borderId="0" fillId="0" fontId="20" numFmtId="166" xfId="0" applyAlignment="1" applyFont="1" applyNumberFormat="1">
      <alignment horizontal="right"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12" fontId="20" numFmtId="165" xfId="0" applyAlignment="1" applyFill="1" applyFont="1" applyNumberFormat="1">
      <alignment horizontal="center" vertical="center"/>
    </xf>
    <xf borderId="0" fillId="12" fontId="20" numFmtId="0" xfId="0" applyAlignment="1" applyFill="1" applyFont="1">
      <alignment horizontal="center" vertical="center"/>
    </xf>
    <xf borderId="0" fillId="0" fontId="20" numFmtId="0" xfId="0" applyAlignment="1" applyFont="1">
      <alignment horizontal="left" readingOrder="0" shrinkToFit="0" vertical="center" wrapText="0"/>
    </xf>
    <xf borderId="1" fillId="3" fontId="18" numFmtId="0" xfId="0" applyAlignment="1" applyBorder="1" applyFill="1" applyFont="1">
      <alignment horizontal="left" shrinkToFit="0" vertical="bottom" wrapText="1"/>
    </xf>
    <xf borderId="0" fillId="12" fontId="20" numFmtId="167" xfId="0" applyAlignment="1" applyFill="1" applyFont="1" applyNumberFormat="1">
      <alignment horizontal="left" vertical="center"/>
    </xf>
    <xf borderId="0" fillId="12" fontId="20" numFmtId="0" xfId="0" applyAlignment="1" applyFill="1" applyFont="1">
      <alignment horizontal="left" vertical="center"/>
    </xf>
    <xf borderId="0" fillId="0" fontId="21" numFmtId="0" xfId="0" applyAlignment="1" applyFont="1">
      <alignment readingOrder="0" shrinkToFit="0" vertical="center" wrapText="0"/>
    </xf>
    <xf borderId="0" fillId="0" fontId="20" numFmtId="167" xfId="0" applyAlignment="1" applyFont="1" applyNumberFormat="1">
      <alignment readingOrder="0" shrinkToFit="0" vertical="center" wrapText="0"/>
    </xf>
    <xf borderId="0" fillId="0" fontId="20" numFmtId="49" xfId="0" applyAlignment="1" applyFont="1" applyNumberForma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12" fontId="20" numFmtId="3" xfId="0" applyAlignment="1" applyFill="1" applyFont="1" applyNumberFormat="1">
      <alignment horizontal="center" vertical="center"/>
    </xf>
    <xf borderId="0" fillId="12" fontId="20" numFmtId="168" xfId="0" applyAlignment="1" applyFill="1" applyFont="1" applyNumberFormat="1">
      <alignment horizontal="center" vertical="center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1" fillId="3" fontId="18" numFmtId="0" xfId="0" applyAlignment="1" applyBorder="1" applyFill="1" applyFont="1">
      <alignment horizontal="center" vertical="bottom"/>
    </xf>
    <xf borderId="0" fillId="0" fontId="20" numFmtId="0" xfId="0" applyAlignment="1" applyFont="1">
      <alignment readingOrder="0" shrinkToFit="0" vertical="center" wrapText="0"/>
    </xf>
    <xf borderId="11" fillId="0" fontId="20" numFmtId="0" xfId="0" applyAlignment="1" applyBorder="1" applyFont="1">
      <alignment horizontal="right" vertical="bottom"/>
    </xf>
    <xf borderId="12" fillId="0" fontId="20" numFmtId="165" xfId="0" applyAlignment="1" applyBorder="1" applyFont="1" applyNumberFormat="1">
      <alignment horizontal="left" vertical="bottom"/>
    </xf>
    <xf borderId="12" fillId="0" fontId="20" numFmtId="0" xfId="0" applyAlignment="1" applyBorder="1" applyFont="1">
      <alignment vertical="bottom"/>
    </xf>
    <xf borderId="12" fillId="0" fontId="20" numFmtId="0" xfId="0" applyAlignment="1" applyBorder="1" applyFont="1">
      <alignment horizontal="center" vertical="bottom"/>
    </xf>
    <xf borderId="12" fillId="0" fontId="20" numFmtId="0" xfId="0" applyAlignment="1" applyBorder="1" applyFont="1">
      <alignment horizontal="left" vertical="bottom"/>
    </xf>
    <xf borderId="12" fillId="0" fontId="20" numFmtId="165" xfId="0" applyAlignment="1" applyBorder="1" applyFont="1" applyNumberFormat="1">
      <alignment horizontal="right" vertical="bottom"/>
    </xf>
    <xf borderId="0" fillId="0" fontId="20" numFmtId="49" xfId="0" applyAlignment="1" applyFont="1" applyNumberFormat="1">
      <alignment shrinkToFit="0" vertical="center" wrapText="0"/>
    </xf>
    <xf borderId="13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right" readingOrder="0" shrinkToFit="0" vertical="center" wrapText="0"/>
    </xf>
    <xf borderId="0" fillId="0" fontId="20" numFmtId="0" xfId="0" applyAlignment="1" applyFont="1">
      <alignment horizontal="center" vertical="bottom"/>
    </xf>
    <xf borderId="14" fillId="0" fontId="20" numFmtId="0" xfId="0" applyAlignment="1" applyBorder="1" applyFont="1">
      <alignment horizontal="right" vertical="bottom"/>
    </xf>
    <xf borderId="15" fillId="0" fontId="20" numFmtId="165" xfId="0" applyAlignment="1" applyBorder="1" applyFont="1" applyNumberFormat="1">
      <alignment horizontal="left" vertical="bottom"/>
    </xf>
    <xf borderId="15" fillId="0" fontId="20" numFmtId="0" xfId="0" applyAlignment="1" applyBorder="1" applyFont="1">
      <alignment vertical="bottom"/>
    </xf>
    <xf borderId="0" fillId="0" fontId="20" numFmtId="169" xfId="0" applyAlignment="1" applyFont="1" applyNumberFormat="1">
      <alignment horizontal="center" readingOrder="0" shrinkToFit="0" vertical="center" wrapText="0"/>
    </xf>
    <xf borderId="15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shrinkToFit="0" vertical="center" wrapText="0"/>
    </xf>
    <xf borderId="15" fillId="0" fontId="20" numFmtId="0" xfId="0" applyAlignment="1" applyBorder="1" applyFont="1">
      <alignment horizontal="left" vertical="bottom"/>
    </xf>
    <xf borderId="0" fillId="0" fontId="20" numFmtId="169" xfId="0" applyAlignment="1" applyFont="1" applyNumberFormat="1">
      <alignment readingOrder="0" shrinkToFit="0" vertical="center" wrapText="0"/>
    </xf>
    <xf borderId="15" fillId="0" fontId="20" numFmtId="165" xfId="0" applyAlignment="1" applyBorder="1" applyFont="1" applyNumberFormat="1">
      <alignment horizontal="right" vertical="bottom"/>
    </xf>
    <xf borderId="0" fillId="0" fontId="20" numFmtId="167" xfId="0" applyAlignment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167" xfId="0" applyAlignment="1" applyFont="1" applyNumberFormat="1">
      <alignment horizontal="center" shrinkToFit="0" vertical="center" wrapText="0"/>
    </xf>
    <xf borderId="0" fillId="0" fontId="20" numFmtId="167" xfId="0" applyAlignment="1" applyFont="1" applyNumberFormat="1">
      <alignment shrinkToFit="0" vertical="center" wrapText="0"/>
    </xf>
    <xf borderId="16" fillId="0" fontId="20" numFmtId="0" xfId="0" applyAlignment="1" applyBorder="1" applyFont="1">
      <alignment horizontal="center" vertical="bottom"/>
    </xf>
    <xf borderId="17" fillId="0" fontId="20" numFmtId="0" xfId="0" applyAlignment="1" applyBorder="1" applyFont="1">
      <alignment horizontal="right" vertical="bottom"/>
    </xf>
    <xf borderId="15" fillId="0" fontId="20" numFmtId="0" xfId="0" applyAlignment="1" applyBorder="1" applyFont="1">
      <alignment horizontal="right" vertical="bottom"/>
    </xf>
    <xf borderId="0" fillId="0" fontId="20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15" fillId="0" fontId="20" numFmtId="164" xfId="0" applyAlignment="1" applyBorder="1" applyFont="1" applyNumberFormat="1">
      <alignment horizontal="left" vertical="bottom"/>
    </xf>
    <xf borderId="15" fillId="0" fontId="20" numFmtId="166" xfId="0" applyAlignment="1" applyBorder="1" applyFont="1" applyNumberFormat="1">
      <alignment horizontal="center" vertical="bottom"/>
    </xf>
    <xf borderId="15" fillId="0" fontId="20" numFmtId="169" xfId="0" applyAlignment="1" applyBorder="1" applyFont="1" applyNumberFormat="1">
      <alignment horizontal="center" vertical="bottom"/>
    </xf>
    <xf borderId="15" fillId="0" fontId="20" numFmtId="0" xfId="0" applyAlignment="1" applyBorder="1" applyFont="1">
      <alignment horizontal="center" readingOrder="0" vertical="bottom"/>
    </xf>
    <xf borderId="0" fillId="12" fontId="22" numFmtId="0" xfId="0" applyAlignment="1" applyFill="1" applyFont="1">
      <alignment horizontal="right" vertical="center"/>
    </xf>
    <xf borderId="4" fillId="13" fontId="24" numFmtId="0" xfId="0" applyAlignment="1" applyBorder="1" applyFill="1" applyFont="1">
      <alignment horizontal="center" readingOrder="0" shrinkToFit="0" vertical="center" wrapText="1"/>
    </xf>
    <xf borderId="5" fillId="0" fontId="25" numFmtId="0" xfId="0" applyAlignment="1" applyBorder="1" applyFont="1">
      <alignment horizontal="left" vertical="center"/>
    </xf>
    <xf borderId="2" fillId="13" fontId="11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/>
    </xf>
    <xf borderId="1" fillId="14" fontId="19" numFmtId="0" xfId="0" applyAlignment="1" applyBorder="1" applyFill="1" applyFont="1">
      <alignment horizontal="center" shrinkToFit="0" vertical="bottom" wrapText="1"/>
    </xf>
    <xf borderId="0" fillId="12" fontId="20" numFmtId="166" xfId="0" applyAlignment="1" applyFill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12" fontId="20" numFmtId="167" xfId="0" applyAlignment="1" applyFill="1" applyFont="1" applyNumberFormat="1">
      <alignment horizontal="center" vertical="center"/>
    </xf>
    <xf borderId="0" fillId="11" fontId="26" numFmtId="0" xfId="0" applyAlignment="1" applyFill="1" applyFont="1">
      <alignment shrinkToFit="0" vertical="bottom" wrapText="1"/>
    </xf>
    <xf borderId="0" fillId="0" fontId="27" numFmtId="0" xfId="0" applyAlignment="1" applyFont="1">
      <alignment vertical="bottom"/>
    </xf>
    <xf borderId="0" fillId="11" fontId="26" numFmtId="0" xfId="0" applyAlignment="1" applyFill="1" applyFont="1">
      <alignment vertical="bottom"/>
    </xf>
    <xf borderId="0" fillId="11" fontId="26" numFmtId="0" xfId="0" applyAlignment="1" applyFill="1" applyFont="1">
      <alignment readingOrder="0" shrinkToFit="0" vertical="bottom" wrapText="1"/>
    </xf>
    <xf borderId="0" fillId="15" fontId="26" numFmtId="0" xfId="0" applyAlignment="1" applyFill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15" fontId="26" numFmtId="0" xfId="0" applyAlignment="1" applyFill="1" applyFont="1">
      <alignment vertical="bottom"/>
    </xf>
    <xf borderId="0" fillId="0" fontId="20" numFmtId="0" xfId="0" applyAlignment="1" applyFont="1">
      <alignment horizontal="right" readingOrder="0" vertical="bottom"/>
    </xf>
    <xf borderId="0" fillId="5" fontId="28" numFmtId="0" xfId="0" applyAlignment="1" applyFill="1" applyFont="1">
      <alignment readingOrder="0" vertical="bottom"/>
    </xf>
    <xf borderId="0" fillId="16" fontId="29" numFmtId="0" xfId="0" applyAlignment="1" applyFill="1" applyFont="1">
      <alignment readingOrder="0" vertical="bottom"/>
    </xf>
    <xf borderId="0" fillId="0" fontId="27" numFmtId="0" xfId="0" applyAlignment="1" applyFont="1">
      <alignment readingOrder="0" vertical="bottom"/>
    </xf>
    <xf borderId="0" fillId="17" fontId="30" numFmtId="0" xfId="0" applyAlignment="1" applyFill="1" applyFont="1">
      <alignment readingOrder="0" vertical="bottom"/>
    </xf>
    <xf borderId="0" fillId="18" fontId="31" numFmtId="0" xfId="0" applyAlignment="1" applyFill="1" applyFont="1">
      <alignment readingOrder="0" vertical="bottom"/>
    </xf>
    <xf borderId="0" fillId="6" fontId="26" numFmtId="0" xfId="0" applyAlignment="1" applyFill="1" applyFont="1">
      <alignment readingOrder="0" vertical="bottom"/>
    </xf>
    <xf borderId="0" fillId="0" fontId="16" numFmtId="0" xfId="0" applyFont="1"/>
    <xf borderId="0" fillId="0" fontId="16" numFmtId="49" xfId="0" applyFont="1" applyNumberFormat="1"/>
    <xf borderId="0" fillId="0" fontId="16" numFmtId="49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170" xfId="0" applyAlignment="1" applyFont="1" applyNumberFormat="1">
      <alignment readingOrder="0"/>
    </xf>
    <xf borderId="0" fillId="0" fontId="16" numFmtId="167" xfId="0" applyFont="1" applyNumberFormat="1"/>
    <xf borderId="0" fillId="0" fontId="16" numFmtId="169" xfId="0" applyFont="1" applyNumberFormat="1"/>
    <xf borderId="0" fillId="0" fontId="16" numFmtId="170" xfId="0" applyFont="1" applyNumberFormat="1"/>
    <xf borderId="0" fillId="0" fontId="20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quotePrefix="1" borderId="0" fillId="0" fontId="20" numFmtId="49" xfId="0" applyAlignment="1" applyFont="1" applyNumberFormat="1">
      <alignment readingOrder="0" shrinkToFit="0" vertical="center" wrapText="0"/>
    </xf>
    <xf borderId="0" fillId="0" fontId="32" numFmtId="0" xfId="0" applyAlignment="1" applyFont="1">
      <alignment shrinkToFit="0" vertical="center" wrapText="0"/>
    </xf>
    <xf borderId="0" fillId="0" fontId="16" numFmtId="49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quotePrefix="1" borderId="0" fillId="0" fontId="20" numFmtId="0" xfId="0" applyAlignment="1" applyFont="1">
      <alignment shrinkToFit="0" vertical="center" wrapText="0"/>
    </xf>
    <xf borderId="0" fillId="0" fontId="20" numFmtId="49" xfId="0" applyAlignment="1" applyFont="1" applyNumberFormat="1">
      <alignment horizontal="left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2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29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  <dxf>
      <font>
        <b/>
        <color rgb="FFFFFFFF"/>
      </font>
      <fill>
        <patternFill patternType="solid">
          <fgColor rgb="FF0B5394"/>
          <bgColor rgb="FF0B5394"/>
        </patternFill>
      </fill>
      <border/>
    </dxf>
    <dxf>
      <font>
        <b/>
        <color rgb="FF073763"/>
      </font>
      <fill>
        <patternFill patternType="solid">
          <fgColor rgb="FFE4F1FC"/>
          <bgColor rgb="FFE4F1FC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none"/>
      </fill>
      <border/>
    </dxf>
    <dxf>
      <font>
        <b/>
        <color rgb="FF1155CC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>
        <b/>
        <color rgb="FF674EA7"/>
      </font>
      <fill>
        <patternFill patternType="none"/>
      </fill>
      <border/>
    </dxf>
    <dxf>
      <font>
        <b/>
        <color rgb="FFFF9900"/>
      </font>
      <fill>
        <patternFill patternType="none"/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  <dxf>
      <font>
        <color rgb="FFFFFFFF"/>
      </font>
      <fill>
        <patternFill patternType="solid">
          <fgColor rgb="FF3D85C6"/>
          <bgColor rgb="FF3D85C6"/>
        </patternFill>
      </fill>
      <border/>
    </dxf>
    <dxf>
      <font>
        <color rgb="FF741B47"/>
      </font>
      <fill>
        <patternFill patternType="solid">
          <fgColor rgb="FFD5A6BD"/>
          <bgColor rgb="FFD5A6BD"/>
        </patternFill>
      </fill>
      <border/>
    </dxf>
    <dxf>
      <font>
        <color rgb="FFFF6D01"/>
      </font>
      <fill>
        <patternFill patternType="solid">
          <fgColor rgb="FFFFF2CC"/>
          <bgColor rgb="FFFFF2CC"/>
        </patternFill>
      </fill>
      <border/>
    </dxf>
    <dxf>
      <font>
        <b/>
        <color rgb="FF0000FF"/>
      </font>
      <fill>
        <patternFill patternType="solid">
          <fgColor rgb="FFD9D9D9"/>
          <bgColor rgb="FFD9D9D9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</dxfs>
  <tableStyles count="5">
    <tableStyle count="3" pivot="0" name="PROGRAMADAS-style">
      <tableStyleElement dxfId="2" type="headerRow"/>
      <tableStyleElement dxfId="3" type="firstRowStripe"/>
      <tableStyleElement dxfId="5" type="secondRowStripe"/>
    </tableStyle>
    <tableStyle count="3" pivot="0" name="PREVENTAS DEL DÍA-style">
      <tableStyleElement dxfId="4" type="headerRow"/>
      <tableStyleElement dxfId="3" type="firstRowStripe"/>
      <tableStyleElement dxfId="5" type="secondRowStripe"/>
    </tableStyle>
    <tableStyle count="4" pivot="0" name="_PREVENTAS_-style">
      <tableStyleElement dxfId="1" type="headerRow"/>
      <tableStyleElement dxfId="3" type="firstRowStripe"/>
      <tableStyleElement dxfId="6" type="secondRowStripe"/>
      <tableStyleElement dxfId="7" size="0" type="wholeTable"/>
    </tableStyle>
    <tableStyle count="4" pivot="0" name="PREVENTAS-style">
      <tableStyleElement dxfId="8" type="headerRow"/>
      <tableStyleElement dxfId="3" type="firstRowStripe"/>
      <tableStyleElement dxfId="6" type="secondRowStripe"/>
      <tableStyleElement dxfId="7" size="0" type="wholeTable"/>
    </tableStyle>
    <tableStyle count="3" pivot="0" name="INSTALADAS-style">
      <tableStyleElement dxfId="2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MERCIAL LYBTEL" id="{0d6c51e9-3c15-4bf8-8c5a-2ab0bd10e2d4}" providerId="google-sheets"/>
  <x18tc:person displayName="BACK 01 ALBRU" id="{8a6f1e0c-832d-474d-a9a5-5ace9eab909e}" providerId="google-sheets"/>
  <x18tc:person displayName="Formacion LYBTEL" id="{61275b9f-9257-4e9c-8ea6-969af30c218d}" providerId="google-sheets"/>
  <x18tc:person displayName="BACK 01 LYBTEL" id="{e09ff492-8e5f-472d-9845-b2105b0caf5d}" providerId="google-sheets"/>
</x18tc:personList>
</file>

<file path=xl/tables/table1.xml><?xml version="1.0" encoding="utf-8"?>
<table xmlns="http://schemas.openxmlformats.org/spreadsheetml/2006/main" ref="A1:CC203" displayName="BdPreventasCLARO_" name="BdPreventasCLARO_" id="2">
  <tableColumns count="81">
    <tableColumn name="Marca temporal" id="1"/>
    <tableColumn name="STATUS" id="2"/>
    <tableColumn name="SEGMENTO" id="3"/>
    <tableColumn name="ASESOR BO" id="4"/>
    <tableColumn name="PROGRAMACION BO" id="5"/>
    <tableColumn name="COMENTARIOS BO" id="6"/>
    <tableColumn name="SEC" id="7"/>
    <tableColumn name="SOT" id="8"/>
    <tableColumn name="ASESOR" id="9"/>
    <tableColumn name="LEAD" id="10"/>
    <tableColumn name="TIPO DOCUMENTO" id="11"/>
    <tableColumn name="N° DOCUMENTO" id="12"/>
    <tableColumn name="NOMBRE COMPLETO CLIENTE" id="13"/>
    <tableColumn name="FECHA NACIMIENTO" id="14"/>
    <tableColumn name="LUGAR NACIMIENTO" id="15"/>
    <tableColumn name="UBIGEO" id="16"/>
    <tableColumn name="AMAZONAS" id="17"/>
    <tableColumn name="ANCASH" id="18"/>
    <tableColumn name="APURIMAC" id="19"/>
    <tableColumn name="AREQUIPA" id="20"/>
    <tableColumn name="AYACUCHO" id="21"/>
    <tableColumn name="CAJAMARCA" id="22"/>
    <tableColumn name="CALLAO" id="23"/>
    <tableColumn name="CUSCO" id="24"/>
    <tableColumn name="HUANCAVELICA" id="25"/>
    <tableColumn name="HUANUCO" id="26"/>
    <tableColumn name="ICA" id="27"/>
    <tableColumn name="JUNIN" id="28"/>
    <tableColumn name="LA LIBERTAD" id="29"/>
    <tableColumn name="LAMBAYEQUE" id="30"/>
    <tableColumn name="LIMA" id="31"/>
    <tableColumn name="LIMA METROPOLITANA" id="32"/>
    <tableColumn name="LORETO" id="33"/>
    <tableColumn name="MADRE DE DIOS" id="34"/>
    <tableColumn name="MOQUEGUA" id="35"/>
    <tableColumn name="PASCO" id="36"/>
    <tableColumn name="PIURA" id="37"/>
    <tableColumn name="PUNO" id="38"/>
    <tableColumn name="SAN MARTIN" id="39"/>
    <tableColumn name="TACNA" id="40"/>
    <tableColumn name="TUMBES" id="41"/>
    <tableColumn name="UCAYALI" id="42"/>
    <tableColumn name="NOMBRE PADRE" id="43"/>
    <tableColumn name="NOMBRE MADRE" id="44"/>
    <tableColumn name="CORREO ELECTRONICO" id="45"/>
    <tableColumn name="Column 81" id="46"/>
    <tableColumn name="TELF GRABACION" id="47"/>
    <tableColumn name="TELF REFERENCIA" id="48"/>
    <tableColumn name="DIRECCION INSTALACION" id="49"/>
    <tableColumn name="PISO" id="50"/>
    <tableColumn name="INTERIOR" id="51"/>
    <tableColumn name="COORDENADAS" id="52"/>
    <tableColumn name="REFERENCIAS" id="53"/>
    <tableColumn name="PLANO" id="54"/>
    <tableColumn name="DEPARTAMENTO" id="55"/>
    <tableColumn name="PROV / DISTRITO" id="56"/>
    <tableColumn name="TECNOLOGIA" id="57"/>
    <tableColumn name="FULL CLARO" id="58"/>
    <tableColumn name="OPERACION" id="59"/>
    <tableColumn name="OPERADOR ORIGEN" id="60"/>
    <tableColumn name="TELF A PORTAR" id="61"/>
    <tableColumn name="MODALIDAD" id="62"/>
    <tableColumn name="TIPO SERVICIO" id="63"/>
    <tableColumn name="SERVICIO A CONTRATAR" id="64"/>
    <tableColumn name="OFERTA COMERCIAL ALTA NUEVA" id="65"/>
    <tableColumn name="PRECIO REGULAR" id="66"/>
    <tableColumn name="VELOCIDAD PLAN" id="67"/>
    <tableColumn name="LIGA1 MAX" id="68"/>
    <tableColumn name="TELEFONO" id="69"/>
    <tableColumn name="N° DECODIFICADORES" id="70"/>
    <tableColumn name="N° MESH" id="71"/>
    <tableColumn name="TELF REGISTRO" id="72"/>
    <tableColumn name="FECHA REGISTRO" id="73"/>
    <tableColumn name="FECHA PROGRAMACION" id="74"/>
    <tableColumn name="TRAMO PROGRAMACION" id="75"/>
    <tableColumn name="FECHA INSTALACIÓN" id="76"/>
    <tableColumn name="ORDEN INSTALACION" id="77"/>
    <tableColumn name="COD STATUS" id="78"/>
    <tableColumn name="COD DPTO" id="79"/>
    <tableColumn name="MES REG" id="80"/>
    <tableColumn name="MES INSTAL" id="81"/>
  </tableColumns>
  <tableStyleInfo name="_PREVENTAS_-style" showColumnStripes="0" showFirstColumn="1" showLastColumn="1" showRowStripes="1"/>
</table>
</file>

<file path=xl/tables/table2.xml><?xml version="1.0" encoding="utf-8"?>
<table xmlns="http://schemas.openxmlformats.org/spreadsheetml/2006/main" ref="A1:CC1148" displayName="BdPreventasCLARO" name="BdPreventasCLARO" id="3">
  <tableColumns count="81">
    <tableColumn name="Marca temporal" id="1"/>
    <tableColumn name="STATUS" id="2"/>
    <tableColumn name="SEGMENTO" id="3"/>
    <tableColumn name="ASESOR BO" id="4"/>
    <tableColumn name="PROGRAMACION BO" id="5"/>
    <tableColumn name="COMENTARIOS BO" id="6"/>
    <tableColumn name="SEC" id="7"/>
    <tableColumn name="SOT" id="8"/>
    <tableColumn name="ASESOR" id="9"/>
    <tableColumn name="LEAD" id="10"/>
    <tableColumn name="TIPO DOCUMENTO" id="11"/>
    <tableColumn name="N° DOCUMENTO" id="12"/>
    <tableColumn name="NOMBRE COMPLETO CLIENTE" id="13"/>
    <tableColumn name="FECHA NACIMIENTO" id="14"/>
    <tableColumn name="LUGAR NACIMIENTO" id="15"/>
    <tableColumn name="UBIGEO" id="16"/>
    <tableColumn name="AMAZONAS" id="17"/>
    <tableColumn name="ANCASH" id="18"/>
    <tableColumn name="APURIMAC" id="19"/>
    <tableColumn name="AREQUIPA" id="20"/>
    <tableColumn name="AYACUCHO" id="21"/>
    <tableColumn name="CAJAMARCA" id="22"/>
    <tableColumn name="CALLAO" id="23"/>
    <tableColumn name="CUSCO" id="24"/>
    <tableColumn name="HUANCAVELICA" id="25"/>
    <tableColumn name="HUANUCO" id="26"/>
    <tableColumn name="ICA" id="27"/>
    <tableColumn name="JUNIN" id="28"/>
    <tableColumn name="LA LIBERTAD" id="29"/>
    <tableColumn name="LAMBAYEQUE" id="30"/>
    <tableColumn name="LIMA" id="31"/>
    <tableColumn name="LIMA METROPOLITANA" id="32"/>
    <tableColumn name="LORETO" id="33"/>
    <tableColumn name="MADRE DE DIOS" id="34"/>
    <tableColumn name="MOQUEGUA" id="35"/>
    <tableColumn name="PASCO" id="36"/>
    <tableColumn name="PIURA" id="37"/>
    <tableColumn name="PUNO" id="38"/>
    <tableColumn name="SAN MARTIN" id="39"/>
    <tableColumn name="TACNA" id="40"/>
    <tableColumn name="TUMBES" id="41"/>
    <tableColumn name="UCAYALI" id="42"/>
    <tableColumn name="NOMBRE PADRE" id="43"/>
    <tableColumn name="NOMBRE MADRE" id="44"/>
    <tableColumn name="CORREO ELECTRONICO" id="45"/>
    <tableColumn name="TELF REGISTRO" id="46"/>
    <tableColumn name="TELF GRABACION" id="47"/>
    <tableColumn name="TELF REFERENCIA" id="48"/>
    <tableColumn name="DIRECCION INSTALACION" id="49"/>
    <tableColumn name="PISO" id="50"/>
    <tableColumn name="INTERIOR" id="51"/>
    <tableColumn name="COORDENADAS" id="52"/>
    <tableColumn name="REFERENCIAS" id="53"/>
    <tableColumn name="PLANO" id="54"/>
    <tableColumn name="DEPARTAMENTO" id="55"/>
    <tableColumn name="PROV / DISTRITO" id="56"/>
    <tableColumn name="TECNOLOGIA" id="57"/>
    <tableColumn name="FULL CLARO" id="58"/>
    <tableColumn name="OPERACION" id="59"/>
    <tableColumn name="OPERADOR ORIGEN" id="60"/>
    <tableColumn name="TELF A PORTAR" id="61"/>
    <tableColumn name="MODALIDAD" id="62"/>
    <tableColumn name="TIPO SERVICIO" id="63"/>
    <tableColumn name="SERVICIO A CONTRATAR" id="64"/>
    <tableColumn name="OFERTA COMERCIAL ALTA NUEVA" id="65"/>
    <tableColumn name="PRECIO REGULAR" id="66"/>
    <tableColumn name="VELOCIDAD PLAN" id="67"/>
    <tableColumn name="LIGA1 MAX" id="68"/>
    <tableColumn name="TELEFONO" id="69"/>
    <tableColumn name="N° DECODIFICADORES" id="70"/>
    <tableColumn name="N° MESH" id="71"/>
    <tableColumn name="FECHA INSTALACIÓN" id="72"/>
    <tableColumn name="ORDEN INSTALACION" id="73"/>
    <tableColumn name="FECHA REGISTRO" id="74"/>
    <tableColumn name="FECHA PROGRAMACION" id="75"/>
    <tableColumn name="TRAMO PROGRAMACION" id="76"/>
    <tableColumn name="COD STATUS" id="77"/>
    <tableColumn name="COD DPTO" id="78"/>
    <tableColumn name="MES REG" id="79"/>
    <tableColumn name="MES INSTAL" id="80"/>
    <tableColumn name="CUSTOMER ID" id="81"/>
  </tableColumns>
  <tableStyleInfo name="PREVENTAS-style" showColumnStripes="0" showFirstColumn="1" showLastColumn="1" showRowStripes="1"/>
</table>
</file>

<file path=xl/tables/table3.xml><?xml version="1.0" encoding="utf-8"?>
<table xmlns="http://schemas.openxmlformats.org/spreadsheetml/2006/main" headerRowCount="0" ref="A12:AA41" displayName="Table_2" name="Table_2" id="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REVENTAS DEL DÍ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1:X50" displayName="Table_1" name="Table_1" id="1">
  <tableColumns count="24">
    <tableColumn name="ITEM" id="1"/>
    <tableColumn name="Marca temporal" id="2"/>
    <tableColumn name="STATUS" id="3"/>
    <tableColumn name="SEGMENTO" id="4"/>
    <tableColumn name="PROGRAMACION BO" id="5"/>
    <tableColumn name="SEC" id="6"/>
    <tableColumn name="SOT" id="7"/>
    <tableColumn name="ASESOR" id="8"/>
    <tableColumn name="LEAD" id="9"/>
    <tableColumn name="TIPO DOCUMENTO" id="10"/>
    <tableColumn name="N° DOCUMENTO" id="11"/>
    <tableColumn name="NOMBRE COMPLETO CLIENTE" id="12"/>
    <tableColumn name="NOMBRE PADRE" id="13"/>
    <tableColumn name="NOMBRE MADRE" id="14"/>
    <tableColumn name="TELF REGISTRO" id="15"/>
    <tableColumn name="TELF GRABACION" id="16"/>
    <tableColumn name="TELF REFERENCIA" id="17"/>
    <tableColumn name="PLANO" id="18"/>
    <tableColumn name="DEPARTAMENTO" id="19"/>
    <tableColumn name="PROV / DISTRITO" id="20"/>
    <tableColumn name="FECHA REGISTRO" id="21"/>
    <tableColumn name="FECHA PROGRAMACION" id="22"/>
    <tableColumn name="TRAMO PROGRAMACION" id="23"/>
    <tableColumn name="COD DPTO" id="24"/>
  </tableColumns>
  <tableStyleInfo name="PROGRAMADAS-style" showColumnStripes="0" showFirstColumn="1" showLastColumn="1" showRowStripes="1"/>
</table>
</file>

<file path=xl/tables/table5.xml><?xml version="1.0" encoding="utf-8"?>
<table xmlns="http://schemas.openxmlformats.org/spreadsheetml/2006/main" ref="A11:X50" displayName="Table_3" name="Table_3" id="5">
  <tableColumns count="24">
    <tableColumn name="ITEM" id="1"/>
    <tableColumn name="Marca temporal" id="2"/>
    <tableColumn name="STATUS" id="3"/>
    <tableColumn name="SEGMENTO" id="4"/>
    <tableColumn name="SEC" id="5"/>
    <tableColumn name="SOT" id="6"/>
    <tableColumn name="ASESOR" id="7"/>
    <tableColumn name="LEAD" id="8"/>
    <tableColumn name="TIPO DOCUMENTO" id="9"/>
    <tableColumn name="N° DOCUMENTO" id="10"/>
    <tableColumn name="NOMBRE COMPLETO CLIENTE" id="11"/>
    <tableColumn name="TELF REGISTRO" id="12"/>
    <tableColumn name="TELF GRABACION" id="13"/>
    <tableColumn name="TELF REFERENCIA" id="14"/>
    <tableColumn name="PLANO" id="15"/>
    <tableColumn name="DEPARTAMENTO" id="16"/>
    <tableColumn name="PROV / DISTRITO" id="17"/>
    <tableColumn name="TECNOLOGIA" id="18"/>
    <tableColumn name="SERVICIO A CONTRATAR" id="19"/>
    <tableColumn name="OFERTA COMERCIAL ALTA NUEVA" id="20"/>
    <tableColumn name="VELOCIDAD PLAN" id="21"/>
    <tableColumn name="FECHA INSTALACIÓN" id="22"/>
    <tableColumn name="ORDEN INSTALACION" id="23"/>
    <tableColumn name="COD DPTO" id="24"/>
  </tableColumns>
  <tableStyleInfo name="INSTALA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4" dT="2026-06-20T17:17:49.00" personId="{0d6c51e9-3c15-4bf8-8c5a-2ab0bd10e2d4}" id="{ab93b840-00ba-4df9-9c20-68ae865e20ee}" done="0">
    <x18tc:text xml:space="preserve">ADJUNTAR DNI ambas caras, Foto de cliente mostrando DNI y Recibo de Servicio de dirección de instalación DE AGUA o luz.</x18tc:text>
  </x18tc:threadedComment>
  <x18tc:threadedComment ref="F81" dT="2026-06-18T14:47:28.00" personId="{8a6f1e0c-832d-474d-a9a5-5ace9eab909e}" id="{d8e71224-12ec-42d7-aee2-b61202cd1305}" done="0">
    <x18tc:text xml:space="preserve">axb, enviaron reporte los de claro</x18tc:text>
  </x18tc:threadedComment>
  <x18tc:threadedComment ref="F77" dT="2026-06-23T14:27:51.00" personId="{e09ff492-8e5f-472d-9845-b2105b0caf5d}" id="{b556026b-e59d-415a-ba36-700f8e4d4513}" done="0">
    <x18tc:text xml:space="preserve">cliente indica que MIFIBRA le ofrecio internet + tv a 55 soles por 6 meses, por ello no grabo con claro</x18tc:text>
  </x18tc:threadedComment>
  <x18tc:threadedComment ref="F66" dT="2026-06-20T00:01:35.00" personId="{0d6c51e9-3c15-4bf8-8c5a-2ab0bd10e2d4}" id="{cbe33442-eb24-4d3b-b11a-31a661de9c18}" done="0">
    <x18tc:text xml:space="preserve">ADJUNTAR DNI ambas caras, Foto de cliente mostrando DNI y Recibo de Servicio de dirección de instalación DE AGUA o luz.</x18tc:text>
  </x18tc:threadedComment>
  <x18tc:threadedComment ref="F63" dT="2026-06-20T00:01:20.00" personId="{0d6c51e9-3c15-4bf8-8c5a-2ab0bd10e2d4}" id="{2933e0bd-9817-4a0f-8510-6fa2dacbbbf8}" done="0">
    <x18tc:text xml:space="preserve">ADJUNTAR DNI ambas caras, Foto de cliente mostrando DNI y Recibo de Servicio de dirección de instalación DE AGUA o luz.</x18tc:text>
  </x18tc:threadedComment>
  <x18tc:threadedComment ref="F65" dT="2026-06-20T00:01:28.00" personId="{0d6c51e9-3c15-4bf8-8c5a-2ab0bd10e2d4}" id="{1b321881-babf-4e7b-80c1-a3bf7ba12a58}" done="0">
    <x18tc:text xml:space="preserve">ADJUNTAR DNI ambas caras, Foto de cliente mostrando DNI y Recibo de Servicio de dirección de instalación DE AGUA o luz.</x18tc:text>
  </x18tc:threadedComment>
  <x18tc:threadedComment ref="F86" dT="2026-06-24T15:22:05.00" personId="{e09ff492-8e5f-472d-9845-b2105b0caf5d}" id="{b816df02-f4e6-414d-910f-e60a02bc9b3d}" done="0">
    <x18tc:text xml:space="preserve">SE LLAMA AL CLIENTE E INDICA QUE DESEA QUE LE ENVIEMOS EL PLAN COMPLETO MEDIANTE WSP, PARA QUE CONFIRME SI DESEA O NO EL SERVICIO,</x18tc:text>
  </x18tc:threadedComment>
  <x18tc:threadedComment ref="F71" dT="2026-06-23T14:20:20.00" personId="{e09ff492-8e5f-472d-9845-b2105b0caf5d}" id="{4e3a2830-cc60-4365-9ffa-066bc946540b}" done="0">
    <x18tc:text xml:space="preserve">SE LLAMA A CLIENTE, RESPONDE E INDICA NUMERO EQUIVOCADO.</x18tc:text>
  </x18tc:threadedComment>
  <x18tc:threadedComment ref="F27" dT="2026-06-22T21:11:13.00" personId="{e09ff492-8e5f-472d-9845-b2105b0caf5d}" id="{ea3d8551-f6fe-44fd-ad32-654246284d43}" done="0">
    <x18tc:text xml:space="preserve">SE SOLICITA REASIGNACION</x18tc:text>
  </x18tc:threadedComment>
  <x18tc:threadedComment ref="F14" dT="2026-06-20T23:14:12.00" personId="{0d6c51e9-3c15-4bf8-8c5a-2ab0bd10e2d4}" id="{cd6bfab5-c289-4391-b74c-edcf5f730ad9}" done="0">
    <x18tc:text xml:space="preserve">MESA DE SEGUIMIENTO CALL CENTER RECHAZO EN MESA / CAMPO: EN CAMPO PERSONA QUE CONTESTA: JENNY PAOLI ROJAS BENITO NUMERO DE CONTACTO: 953735960 MOTIVO DEL RECHAZO: FACILIDADES TECNICAS DEL CLIENTE SUBMOTIVO DE RECHAZO: Sin acceso al techo, montantes u otros ambientes REALIZADO POR: david rodriguez ID DE LLAMADA: 1781980038-933407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0" dT="2026-07-07T19:12:45.00" personId="{e09ff492-8e5f-472d-9845-b2105b0caf5d}" id="{590fd1f1-5add-4f2f-ba9e-dcc3bb74abd0}" done="0">
    <x18tc:text xml:space="preserve">cliente no responde llamadas, ni mensajes para intento de recuperar.</x18tc:text>
  </x18tc:threadedComment>
  <x18tc:threadedComment ref="H448" dT="2026-08-22T17:15:20.00" personId="{61275b9f-9257-4e9c-8ea6-969af30c218d}" id="{51e72904-64da-44ca-9969-a78d279f389d}" done="0">
    <x18tc:text xml:space="preserve">cl no contesta</x18tc:text>
  </x18tc:threadedComment>
  <x18tc:threadedComment ref="H449" dT="2026-08-22T17:26:34.00" personId="{61275b9f-9257-4e9c-8ea6-969af30c218d}" id="{06313621-7084-46a2-bf38-182e0d93d374}" done="0">
    <x18tc:text xml:space="preserve">ok cl cv para el lunes 9am</x18tc:text>
  </x18tc:threadedComment>
  <x18tc:threadedComment ref="F66" dT="2026-07-07T19:07:54.00" personId="{e09ff492-8e5f-472d-9845-b2105b0caf5d}" id="{2ec0ccef-be1e-47d3-867f-3d376714ab40}" done="0">
    <x18tc:text xml:space="preserve">se intenta contactar con cliente, sin embargo no responde llamadas</x18tc:text>
  </x18tc:threadedComment>
  <x18tc:threadedComment ref="H451" dT="2026-08-22T17:09:09.00" personId="{61275b9f-9257-4e9c-8ea6-969af30c218d}" id="{c213c454-f8d5-46a6-970b-9c7ecd7e04b6}" done="0">
    <x18tc:text xml:space="preserve">cl cv para el 25/ lo llamo wow</x18tc:text>
  </x18tc:threadedComment>
  <x18tc:threadedComment ref="H463" dT="2026-08-22T17:02:09.00" personId="{61275b9f-9257-4e9c-8ea6-969af30c218d}" id="{fb281fb8-a072-49f4-8d55-37abe07912e3}" done="0">
    <x18tc:text xml:space="preserve">cl no contesta</x18tc:text>
  </x18tc:threadedComment>
  <x18tc:threadedComment ref="A1" dT="2026-06-12T13:22:42.00" personId="{8a6f1e0c-832d-474d-a9a5-5ace9eab909e}" id="{bb3aefd6-364b-49dd-bfed-9c25ffc61eaf}" done="0">
    <x18tc:text xml:space="preserve">SUBIDO EN KELLS</x18tc:text>
  </x18tc:threadedComment>
  <x18tc:threadedComment ref="A1" dT="2026-06-12T16:48:45.00" personId="{8a6f1e0c-832d-474d-a9a5-5ace9eab909e}" id="{0deb9a85-7dde-4f5b-a123-684a072927b6}" parentId="{bb3aefd6-364b-49dd-bfed-9c25ffc61eaf}">
    <x18tc:text xml:space="preserve">SUBIDA EN DRIVE, KELLS</x18tc:text>
  </x18tc:threadedComment>
  <x18tc:threadedComment ref="H443" dT="2026-08-22T17:01:25.00" personId="{61275b9f-9257-4e9c-8ea6-969af30c218d}" id="{d458fd88-a5f5-4a8a-8f62-0abb6926754b}" done="0">
    <x18tc:text xml:space="preserve">cl no contesta llamada</x18tc:text>
  </x18tc:threadedComment>
  <x18tc:threadedComment ref="H457" dT="2026-08-22T17:50:24.00" personId="{61275b9f-9257-4e9c-8ea6-969af30c218d}" id="{d6d3bf6e-4056-48fd-bf43-5434e681326a}" done="0">
    <x18tc:text xml:space="preserve">ok cv urg se deriva adelanto</x18tc:text>
  </x18tc:threadedComment>
  <x18tc:threadedComment ref="H494" dT="2026-08-22T17:44:02.00" personId="{61275b9f-9257-4e9c-8ea6-969af30c218d}" id="{37224598-d3f4-48b3-80b7-071e17a3c0af}" done="0">
    <x18tc:text xml:space="preserve">nc llamada</x18tc:text>
  </x18tc:threadedComment>
  <x18tc:threadedComment ref="F65" dT="2026-07-07T19:06:33.00" personId="{e09ff492-8e5f-472d-9845-b2105b0caf5d}" id="{80093d38-2a81-48b6-8c27-cc8156cb0773}" done="0">
    <x18tc:text xml:space="preserve">cl esta de viaje, indica que todavia para fin de mes o el proximo mes querrá instalacion</x18tc:text>
  </x18tc:threadedComment>
  <x18tc:threadedComment ref="H444" dT="2026-08-22T16:55:36.00" personId="{61275b9f-9257-4e9c-8ea6-969af30c218d}" id="{8ba14187-c0e2-459d-afac-182e7410c6c0}" done="0">
    <x18tc:text xml:space="preserve">ok cl confirma visita, 2pm</x18tc:text>
  </x18tc:threadedComment>
  <x18tc:threadedComment ref="H492" dT="2026-08-22T16:52:40.00" personId="{61275b9f-9257-4e9c-8ea6-969af30c218d}" id="{7ab28c3f-8af5-488f-95da-5bc9a53b8a9b}" done="0">
    <x18tc:text xml:space="preserve">pend de validacion cl esperara hoy 22/08 pm1</x18tc:text>
  </x18tc:threadedComment>
  <x18tc:threadedComment ref="F96" dT="2026-07-02T22:47:43.00" personId="{e09ff492-8e5f-472d-9845-b2105b0caf5d}" id="{b1aa26f5-b184-4a2e-93b7-fbc19ce5a653}" done="0">
    <x18tc:text xml:space="preserve">COORDENADAS ERRADAS, SE ENVIO A RESCATE PERO NO FUE POSIBLE, INDICARON TRAMO INICIADO</x18tc:text>
  </x18tc:threadedComment>
  <x18tc:threadedComment ref="H507" dT="2026-08-22T17:21:35.00" personId="{61275b9f-9257-4e9c-8ea6-969af30c218d}" id="{acd68f0c-656b-40e4-a08a-d824566b28d5}" done="0">
    <x18tc:text xml:space="preserve">cl no contesta</x18tc:text>
  </x18tc:threadedComment>
  <x18tc:threadedComment ref="H452" dT="2026-08-22T18:00:05.00" personId="{61275b9f-9257-4e9c-8ea6-969af30c218d}" id="{e597006f-ba5d-4b77-b290-3f251c335029}" done="1">
    <x18tc:text xml:space="preserve">ok cv para mas tardar lunes y lo llamo wow</x18tc:text>
  </x18tc:threadedComment>
  <x18tc:threadedComment ref="H446" dT="2026-08-22T17:32:57.00" personId="{61275b9f-9257-4e9c-8ea6-969af30c218d}" id="{47853404-038a-478a-a9f4-a66e1fd3041d}" done="0">
    <x18tc:text xml:space="preserve">ok cl cv para el lunes 24 2pm</x18tc:text>
  </x18tc:threadedComment>
  <x18tc:threadedComment ref="H508" dT="2026-08-22T17:19:59.00" personId="{61275b9f-9257-4e9c-8ea6-969af30c218d}" id="{13aec38c-f5bb-4ffc-8556-e05839da492f}" done="0">
    <x18tc:text xml:space="preserve">cl no contesta</x18tc:text>
  </x18tc:threadedComment>
  <x18tc:threadedComment ref="H493" dT="2026-08-22T17:29:18.00" personId="{61275b9f-9257-4e9c-8ea6-969af30c218d}" id="{0caeb35e-cfcd-4396-a8d1-f53ebaf5732c}" done="0">
    <x18tc:text xml:space="preserve">nc llamada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alderonchistelgimal.co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calderonchistelgimal.com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://charlesmed5.hotmail.com" TargetMode="External"/><Relationship Id="rId6" Type="http://schemas.openxmlformats.org/officeDocument/2006/relationships/hyperlink" Target="http://romel.delgado.aqp.gmail.com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16.5"/>
    <col customWidth="1" min="2" max="2" width="27.25"/>
    <col customWidth="1" min="3" max="3" width="17.5"/>
    <col customWidth="1" min="4" max="4" width="13.75"/>
    <col customWidth="1" min="5" max="5" width="20.13"/>
    <col customWidth="1" min="6" max="6" width="53.88"/>
    <col customWidth="1" min="7" max="7" width="11.63"/>
    <col customWidth="1" min="8" max="8" width="11.75"/>
    <col customWidth="1" min="9" max="9" width="11.63"/>
    <col customWidth="1" min="10" max="10" width="12.75"/>
    <col customWidth="1" min="11" max="11" width="15.25"/>
    <col customWidth="1" min="12" max="12" width="20.63"/>
    <col customWidth="1" min="13" max="13" width="31.75"/>
    <col customWidth="1" min="14" max="14" width="18.25" outlineLevel="1"/>
    <col customWidth="1" min="15" max="15" width="20.63" outlineLevel="1"/>
    <col customWidth="1" min="16" max="16" width="18.88" outlineLevel="1"/>
    <col customWidth="1" min="17" max="31" width="18.88" outlineLevel="2"/>
    <col customWidth="1" min="32" max="32" width="22.75" outlineLevel="2"/>
    <col customWidth="1" min="33" max="42" width="18.88" outlineLevel="2"/>
    <col customWidth="1" min="43" max="44" width="18.88" outlineLevel="1"/>
    <col customWidth="1" min="45" max="45" width="22.63" outlineLevel="1"/>
    <col customWidth="1" min="46" max="47" width="20.5"/>
    <col collapsed="1" customWidth="1" min="48" max="48" width="22.0"/>
    <col customWidth="1" hidden="1" min="49" max="49" width="24.38" outlineLevel="1"/>
    <col customWidth="1" hidden="1" min="50" max="50" width="9.0" outlineLevel="1"/>
    <col customWidth="1" hidden="1" min="51" max="51" width="12.5" outlineLevel="1"/>
    <col customWidth="1" hidden="1" min="52" max="54" width="18.88" outlineLevel="1"/>
    <col customWidth="1" min="55" max="56" width="18.88"/>
    <col customWidth="1" min="57" max="57" width="15.25" outlineLevel="1"/>
    <col customWidth="1" min="58" max="58" width="14.75" outlineLevel="1"/>
    <col customWidth="1" min="59" max="59" width="14.38" outlineLevel="1"/>
    <col customWidth="1" min="60" max="60" width="14.0" outlineLevel="1"/>
    <col customWidth="1" min="61" max="61" width="17.0" outlineLevel="1"/>
    <col customWidth="1" min="62" max="62" width="14.88" outlineLevel="1"/>
    <col customWidth="1" min="63" max="63" width="16.38" outlineLevel="1"/>
    <col customWidth="1" min="64" max="64" width="23.63" outlineLevel="1"/>
    <col customWidth="1" min="65" max="65" width="30.25" outlineLevel="1"/>
    <col customWidth="1" min="66" max="66" width="15.88" outlineLevel="1"/>
    <col customWidth="1" min="67" max="67" width="14.25" outlineLevel="1"/>
    <col customWidth="1" min="68" max="68" width="13.75" outlineLevel="1"/>
    <col customWidth="1" min="69" max="69" width="16.63" outlineLevel="1"/>
    <col customWidth="1" min="70" max="70" width="19.88" outlineLevel="1"/>
    <col customWidth="1" min="71" max="71" width="11.88" outlineLevel="1"/>
    <col customWidth="1" min="72" max="72" width="18.88"/>
    <col customWidth="1" min="73" max="73" width="16.25" outlineLevel="1"/>
    <col customWidth="1" min="74" max="74" width="21.25" outlineLevel="1"/>
    <col customWidth="1" min="75" max="75" width="18.0" outlineLevel="1"/>
    <col customWidth="1" min="76" max="77" width="18.75"/>
    <col customWidth="1" min="78" max="78" width="14.5" outlineLevel="1"/>
    <col customWidth="1" min="79" max="79" width="12.88" outlineLevel="1"/>
    <col customWidth="1" min="80" max="80" width="10.25" outlineLevel="1"/>
    <col customWidth="1" min="81" max="81" width="10.75" outlineLevel="1"/>
  </cols>
  <sheetData>
    <row r="1" ht="22.5" customHeight="1">
      <c r="A1" s="9" t="s">
        <v>2</v>
      </c>
      <c r="B1" s="9" t="s">
        <v>4</v>
      </c>
      <c r="C1" s="9" t="s">
        <v>6</v>
      </c>
      <c r="D1" s="9" t="s">
        <v>7</v>
      </c>
      <c r="E1" s="9" t="s">
        <v>10</v>
      </c>
      <c r="F1" s="9" t="s">
        <v>11</v>
      </c>
      <c r="G1" s="18" t="s">
        <v>12</v>
      </c>
      <c r="H1" s="18" t="s">
        <v>14</v>
      </c>
      <c r="I1" s="18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9" t="s">
        <v>24</v>
      </c>
      <c r="S1" s="9" t="s">
        <v>25</v>
      </c>
      <c r="T1" s="9" t="s">
        <v>27</v>
      </c>
      <c r="U1" s="9" t="s">
        <v>28</v>
      </c>
      <c r="V1" s="9" t="s">
        <v>29</v>
      </c>
      <c r="W1" s="9" t="s">
        <v>30</v>
      </c>
      <c r="X1" s="9" t="s">
        <v>31</v>
      </c>
      <c r="Y1" s="9" t="s">
        <v>32</v>
      </c>
      <c r="Z1" s="9" t="s">
        <v>33</v>
      </c>
      <c r="AA1" s="9" t="s">
        <v>34</v>
      </c>
      <c r="AB1" s="9" t="s">
        <v>36</v>
      </c>
      <c r="AC1" s="9" t="s">
        <v>39</v>
      </c>
      <c r="AD1" s="9" t="s">
        <v>40</v>
      </c>
      <c r="AE1" s="9" t="s">
        <v>37</v>
      </c>
      <c r="AF1" s="9" t="s">
        <v>41</v>
      </c>
      <c r="AG1" s="9" t="s">
        <v>42</v>
      </c>
      <c r="AH1" s="9" t="s">
        <v>43</v>
      </c>
      <c r="AI1" s="9" t="s">
        <v>44</v>
      </c>
      <c r="AJ1" s="9" t="s">
        <v>45</v>
      </c>
      <c r="AK1" s="9" t="s">
        <v>46</v>
      </c>
      <c r="AL1" s="9" t="s">
        <v>48</v>
      </c>
      <c r="AM1" s="9" t="s">
        <v>49</v>
      </c>
      <c r="AN1" s="9" t="s">
        <v>50</v>
      </c>
      <c r="AO1" s="9" t="s">
        <v>51</v>
      </c>
      <c r="AP1" s="9" t="s">
        <v>52</v>
      </c>
      <c r="AQ1" s="9" t="s">
        <v>53</v>
      </c>
      <c r="AR1" s="9" t="s">
        <v>55</v>
      </c>
      <c r="AS1" s="9" t="s">
        <v>56</v>
      </c>
      <c r="AT1" s="37" t="s">
        <v>57</v>
      </c>
      <c r="AU1" s="37" t="s">
        <v>58</v>
      </c>
      <c r="AV1" s="38" t="s">
        <v>59</v>
      </c>
      <c r="AW1" s="9" t="s">
        <v>60</v>
      </c>
      <c r="AX1" s="40" t="s">
        <v>62</v>
      </c>
      <c r="AY1" s="40" t="s">
        <v>63</v>
      </c>
      <c r="AZ1" s="9" t="s">
        <v>64</v>
      </c>
      <c r="BA1" s="9" t="s">
        <v>66</v>
      </c>
      <c r="BB1" s="9" t="s">
        <v>67</v>
      </c>
      <c r="BC1" s="9" t="s">
        <v>69</v>
      </c>
      <c r="BD1" s="9" t="s">
        <v>70</v>
      </c>
      <c r="BE1" s="9" t="s">
        <v>71</v>
      </c>
      <c r="BF1" s="9" t="s">
        <v>72</v>
      </c>
      <c r="BG1" s="9" t="s">
        <v>73</v>
      </c>
      <c r="BH1" s="9" t="s">
        <v>75</v>
      </c>
      <c r="BI1" s="9" t="s">
        <v>77</v>
      </c>
      <c r="BJ1" s="9" t="s">
        <v>78</v>
      </c>
      <c r="BK1" s="9" t="s">
        <v>79</v>
      </c>
      <c r="BL1" s="9" t="s">
        <v>80</v>
      </c>
      <c r="BM1" s="9" t="s">
        <v>81</v>
      </c>
      <c r="BN1" s="9" t="s">
        <v>82</v>
      </c>
      <c r="BO1" s="9" t="s">
        <v>84</v>
      </c>
      <c r="BP1" s="9" t="s">
        <v>85</v>
      </c>
      <c r="BQ1" s="9" t="s">
        <v>86</v>
      </c>
      <c r="BR1" s="40" t="s">
        <v>87</v>
      </c>
      <c r="BS1" s="9" t="s">
        <v>88</v>
      </c>
      <c r="BT1" s="47" t="s">
        <v>65</v>
      </c>
      <c r="BU1" s="40" t="s">
        <v>90</v>
      </c>
      <c r="BV1" s="40" t="s">
        <v>91</v>
      </c>
      <c r="BW1" s="40" t="s">
        <v>13</v>
      </c>
      <c r="BX1" s="40" t="s">
        <v>93</v>
      </c>
      <c r="BY1" s="40" t="s">
        <v>94</v>
      </c>
      <c r="BZ1" s="40" t="s">
        <v>95</v>
      </c>
      <c r="CA1" s="40" t="s">
        <v>92</v>
      </c>
      <c r="CB1" s="40" t="s">
        <v>97</v>
      </c>
      <c r="CC1" s="40" t="s">
        <v>98</v>
      </c>
    </row>
    <row r="2" ht="15.0" customHeight="1">
      <c r="A2" s="50">
        <v>46190.70364284722</v>
      </c>
      <c r="B2" s="53" t="s">
        <v>99</v>
      </c>
      <c r="C2" s="54" t="s">
        <v>100</v>
      </c>
      <c r="D2" s="56" t="s">
        <v>101</v>
      </c>
      <c r="E2" s="57">
        <v>46196.583333333336</v>
      </c>
      <c r="F2" s="54" t="s">
        <v>103</v>
      </c>
      <c r="G2" s="60" t="s">
        <v>104</v>
      </c>
      <c r="H2" s="63" t="s">
        <v>106</v>
      </c>
      <c r="I2" s="67" t="s">
        <v>107</v>
      </c>
      <c r="J2" s="70" t="s">
        <v>108</v>
      </c>
      <c r="K2" s="54" t="s">
        <v>109</v>
      </c>
      <c r="L2" s="70" t="s">
        <v>111</v>
      </c>
      <c r="M2" s="77" t="s">
        <v>113</v>
      </c>
      <c r="N2" s="78">
        <v>36141.0</v>
      </c>
      <c r="O2" s="80" t="s">
        <v>27</v>
      </c>
      <c r="P2" s="70" t="s">
        <v>116</v>
      </c>
      <c r="Q2" s="54"/>
      <c r="R2" s="84"/>
      <c r="S2" s="84"/>
      <c r="T2" s="54" t="s">
        <v>122</v>
      </c>
      <c r="U2" s="86"/>
      <c r="V2" s="54"/>
      <c r="W2" s="86"/>
      <c r="X2" s="54"/>
      <c r="Y2" s="78"/>
      <c r="Z2" s="54"/>
      <c r="AA2" s="70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54" t="s">
        <v>127</v>
      </c>
      <c r="AR2" s="83" t="s">
        <v>129</v>
      </c>
      <c r="AS2" s="83" t="s">
        <v>130</v>
      </c>
      <c r="AT2" s="93"/>
      <c r="AU2" s="93" t="s">
        <v>132</v>
      </c>
      <c r="AV2" s="93" t="s">
        <v>132</v>
      </c>
      <c r="AW2" s="83" t="s">
        <v>133</v>
      </c>
      <c r="AX2" s="83">
        <v>3.0</v>
      </c>
      <c r="AY2" s="83">
        <v>1.0</v>
      </c>
      <c r="AZ2" s="83" t="s">
        <v>137</v>
      </c>
      <c r="BA2" s="83" t="s">
        <v>138</v>
      </c>
      <c r="BB2" s="83" t="s">
        <v>139</v>
      </c>
      <c r="BC2" s="54" t="s">
        <v>27</v>
      </c>
      <c r="BD2" s="54" t="str">
        <f t="shared" ref="BD2:BD203" si="1">IF(COUNTA(Q2:AP2)&gt;0,INDEX(Q2:AP2,,max(IF(Q2:AP2&lt;&gt;"",COLUMN(Q2:AP2)))-16),"")</f>
        <v>Arequipa</v>
      </c>
      <c r="BE2" s="54" t="s">
        <v>143</v>
      </c>
      <c r="BF2" s="95" t="s">
        <v>144</v>
      </c>
      <c r="BG2" s="95" t="s">
        <v>142</v>
      </c>
      <c r="BH2" s="54"/>
      <c r="BI2" s="67"/>
      <c r="BJ2" s="67"/>
      <c r="BK2" s="54"/>
      <c r="BL2" s="54" t="s">
        <v>147</v>
      </c>
      <c r="BM2" s="54" t="s">
        <v>146</v>
      </c>
      <c r="BN2" s="104">
        <v>89.0</v>
      </c>
      <c r="BO2" s="83" t="s">
        <v>148</v>
      </c>
      <c r="BP2" s="54" t="s">
        <v>141</v>
      </c>
      <c r="BQ2" s="70" t="s">
        <v>141</v>
      </c>
      <c r="BR2" s="67" t="s">
        <v>149</v>
      </c>
      <c r="BS2" s="83" t="s">
        <v>149</v>
      </c>
      <c r="BT2" s="83"/>
      <c r="BU2" s="109">
        <f t="shared" ref="BU2:BU106" si="2">IF($A2&lt;&gt;"", DATE(YEAR($A2),MONTH($A2),DAY($A2)),"")</f>
        <v>46190</v>
      </c>
      <c r="BV2" s="109">
        <f t="shared" ref="BV2:BV106" si="3">IF($E2&lt;&gt;"",DATE(YEAR($E2),MONTH($E2),DAY($E2)),"")</f>
        <v>46196</v>
      </c>
      <c r="BW2" s="83" t="str">
        <f t="shared" ref="BW2:BW106" si="4">IF($E2&lt;&gt;"",TEXT($E2,"HH"),"")</f>
        <v>14</v>
      </c>
      <c r="BX2" s="106">
        <v>46195.0</v>
      </c>
      <c r="BY2" s="107">
        <v>1.0</v>
      </c>
      <c r="BZ2" s="113">
        <f t="shared" ref="BZ2:BZ203" si="5">IF(B2&lt;&gt;"",VALUE(LEFT(B2)),"")</f>
        <v>7</v>
      </c>
      <c r="CA2" s="113">
        <f t="array" ref="CA2">IF($A2&lt;&gt;"",INDEX(LISTA!$M$2:$N$27,MATCH($BC2,LISTA!$N$2:$N$27,0),1),"")</f>
        <v>7</v>
      </c>
      <c r="CB2" s="54">
        <f t="shared" ref="CB2:CB203" si="6">IF($A2&lt;&gt;"",MONTH(BU2),"")</f>
        <v>6</v>
      </c>
      <c r="CC2" s="86">
        <f t="shared" ref="CC2:CC203" si="7">IF($BX2&lt;&gt;"",MONTH(BX2),"")</f>
        <v>6</v>
      </c>
    </row>
    <row r="3" ht="15.0" customHeight="1" outlineLevel="1">
      <c r="A3" s="50">
        <v>46198.86194633102</v>
      </c>
      <c r="B3" s="53" t="s">
        <v>99</v>
      </c>
      <c r="C3" s="54" t="s">
        <v>100</v>
      </c>
      <c r="D3" s="56" t="s">
        <v>150</v>
      </c>
      <c r="E3" s="57">
        <v>46200.458333333336</v>
      </c>
      <c r="F3" s="54" t="s">
        <v>151</v>
      </c>
      <c r="G3" s="60" t="s">
        <v>152</v>
      </c>
      <c r="H3" s="63" t="s">
        <v>154</v>
      </c>
      <c r="I3" s="67" t="s">
        <v>156</v>
      </c>
      <c r="J3" s="70" t="s">
        <v>157</v>
      </c>
      <c r="K3" s="54" t="s">
        <v>109</v>
      </c>
      <c r="L3" s="70" t="s">
        <v>159</v>
      </c>
      <c r="M3" s="77" t="s">
        <v>161</v>
      </c>
      <c r="N3" s="78">
        <v>37407.0</v>
      </c>
      <c r="O3" s="80" t="s">
        <v>49</v>
      </c>
      <c r="P3" s="70" t="s">
        <v>164</v>
      </c>
      <c r="Q3" s="54"/>
      <c r="R3" s="84"/>
      <c r="S3" s="84"/>
      <c r="T3" s="54"/>
      <c r="U3" s="86"/>
      <c r="V3" s="54"/>
      <c r="W3" s="86"/>
      <c r="X3" s="54"/>
      <c r="Y3" s="78"/>
      <c r="Z3" s="54"/>
      <c r="AA3" s="70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 t="s">
        <v>166</v>
      </c>
      <c r="AN3" s="83"/>
      <c r="AO3" s="83"/>
      <c r="AP3" s="83"/>
      <c r="AQ3" s="54" t="s">
        <v>167</v>
      </c>
      <c r="AR3" s="83" t="s">
        <v>168</v>
      </c>
      <c r="AS3" s="83" t="s">
        <v>169</v>
      </c>
      <c r="AT3" s="93"/>
      <c r="AU3" s="93" t="s">
        <v>157</v>
      </c>
      <c r="AV3" s="93" t="s">
        <v>157</v>
      </c>
      <c r="AW3" s="83" t="s">
        <v>171</v>
      </c>
      <c r="AX3" s="83">
        <v>1.0</v>
      </c>
      <c r="AY3" s="83" t="s">
        <v>174</v>
      </c>
      <c r="AZ3" s="83" t="s">
        <v>175</v>
      </c>
      <c r="BA3" s="83" t="s">
        <v>176</v>
      </c>
      <c r="BB3" s="83" t="s">
        <v>177</v>
      </c>
      <c r="BC3" s="54" t="s">
        <v>49</v>
      </c>
      <c r="BD3" s="54" t="str">
        <f t="shared" si="1"/>
        <v>San Martín</v>
      </c>
      <c r="BE3" s="54" t="s">
        <v>140</v>
      </c>
      <c r="BF3" s="95" t="s">
        <v>144</v>
      </c>
      <c r="BG3" s="95" t="s">
        <v>142</v>
      </c>
      <c r="BH3" s="54"/>
      <c r="BI3" s="67"/>
      <c r="BJ3" s="67"/>
      <c r="BK3" s="54"/>
      <c r="BL3" s="54" t="s">
        <v>147</v>
      </c>
      <c r="BM3" s="54" t="s">
        <v>146</v>
      </c>
      <c r="BN3" s="104">
        <v>89.0</v>
      </c>
      <c r="BO3" s="83" t="s">
        <v>148</v>
      </c>
      <c r="BP3" s="54" t="s">
        <v>141</v>
      </c>
      <c r="BQ3" s="70" t="s">
        <v>141</v>
      </c>
      <c r="BR3" s="67" t="s">
        <v>149</v>
      </c>
      <c r="BS3" s="83">
        <v>1.0</v>
      </c>
      <c r="BT3" s="83"/>
      <c r="BU3" s="109">
        <f t="shared" si="2"/>
        <v>46198</v>
      </c>
      <c r="BV3" s="109">
        <f t="shared" si="3"/>
        <v>46200</v>
      </c>
      <c r="BW3" s="83" t="str">
        <f t="shared" si="4"/>
        <v>11</v>
      </c>
      <c r="BX3" s="106">
        <v>46199.0</v>
      </c>
      <c r="BY3" s="107">
        <v>1.0</v>
      </c>
      <c r="BZ3" s="113">
        <f t="shared" si="5"/>
        <v>7</v>
      </c>
      <c r="CA3" s="113">
        <f t="array" ref="CA3">IF($A3&lt;&gt;"",INDEX(LISTA!$M$2:$N$27,MATCH($BC3,LISTA!$N$2:$N$27,0),1),"")</f>
        <v>23</v>
      </c>
      <c r="CB3" s="54">
        <f t="shared" si="6"/>
        <v>6</v>
      </c>
      <c r="CC3" s="86">
        <f t="shared" si="7"/>
        <v>6</v>
      </c>
    </row>
    <row r="4" ht="15.0" customHeight="1" outlineLevel="1">
      <c r="A4" s="50">
        <v>46193.6755761574</v>
      </c>
      <c r="B4" s="53" t="s">
        <v>99</v>
      </c>
      <c r="C4" s="54" t="s">
        <v>100</v>
      </c>
      <c r="D4" s="56" t="s">
        <v>150</v>
      </c>
      <c r="E4" s="57">
        <v>46196.458333333336</v>
      </c>
      <c r="F4" s="54" t="s">
        <v>183</v>
      </c>
      <c r="G4" s="60" t="s">
        <v>184</v>
      </c>
      <c r="H4" s="63" t="s">
        <v>185</v>
      </c>
      <c r="I4" s="67" t="s">
        <v>107</v>
      </c>
      <c r="J4" s="70" t="s">
        <v>186</v>
      </c>
      <c r="K4" s="54" t="s">
        <v>109</v>
      </c>
      <c r="L4" s="70" t="s">
        <v>188</v>
      </c>
      <c r="M4" s="77" t="s">
        <v>190</v>
      </c>
      <c r="N4" s="78">
        <v>26578.0</v>
      </c>
      <c r="O4" s="80" t="s">
        <v>46</v>
      </c>
      <c r="P4" s="70" t="s">
        <v>193</v>
      </c>
      <c r="Q4" s="54"/>
      <c r="R4" s="84"/>
      <c r="S4" s="84"/>
      <c r="T4" s="54"/>
      <c r="U4" s="86"/>
      <c r="V4" s="54"/>
      <c r="W4" s="86"/>
      <c r="X4" s="54"/>
      <c r="Y4" s="78"/>
      <c r="Z4" s="54"/>
      <c r="AA4" s="70"/>
      <c r="AB4" s="83"/>
      <c r="AC4" s="83"/>
      <c r="AD4" s="83"/>
      <c r="AE4" s="83"/>
      <c r="AF4" s="83"/>
      <c r="AG4" s="83"/>
      <c r="AH4" s="83"/>
      <c r="AI4" s="83"/>
      <c r="AJ4" s="83"/>
      <c r="AK4" s="83" t="s">
        <v>199</v>
      </c>
      <c r="AL4" s="83"/>
      <c r="AM4" s="83"/>
      <c r="AN4" s="83"/>
      <c r="AO4" s="83"/>
      <c r="AP4" s="83"/>
      <c r="AQ4" s="54" t="s">
        <v>200</v>
      </c>
      <c r="AR4" s="83" t="s">
        <v>201</v>
      </c>
      <c r="AS4" s="83" t="s">
        <v>202</v>
      </c>
      <c r="AT4" s="93"/>
      <c r="AU4" s="93" t="s">
        <v>186</v>
      </c>
      <c r="AV4" s="93" t="s">
        <v>186</v>
      </c>
      <c r="AW4" s="83" t="s">
        <v>206</v>
      </c>
      <c r="AX4" s="83">
        <v>2.0</v>
      </c>
      <c r="AY4" s="83">
        <v>1.0</v>
      </c>
      <c r="AZ4" s="83" t="s">
        <v>207</v>
      </c>
      <c r="BA4" s="83" t="s">
        <v>207</v>
      </c>
      <c r="BB4" s="83" t="s">
        <v>208</v>
      </c>
      <c r="BC4" s="54" t="s">
        <v>46</v>
      </c>
      <c r="BD4" s="54" t="str">
        <f t="shared" si="1"/>
        <v>Piura</v>
      </c>
      <c r="BE4" s="54" t="s">
        <v>140</v>
      </c>
      <c r="BF4" s="95" t="s">
        <v>141</v>
      </c>
      <c r="BG4" s="95" t="s">
        <v>142</v>
      </c>
      <c r="BH4" s="54"/>
      <c r="BI4" s="67"/>
      <c r="BJ4" s="67"/>
      <c r="BK4" s="54"/>
      <c r="BL4" s="54" t="s">
        <v>213</v>
      </c>
      <c r="BM4" s="54" t="s">
        <v>146</v>
      </c>
      <c r="BN4" s="104">
        <v>110.0</v>
      </c>
      <c r="BO4" s="83" t="s">
        <v>182</v>
      </c>
      <c r="BP4" s="54" t="s">
        <v>144</v>
      </c>
      <c r="BQ4" s="70" t="s">
        <v>141</v>
      </c>
      <c r="BR4" s="67" t="s">
        <v>149</v>
      </c>
      <c r="BS4" s="83">
        <v>1.0</v>
      </c>
      <c r="BT4" s="83"/>
      <c r="BU4" s="109">
        <f t="shared" si="2"/>
        <v>46193</v>
      </c>
      <c r="BV4" s="109">
        <f t="shared" si="3"/>
        <v>46196</v>
      </c>
      <c r="BW4" s="83" t="str">
        <f t="shared" si="4"/>
        <v>11</v>
      </c>
      <c r="BX4" s="106">
        <v>46194.0</v>
      </c>
      <c r="BY4" s="107">
        <v>3.0</v>
      </c>
      <c r="BZ4" s="113">
        <f t="shared" si="5"/>
        <v>7</v>
      </c>
      <c r="CA4" s="113">
        <f t="array" ref="CA4">IF($A4&lt;&gt;"",INDEX(LISTA!$M$2:$N$27,MATCH($BC4,LISTA!$N$2:$N$27,0),1),"")</f>
        <v>21</v>
      </c>
      <c r="CB4" s="54">
        <f t="shared" si="6"/>
        <v>6</v>
      </c>
      <c r="CC4" s="86">
        <f t="shared" si="7"/>
        <v>6</v>
      </c>
    </row>
    <row r="5" ht="15.0" customHeight="1" outlineLevel="1">
      <c r="A5" s="50">
        <v>46198.42127554398</v>
      </c>
      <c r="B5" s="53" t="s">
        <v>99</v>
      </c>
      <c r="C5" s="54" t="s">
        <v>100</v>
      </c>
      <c r="D5" s="56" t="s">
        <v>101</v>
      </c>
      <c r="E5" s="57">
        <v>46198.666666666664</v>
      </c>
      <c r="F5" s="54" t="s">
        <v>215</v>
      </c>
      <c r="G5" s="60" t="s">
        <v>216</v>
      </c>
      <c r="H5" s="63" t="s">
        <v>217</v>
      </c>
      <c r="I5" s="67" t="s">
        <v>192</v>
      </c>
      <c r="J5" s="70" t="s">
        <v>220</v>
      </c>
      <c r="K5" s="54" t="s">
        <v>109</v>
      </c>
      <c r="L5" s="70" t="s">
        <v>222</v>
      </c>
      <c r="M5" s="77" t="s">
        <v>224</v>
      </c>
      <c r="N5" s="78">
        <v>33617.0</v>
      </c>
      <c r="O5" s="80" t="s">
        <v>45</v>
      </c>
      <c r="P5" s="70" t="s">
        <v>226</v>
      </c>
      <c r="Q5" s="54"/>
      <c r="R5" s="84"/>
      <c r="S5" s="84"/>
      <c r="T5" s="54"/>
      <c r="U5" s="86"/>
      <c r="V5" s="54"/>
      <c r="W5" s="86"/>
      <c r="X5" s="54"/>
      <c r="Y5" s="78"/>
      <c r="Z5" s="54"/>
      <c r="AA5" s="70"/>
      <c r="AB5" s="83" t="s">
        <v>229</v>
      </c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54" t="s">
        <v>231</v>
      </c>
      <c r="AR5" s="83" t="s">
        <v>232</v>
      </c>
      <c r="AS5" s="83" t="s">
        <v>233</v>
      </c>
      <c r="AT5" s="93"/>
      <c r="AU5" s="93" t="s">
        <v>220</v>
      </c>
      <c r="AV5" s="93" t="s">
        <v>220</v>
      </c>
      <c r="AW5" s="83" t="s">
        <v>235</v>
      </c>
      <c r="AX5" s="83">
        <v>2.0</v>
      </c>
      <c r="AY5" s="83" t="s">
        <v>238</v>
      </c>
      <c r="AZ5" s="83" t="s">
        <v>240</v>
      </c>
      <c r="BA5" s="83" t="s">
        <v>241</v>
      </c>
      <c r="BB5" s="83" t="s">
        <v>242</v>
      </c>
      <c r="BC5" s="54" t="s">
        <v>36</v>
      </c>
      <c r="BD5" s="54" t="str">
        <f t="shared" si="1"/>
        <v>Chanchamayo</v>
      </c>
      <c r="BE5" s="54" t="s">
        <v>140</v>
      </c>
      <c r="BF5" s="95" t="s">
        <v>141</v>
      </c>
      <c r="BG5" s="95" t="s">
        <v>142</v>
      </c>
      <c r="BH5" s="54"/>
      <c r="BI5" s="67"/>
      <c r="BJ5" s="67"/>
      <c r="BK5" s="54"/>
      <c r="BL5" s="54" t="s">
        <v>147</v>
      </c>
      <c r="BM5" s="54" t="s">
        <v>247</v>
      </c>
      <c r="BN5" s="104">
        <v>89.0</v>
      </c>
      <c r="BO5" s="83" t="s">
        <v>148</v>
      </c>
      <c r="BP5" s="54" t="s">
        <v>141</v>
      </c>
      <c r="BQ5" s="70" t="s">
        <v>141</v>
      </c>
      <c r="BR5" s="67" t="s">
        <v>149</v>
      </c>
      <c r="BS5" s="83">
        <v>1.0</v>
      </c>
      <c r="BT5" s="83"/>
      <c r="BU5" s="109">
        <f t="shared" si="2"/>
        <v>46198</v>
      </c>
      <c r="BV5" s="109">
        <f t="shared" si="3"/>
        <v>46198</v>
      </c>
      <c r="BW5" s="83" t="str">
        <f t="shared" si="4"/>
        <v>16</v>
      </c>
      <c r="BX5" s="106">
        <v>46198.0</v>
      </c>
      <c r="BY5" s="107">
        <v>2.0</v>
      </c>
      <c r="BZ5" s="113">
        <f t="shared" si="5"/>
        <v>7</v>
      </c>
      <c r="CA5" s="113">
        <f t="array" ref="CA5">IF($A5&lt;&gt;"",INDEX(LISTA!$M$2:$N$27,MATCH($BC5,LISTA!$N$2:$N$27,0),1),"")</f>
        <v>14</v>
      </c>
      <c r="CB5" s="54">
        <f t="shared" si="6"/>
        <v>6</v>
      </c>
      <c r="CC5" s="86">
        <f t="shared" si="7"/>
        <v>6</v>
      </c>
    </row>
    <row r="6" ht="15.0" customHeight="1" outlineLevel="1">
      <c r="A6" s="50">
        <v>46200.49461401621</v>
      </c>
      <c r="B6" s="53" t="s">
        <v>99</v>
      </c>
      <c r="C6" s="54" t="s">
        <v>100</v>
      </c>
      <c r="D6" s="56" t="s">
        <v>101</v>
      </c>
      <c r="E6" s="57">
        <v>46202.458333333336</v>
      </c>
      <c r="F6" s="54" t="s">
        <v>248</v>
      </c>
      <c r="G6" s="60" t="s">
        <v>249</v>
      </c>
      <c r="H6" s="63" t="s">
        <v>250</v>
      </c>
      <c r="I6" s="67" t="s">
        <v>192</v>
      </c>
      <c r="J6" s="70" t="s">
        <v>252</v>
      </c>
      <c r="K6" s="54" t="s">
        <v>109</v>
      </c>
      <c r="L6" s="70" t="s">
        <v>253</v>
      </c>
      <c r="M6" s="77" t="s">
        <v>254</v>
      </c>
      <c r="N6" s="78">
        <v>28883.0</v>
      </c>
      <c r="O6" s="80" t="s">
        <v>45</v>
      </c>
      <c r="P6" s="70" t="s">
        <v>258</v>
      </c>
      <c r="Q6" s="54"/>
      <c r="R6" s="84"/>
      <c r="S6" s="84"/>
      <c r="T6" s="54"/>
      <c r="U6" s="86"/>
      <c r="V6" s="54"/>
      <c r="W6" s="86"/>
      <c r="X6" s="54"/>
      <c r="Y6" s="78"/>
      <c r="Z6" s="54" t="s">
        <v>267</v>
      </c>
      <c r="AA6" s="70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54" t="s">
        <v>269</v>
      </c>
      <c r="AR6" s="83" t="s">
        <v>270</v>
      </c>
      <c r="AS6" s="83" t="s">
        <v>271</v>
      </c>
      <c r="AT6" s="93"/>
      <c r="AU6" s="93" t="s">
        <v>252</v>
      </c>
      <c r="AV6" s="93" t="s">
        <v>252</v>
      </c>
      <c r="AW6" s="83" t="s">
        <v>272</v>
      </c>
      <c r="AX6" s="83">
        <v>2.0</v>
      </c>
      <c r="AY6" s="83" t="s">
        <v>238</v>
      </c>
      <c r="AZ6" s="83" t="s">
        <v>274</v>
      </c>
      <c r="BA6" s="83" t="s">
        <v>276</v>
      </c>
      <c r="BB6" s="83" t="s">
        <v>278</v>
      </c>
      <c r="BC6" s="54" t="s">
        <v>33</v>
      </c>
      <c r="BD6" s="54" t="str">
        <f t="shared" si="1"/>
        <v>Huánuco</v>
      </c>
      <c r="BE6" s="54" t="s">
        <v>140</v>
      </c>
      <c r="BF6" s="95" t="s">
        <v>141</v>
      </c>
      <c r="BG6" s="95" t="s">
        <v>142</v>
      </c>
      <c r="BH6" s="54"/>
      <c r="BI6" s="67"/>
      <c r="BJ6" s="67"/>
      <c r="BK6" s="54"/>
      <c r="BL6" s="54" t="s">
        <v>213</v>
      </c>
      <c r="BM6" s="54" t="s">
        <v>214</v>
      </c>
      <c r="BN6" s="104">
        <v>110.0</v>
      </c>
      <c r="BO6" s="83" t="s">
        <v>182</v>
      </c>
      <c r="BP6" s="54"/>
      <c r="BQ6" s="70" t="s">
        <v>141</v>
      </c>
      <c r="BR6" s="67" t="s">
        <v>149</v>
      </c>
      <c r="BS6" s="83">
        <v>1.0</v>
      </c>
      <c r="BT6" s="83"/>
      <c r="BU6" s="109">
        <f t="shared" si="2"/>
        <v>46200</v>
      </c>
      <c r="BV6" s="109">
        <f t="shared" si="3"/>
        <v>46202</v>
      </c>
      <c r="BW6" s="83" t="str">
        <f t="shared" si="4"/>
        <v>11</v>
      </c>
      <c r="BX6" s="106">
        <v>46202.0</v>
      </c>
      <c r="BY6" s="107">
        <v>4.0</v>
      </c>
      <c r="BZ6" s="113">
        <f t="shared" si="5"/>
        <v>7</v>
      </c>
      <c r="CA6" s="113">
        <f t="array" ref="CA6">IF($A6&lt;&gt;"",INDEX(LISTA!$M$2:$N$27,MATCH($BC6,LISTA!$N$2:$N$27,0),1),"")</f>
        <v>12</v>
      </c>
      <c r="CB6" s="54">
        <f t="shared" si="6"/>
        <v>6</v>
      </c>
      <c r="CC6" s="86">
        <f t="shared" si="7"/>
        <v>6</v>
      </c>
    </row>
    <row r="7" ht="15.0" customHeight="1" outlineLevel="1">
      <c r="A7" s="50">
        <v>46196.508011412036</v>
      </c>
      <c r="B7" s="53" t="s">
        <v>99</v>
      </c>
      <c r="C7" s="54" t="s">
        <v>100</v>
      </c>
      <c r="D7" s="56" t="s">
        <v>101</v>
      </c>
      <c r="E7" s="57">
        <v>46197.458333333336</v>
      </c>
      <c r="F7" s="54" t="s">
        <v>284</v>
      </c>
      <c r="G7" s="60" t="s">
        <v>285</v>
      </c>
      <c r="H7" s="63" t="s">
        <v>286</v>
      </c>
      <c r="I7" s="67" t="s">
        <v>287</v>
      </c>
      <c r="J7" s="70" t="s">
        <v>288</v>
      </c>
      <c r="K7" s="54" t="s">
        <v>109</v>
      </c>
      <c r="L7" s="70" t="s">
        <v>290</v>
      </c>
      <c r="M7" s="77" t="s">
        <v>291</v>
      </c>
      <c r="N7" s="78">
        <v>33581.0</v>
      </c>
      <c r="O7" s="80" t="s">
        <v>41</v>
      </c>
      <c r="P7" s="70" t="s">
        <v>295</v>
      </c>
      <c r="Q7" s="54"/>
      <c r="R7" s="84"/>
      <c r="S7" s="84"/>
      <c r="T7" s="54"/>
      <c r="U7" s="86"/>
      <c r="V7" s="54"/>
      <c r="W7" s="86"/>
      <c r="X7" s="54"/>
      <c r="Y7" s="78"/>
      <c r="Z7" s="54"/>
      <c r="AA7" s="70"/>
      <c r="AB7" s="83"/>
      <c r="AC7" s="83"/>
      <c r="AD7" s="83"/>
      <c r="AE7" s="83"/>
      <c r="AF7" s="83" t="s">
        <v>300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54" t="s">
        <v>309</v>
      </c>
      <c r="AR7" s="83" t="s">
        <v>310</v>
      </c>
      <c r="AS7" s="83" t="s">
        <v>312</v>
      </c>
      <c r="AT7" s="93"/>
      <c r="AU7" s="93" t="s">
        <v>288</v>
      </c>
      <c r="AV7" s="93" t="s">
        <v>313</v>
      </c>
      <c r="AW7" s="83" t="s">
        <v>314</v>
      </c>
      <c r="AX7" s="83">
        <v>2.0</v>
      </c>
      <c r="AY7" s="83">
        <v>0.0</v>
      </c>
      <c r="AZ7" s="83" t="s">
        <v>318</v>
      </c>
      <c r="BA7" s="83" t="s">
        <v>320</v>
      </c>
      <c r="BB7" s="83" t="s">
        <v>322</v>
      </c>
      <c r="BC7" s="54" t="s">
        <v>41</v>
      </c>
      <c r="BD7" s="54" t="str">
        <f t="shared" si="1"/>
        <v>Ate</v>
      </c>
      <c r="BE7" s="54" t="s">
        <v>140</v>
      </c>
      <c r="BF7" s="95" t="s">
        <v>141</v>
      </c>
      <c r="BG7" s="95" t="s">
        <v>142</v>
      </c>
      <c r="BH7" s="54"/>
      <c r="BI7" s="67"/>
      <c r="BJ7" s="67"/>
      <c r="BK7" s="54"/>
      <c r="BL7" s="54" t="s">
        <v>147</v>
      </c>
      <c r="BM7" s="54" t="s">
        <v>146</v>
      </c>
      <c r="BN7" s="104">
        <v>100.0</v>
      </c>
      <c r="BO7" s="83" t="s">
        <v>330</v>
      </c>
      <c r="BP7" s="54" t="s">
        <v>141</v>
      </c>
      <c r="BQ7" s="70" t="s">
        <v>141</v>
      </c>
      <c r="BR7" s="67" t="s">
        <v>149</v>
      </c>
      <c r="BS7" s="83">
        <v>2.0</v>
      </c>
      <c r="BT7" s="83"/>
      <c r="BU7" s="109">
        <f t="shared" si="2"/>
        <v>46196</v>
      </c>
      <c r="BV7" s="109">
        <f t="shared" si="3"/>
        <v>46197</v>
      </c>
      <c r="BW7" s="83" t="str">
        <f t="shared" si="4"/>
        <v>11</v>
      </c>
      <c r="BX7" s="106">
        <v>46197.0</v>
      </c>
      <c r="BY7" s="107">
        <v>1.0</v>
      </c>
      <c r="BZ7" s="113">
        <f t="shared" si="5"/>
        <v>7</v>
      </c>
      <c r="CA7" s="113">
        <f t="array" ref="CA7">IF($A7&lt;&gt;"",INDEX(LISTA!$M$2:$N$27,MATCH($BC7,LISTA!$N$2:$N$27,0),1),"")</f>
        <v>1</v>
      </c>
      <c r="CB7" s="54">
        <f t="shared" si="6"/>
        <v>6</v>
      </c>
      <c r="CC7" s="86">
        <f t="shared" si="7"/>
        <v>6</v>
      </c>
    </row>
    <row r="8" ht="15.0" customHeight="1" outlineLevel="1">
      <c r="A8" s="50">
        <v>46179.519982928236</v>
      </c>
      <c r="B8" s="53" t="s">
        <v>99</v>
      </c>
      <c r="C8" s="54" t="s">
        <v>100</v>
      </c>
      <c r="D8" s="56" t="s">
        <v>101</v>
      </c>
      <c r="E8" s="57">
        <v>46185.583333333336</v>
      </c>
      <c r="F8" s="54" t="s">
        <v>5</v>
      </c>
      <c r="G8" s="60" t="s">
        <v>110</v>
      </c>
      <c r="H8" s="63" t="s">
        <v>112</v>
      </c>
      <c r="I8" s="67" t="s">
        <v>114</v>
      </c>
      <c r="J8" s="70" t="s">
        <v>115</v>
      </c>
      <c r="K8" s="54" t="s">
        <v>109</v>
      </c>
      <c r="L8" s="70" t="s">
        <v>117</v>
      </c>
      <c r="M8" s="77" t="s">
        <v>118</v>
      </c>
      <c r="N8" s="78">
        <v>31658.0</v>
      </c>
      <c r="O8" s="80" t="s">
        <v>37</v>
      </c>
      <c r="P8" s="70" t="s">
        <v>119</v>
      </c>
      <c r="Q8" s="54"/>
      <c r="R8" s="84"/>
      <c r="S8" s="84"/>
      <c r="T8" s="54"/>
      <c r="U8" s="86"/>
      <c r="V8" s="54"/>
      <c r="W8" s="86"/>
      <c r="X8" s="54"/>
      <c r="Y8" s="78"/>
      <c r="Z8" s="54"/>
      <c r="AA8" s="70"/>
      <c r="AB8" s="83"/>
      <c r="AC8" s="83"/>
      <c r="AD8" s="83"/>
      <c r="AE8" s="83"/>
      <c r="AF8" s="83" t="s">
        <v>123</v>
      </c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54" t="s">
        <v>124</v>
      </c>
      <c r="AR8" s="83" t="s">
        <v>125</v>
      </c>
      <c r="AS8" s="83" t="s">
        <v>126</v>
      </c>
      <c r="AT8" s="83"/>
      <c r="AU8" s="93" t="s">
        <v>128</v>
      </c>
      <c r="AV8" s="93" t="s">
        <v>128</v>
      </c>
      <c r="AW8" s="83" t="s">
        <v>131</v>
      </c>
      <c r="AX8" s="83">
        <v>4.0</v>
      </c>
      <c r="AY8" s="83">
        <v>402.0</v>
      </c>
      <c r="AZ8" s="83" t="s">
        <v>134</v>
      </c>
      <c r="BA8" s="83" t="s">
        <v>135</v>
      </c>
      <c r="BB8" s="83" t="s">
        <v>136</v>
      </c>
      <c r="BC8" s="54" t="s">
        <v>41</v>
      </c>
      <c r="BD8" s="54" t="str">
        <f t="shared" si="1"/>
        <v>Santiago de Surco</v>
      </c>
      <c r="BE8" s="54" t="s">
        <v>140</v>
      </c>
      <c r="BF8" s="95" t="s">
        <v>141</v>
      </c>
      <c r="BG8" s="95" t="s">
        <v>142</v>
      </c>
      <c r="BH8" s="54"/>
      <c r="BI8" s="67"/>
      <c r="BJ8" s="67"/>
      <c r="BK8" s="54"/>
      <c r="BL8" s="54" t="s">
        <v>145</v>
      </c>
      <c r="BM8" s="54" t="s">
        <v>146</v>
      </c>
      <c r="BN8" s="104">
        <v>170.0</v>
      </c>
      <c r="BO8" s="83" t="s">
        <v>148</v>
      </c>
      <c r="BP8" s="54" t="s">
        <v>141</v>
      </c>
      <c r="BQ8" s="70" t="s">
        <v>141</v>
      </c>
      <c r="BR8" s="67" t="s">
        <v>149</v>
      </c>
      <c r="BS8" s="83" t="s">
        <v>149</v>
      </c>
      <c r="BT8" s="83"/>
      <c r="BU8" s="109">
        <f t="shared" si="2"/>
        <v>46179</v>
      </c>
      <c r="BV8" s="109">
        <f t="shared" si="3"/>
        <v>46185</v>
      </c>
      <c r="BW8" s="83" t="str">
        <f t="shared" si="4"/>
        <v>14</v>
      </c>
      <c r="BX8" s="106">
        <v>46185.0</v>
      </c>
      <c r="BY8" s="107">
        <v>1.0</v>
      </c>
      <c r="BZ8" s="113">
        <f t="shared" si="5"/>
        <v>7</v>
      </c>
      <c r="CA8" s="113">
        <f t="array" ref="CA8">IF($A8&lt;&gt;"",INDEX(LISTA!$M$2:$N$27,MATCH($BC8,LISTA!$N$2:$N$27,0),1),"")</f>
        <v>1</v>
      </c>
      <c r="CB8" s="54">
        <f t="shared" si="6"/>
        <v>6</v>
      </c>
      <c r="CC8" s="86">
        <f t="shared" si="7"/>
        <v>6</v>
      </c>
    </row>
    <row r="9" ht="15.0" customHeight="1" outlineLevel="1">
      <c r="A9" s="50">
        <v>46192.65695234954</v>
      </c>
      <c r="B9" s="53" t="s">
        <v>99</v>
      </c>
      <c r="C9" s="54" t="s">
        <v>100</v>
      </c>
      <c r="D9" s="56" t="s">
        <v>150</v>
      </c>
      <c r="E9" s="57">
        <v>46193.458333333336</v>
      </c>
      <c r="F9" s="54" t="s">
        <v>255</v>
      </c>
      <c r="G9" s="60" t="s">
        <v>256</v>
      </c>
      <c r="H9" s="63" t="s">
        <v>257</v>
      </c>
      <c r="I9" s="67" t="s">
        <v>260</v>
      </c>
      <c r="J9" s="70" t="s">
        <v>261</v>
      </c>
      <c r="K9" s="54" t="s">
        <v>109</v>
      </c>
      <c r="L9" s="70" t="s">
        <v>263</v>
      </c>
      <c r="M9" s="77" t="s">
        <v>265</v>
      </c>
      <c r="N9" s="78">
        <v>31436.0</v>
      </c>
      <c r="O9" s="80" t="s">
        <v>41</v>
      </c>
      <c r="P9" s="70" t="s">
        <v>266</v>
      </c>
      <c r="Q9" s="54"/>
      <c r="R9" s="84"/>
      <c r="S9" s="84"/>
      <c r="T9" s="54"/>
      <c r="U9" s="86"/>
      <c r="V9" s="54"/>
      <c r="W9" s="86"/>
      <c r="X9" s="54"/>
      <c r="Y9" s="78"/>
      <c r="Z9" s="54"/>
      <c r="AA9" s="70"/>
      <c r="AB9" s="83"/>
      <c r="AC9" s="83"/>
      <c r="AD9" s="83"/>
      <c r="AE9" s="83"/>
      <c r="AF9" s="83" t="s">
        <v>268</v>
      </c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54" t="s">
        <v>273</v>
      </c>
      <c r="AR9" s="83" t="s">
        <v>275</v>
      </c>
      <c r="AS9" s="83" t="s">
        <v>277</v>
      </c>
      <c r="AT9" s="93"/>
      <c r="AU9" s="93" t="s">
        <v>261</v>
      </c>
      <c r="AV9" s="93" t="s">
        <v>261</v>
      </c>
      <c r="AW9" s="83" t="s">
        <v>279</v>
      </c>
      <c r="AX9" s="83">
        <v>1.0</v>
      </c>
      <c r="AY9" s="83">
        <v>1.0</v>
      </c>
      <c r="AZ9" s="83" t="s">
        <v>280</v>
      </c>
      <c r="BA9" s="83" t="s">
        <v>281</v>
      </c>
      <c r="BB9" s="83" t="s">
        <v>282</v>
      </c>
      <c r="BC9" s="54" t="s">
        <v>41</v>
      </c>
      <c r="BD9" s="54" t="str">
        <f t="shared" si="1"/>
        <v>Lince</v>
      </c>
      <c r="BE9" s="54" t="s">
        <v>140</v>
      </c>
      <c r="BF9" s="95" t="s">
        <v>144</v>
      </c>
      <c r="BG9" s="95" t="s">
        <v>142</v>
      </c>
      <c r="BH9" s="54"/>
      <c r="BI9" s="67"/>
      <c r="BJ9" s="67"/>
      <c r="BK9" s="54"/>
      <c r="BL9" s="54" t="s">
        <v>283</v>
      </c>
      <c r="BM9" s="54" t="s">
        <v>146</v>
      </c>
      <c r="BN9" s="104">
        <v>94.0</v>
      </c>
      <c r="BO9" s="83" t="s">
        <v>148</v>
      </c>
      <c r="BP9" s="54" t="s">
        <v>141</v>
      </c>
      <c r="BQ9" s="70" t="s">
        <v>144</v>
      </c>
      <c r="BR9" s="67" t="s">
        <v>149</v>
      </c>
      <c r="BS9" s="83">
        <v>1.0</v>
      </c>
      <c r="BT9" s="83"/>
      <c r="BU9" s="109">
        <f t="shared" si="2"/>
        <v>46192</v>
      </c>
      <c r="BV9" s="109">
        <f t="shared" si="3"/>
        <v>46193</v>
      </c>
      <c r="BW9" s="83" t="str">
        <f t="shared" si="4"/>
        <v>11</v>
      </c>
      <c r="BX9" s="106">
        <v>46194.0</v>
      </c>
      <c r="BY9" s="107">
        <v>1.0</v>
      </c>
      <c r="BZ9" s="113">
        <f t="shared" si="5"/>
        <v>7</v>
      </c>
      <c r="CA9" s="113">
        <f t="array" ref="CA9">IF($A9&lt;&gt;"",INDEX(LISTA!$M$2:$N$27,MATCH($BC9,LISTA!$N$2:$N$27,0),1),"")</f>
        <v>1</v>
      </c>
      <c r="CB9" s="54">
        <f t="shared" si="6"/>
        <v>6</v>
      </c>
      <c r="CC9" s="86">
        <f t="shared" si="7"/>
        <v>6</v>
      </c>
    </row>
    <row r="10" ht="15.0" customHeight="1" outlineLevel="1">
      <c r="A10" s="50">
        <v>46196.57626824074</v>
      </c>
      <c r="B10" s="53" t="s">
        <v>99</v>
      </c>
      <c r="C10" s="54" t="s">
        <v>100</v>
      </c>
      <c r="D10" s="56" t="s">
        <v>101</v>
      </c>
      <c r="E10" s="57">
        <v>46199.583333333336</v>
      </c>
      <c r="F10" s="54" t="s">
        <v>451</v>
      </c>
      <c r="G10" s="60" t="s">
        <v>453</v>
      </c>
      <c r="H10" s="63" t="s">
        <v>455</v>
      </c>
      <c r="I10" s="67" t="s">
        <v>360</v>
      </c>
      <c r="J10" s="70" t="s">
        <v>456</v>
      </c>
      <c r="K10" s="54" t="s">
        <v>109</v>
      </c>
      <c r="L10" s="70" t="s">
        <v>457</v>
      </c>
      <c r="M10" s="77" t="s">
        <v>458</v>
      </c>
      <c r="N10" s="78">
        <v>34087.0</v>
      </c>
      <c r="O10" s="80" t="s">
        <v>41</v>
      </c>
      <c r="P10" s="70" t="s">
        <v>459</v>
      </c>
      <c r="Q10" s="54"/>
      <c r="R10" s="84"/>
      <c r="S10" s="84"/>
      <c r="T10" s="54"/>
      <c r="U10" s="86"/>
      <c r="V10" s="54"/>
      <c r="W10" s="86"/>
      <c r="X10" s="54"/>
      <c r="Y10" s="78"/>
      <c r="Z10" s="54"/>
      <c r="AA10" s="70"/>
      <c r="AB10" s="83"/>
      <c r="AC10" s="83"/>
      <c r="AD10" s="83"/>
      <c r="AE10" s="83"/>
      <c r="AF10" s="83" t="s">
        <v>467</v>
      </c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54" t="s">
        <v>472</v>
      </c>
      <c r="AR10" s="83" t="s">
        <v>473</v>
      </c>
      <c r="AS10" s="83" t="s">
        <v>474</v>
      </c>
      <c r="AT10" s="93"/>
      <c r="AU10" s="93" t="s">
        <v>456</v>
      </c>
      <c r="AV10" s="93" t="s">
        <v>456</v>
      </c>
      <c r="AW10" s="83" t="s">
        <v>477</v>
      </c>
      <c r="AX10" s="83">
        <v>9.0</v>
      </c>
      <c r="AY10" s="83">
        <v>901.0</v>
      </c>
      <c r="AZ10" s="83" t="s">
        <v>478</v>
      </c>
      <c r="BA10" s="83" t="s">
        <v>479</v>
      </c>
      <c r="BB10" s="83" t="s">
        <v>480</v>
      </c>
      <c r="BC10" s="54" t="s">
        <v>41</v>
      </c>
      <c r="BD10" s="54" t="str">
        <f t="shared" si="1"/>
        <v>Surquillo</v>
      </c>
      <c r="BE10" s="54" t="s">
        <v>140</v>
      </c>
      <c r="BF10" s="95" t="s">
        <v>144</v>
      </c>
      <c r="BG10" s="95" t="s">
        <v>142</v>
      </c>
      <c r="BH10" s="54"/>
      <c r="BI10" s="67"/>
      <c r="BJ10" s="67"/>
      <c r="BK10" s="54"/>
      <c r="BL10" s="54" t="s">
        <v>147</v>
      </c>
      <c r="BM10" s="54" t="s">
        <v>146</v>
      </c>
      <c r="BN10" s="104">
        <v>110.0</v>
      </c>
      <c r="BO10" s="83" t="s">
        <v>182</v>
      </c>
      <c r="BP10" s="54" t="s">
        <v>144</v>
      </c>
      <c r="BQ10" s="70" t="s">
        <v>141</v>
      </c>
      <c r="BR10" s="67" t="s">
        <v>149</v>
      </c>
      <c r="BS10" s="83" t="s">
        <v>149</v>
      </c>
      <c r="BT10" s="83"/>
      <c r="BU10" s="109">
        <f t="shared" si="2"/>
        <v>46196</v>
      </c>
      <c r="BV10" s="109">
        <f t="shared" si="3"/>
        <v>46199</v>
      </c>
      <c r="BW10" s="83" t="str">
        <f t="shared" si="4"/>
        <v>14</v>
      </c>
      <c r="BX10" s="106">
        <v>46199.0</v>
      </c>
      <c r="BY10" s="107">
        <v>2.0</v>
      </c>
      <c r="BZ10" s="113">
        <f t="shared" si="5"/>
        <v>7</v>
      </c>
      <c r="CA10" s="113">
        <f t="array" ref="CA10">IF($A10&lt;&gt;"",INDEX(LISTA!$M$2:$N$27,MATCH($BC10,LISTA!$N$2:$N$27,0),1),"")</f>
        <v>1</v>
      </c>
      <c r="CB10" s="54">
        <f t="shared" si="6"/>
        <v>6</v>
      </c>
      <c r="CC10" s="86">
        <f t="shared" si="7"/>
        <v>6</v>
      </c>
    </row>
    <row r="11" ht="15.0" customHeight="1" outlineLevel="1">
      <c r="A11" s="50">
        <v>46197.501868067135</v>
      </c>
      <c r="B11" s="53" t="s">
        <v>99</v>
      </c>
      <c r="C11" s="54" t="s">
        <v>100</v>
      </c>
      <c r="D11" s="56" t="s">
        <v>101</v>
      </c>
      <c r="E11" s="57">
        <v>46198.583333333336</v>
      </c>
      <c r="F11" s="54" t="s">
        <v>493</v>
      </c>
      <c r="G11" s="60" t="s">
        <v>494</v>
      </c>
      <c r="H11" s="63" t="s">
        <v>495</v>
      </c>
      <c r="I11" s="67" t="s">
        <v>287</v>
      </c>
      <c r="J11" s="70" t="s">
        <v>496</v>
      </c>
      <c r="K11" s="54" t="s">
        <v>109</v>
      </c>
      <c r="L11" s="70" t="s">
        <v>483</v>
      </c>
      <c r="M11" s="77" t="s">
        <v>499</v>
      </c>
      <c r="N11" s="78">
        <v>31111.0</v>
      </c>
      <c r="O11" s="80" t="s">
        <v>41</v>
      </c>
      <c r="P11" s="70" t="s">
        <v>500</v>
      </c>
      <c r="Q11" s="54"/>
      <c r="R11" s="84"/>
      <c r="S11" s="84"/>
      <c r="T11" s="54"/>
      <c r="U11" s="86"/>
      <c r="V11" s="54"/>
      <c r="W11" s="86"/>
      <c r="X11" s="54"/>
      <c r="Y11" s="78"/>
      <c r="Z11" s="54"/>
      <c r="AA11" s="70"/>
      <c r="AB11" s="83"/>
      <c r="AC11" s="83"/>
      <c r="AD11" s="83"/>
      <c r="AE11" s="83"/>
      <c r="AF11" s="83" t="s">
        <v>507</v>
      </c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54" t="s">
        <v>508</v>
      </c>
      <c r="AR11" s="83" t="s">
        <v>509</v>
      </c>
      <c r="AS11" s="83" t="s">
        <v>510</v>
      </c>
      <c r="AT11" s="83"/>
      <c r="AU11" s="93" t="s">
        <v>513</v>
      </c>
      <c r="AV11" s="93" t="s">
        <v>513</v>
      </c>
      <c r="AW11" s="83" t="s">
        <v>514</v>
      </c>
      <c r="AX11" s="83">
        <v>2.0</v>
      </c>
      <c r="AY11" s="83" t="s">
        <v>238</v>
      </c>
      <c r="AZ11" s="83" t="s">
        <v>515</v>
      </c>
      <c r="BA11" s="83" t="s">
        <v>516</v>
      </c>
      <c r="BB11" s="83" t="s">
        <v>517</v>
      </c>
      <c r="BC11" s="54" t="s">
        <v>41</v>
      </c>
      <c r="BD11" s="54" t="str">
        <f t="shared" si="1"/>
        <v>San Juan de Miraflores</v>
      </c>
      <c r="BE11" s="54" t="s">
        <v>140</v>
      </c>
      <c r="BF11" s="95" t="s">
        <v>144</v>
      </c>
      <c r="BG11" s="95" t="s">
        <v>142</v>
      </c>
      <c r="BH11" s="54"/>
      <c r="BI11" s="67"/>
      <c r="BJ11" s="67"/>
      <c r="BK11" s="54"/>
      <c r="BL11" s="54" t="s">
        <v>283</v>
      </c>
      <c r="BM11" s="54" t="s">
        <v>146</v>
      </c>
      <c r="BN11" s="104">
        <v>94.0</v>
      </c>
      <c r="BO11" s="83" t="s">
        <v>148</v>
      </c>
      <c r="BP11" s="54" t="s">
        <v>141</v>
      </c>
      <c r="BQ11" s="70" t="s">
        <v>144</v>
      </c>
      <c r="BR11" s="67" t="s">
        <v>149</v>
      </c>
      <c r="BS11" s="83">
        <v>1.0</v>
      </c>
      <c r="BT11" s="83"/>
      <c r="BU11" s="109">
        <f t="shared" si="2"/>
        <v>46197</v>
      </c>
      <c r="BV11" s="109">
        <f t="shared" si="3"/>
        <v>46198</v>
      </c>
      <c r="BW11" s="83" t="str">
        <f t="shared" si="4"/>
        <v>14</v>
      </c>
      <c r="BX11" s="106">
        <v>46198.0</v>
      </c>
      <c r="BY11" s="107">
        <v>3.0</v>
      </c>
      <c r="BZ11" s="113">
        <f t="shared" si="5"/>
        <v>7</v>
      </c>
      <c r="CA11" s="113">
        <f t="array" ref="CA11">IF($A11&lt;&gt;"",INDEX(LISTA!$M$2:$N$27,MATCH($BC11,LISTA!$N$2:$N$27,0),1),"")</f>
        <v>1</v>
      </c>
      <c r="CB11" s="54">
        <f t="shared" si="6"/>
        <v>6</v>
      </c>
      <c r="CC11" s="86">
        <f t="shared" si="7"/>
        <v>6</v>
      </c>
    </row>
    <row r="12" ht="15.0" customHeight="1" outlineLevel="1">
      <c r="A12" s="50">
        <v>46198.601019837966</v>
      </c>
      <c r="B12" s="53" t="s">
        <v>99</v>
      </c>
      <c r="C12" s="54" t="s">
        <v>100</v>
      </c>
      <c r="D12" s="56" t="s">
        <v>101</v>
      </c>
      <c r="E12" s="57">
        <v>46201.375</v>
      </c>
      <c r="F12" s="54" t="s">
        <v>544</v>
      </c>
      <c r="G12" s="60" t="s">
        <v>545</v>
      </c>
      <c r="H12" s="63" t="s">
        <v>546</v>
      </c>
      <c r="I12" s="67" t="s">
        <v>360</v>
      </c>
      <c r="J12" s="70" t="s">
        <v>547</v>
      </c>
      <c r="K12" s="54" t="s">
        <v>109</v>
      </c>
      <c r="L12" s="70" t="s">
        <v>491</v>
      </c>
      <c r="M12" s="77" t="s">
        <v>492</v>
      </c>
      <c r="N12" s="78">
        <v>35060.0</v>
      </c>
      <c r="O12" s="80" t="s">
        <v>37</v>
      </c>
      <c r="P12" s="70" t="s">
        <v>550</v>
      </c>
      <c r="Q12" s="54"/>
      <c r="R12" s="84"/>
      <c r="S12" s="84"/>
      <c r="T12" s="54"/>
      <c r="U12" s="86"/>
      <c r="V12" s="54"/>
      <c r="W12" s="86" t="s">
        <v>553</v>
      </c>
      <c r="X12" s="54"/>
      <c r="Y12" s="78"/>
      <c r="Z12" s="54"/>
      <c r="AA12" s="70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54" t="s">
        <v>563</v>
      </c>
      <c r="AR12" s="83" t="s">
        <v>564</v>
      </c>
      <c r="AS12" s="83" t="s">
        <v>565</v>
      </c>
      <c r="AT12" s="93"/>
      <c r="AU12" s="93" t="s">
        <v>547</v>
      </c>
      <c r="AV12" s="93" t="s">
        <v>567</v>
      </c>
      <c r="AW12" s="83" t="s">
        <v>568</v>
      </c>
      <c r="AX12" s="83">
        <v>3.0</v>
      </c>
      <c r="AY12" s="83" t="s">
        <v>571</v>
      </c>
      <c r="AZ12" s="83" t="s">
        <v>572</v>
      </c>
      <c r="BA12" s="83" t="s">
        <v>573</v>
      </c>
      <c r="BB12" s="83" t="s">
        <v>574</v>
      </c>
      <c r="BC12" s="54" t="s">
        <v>30</v>
      </c>
      <c r="BD12" s="54" t="str">
        <f t="shared" si="1"/>
        <v>Callao</v>
      </c>
      <c r="BE12" s="54" t="s">
        <v>140</v>
      </c>
      <c r="BF12" s="95" t="s">
        <v>141</v>
      </c>
      <c r="BG12" s="95" t="s">
        <v>142</v>
      </c>
      <c r="BH12" s="54"/>
      <c r="BI12" s="67"/>
      <c r="BJ12" s="67"/>
      <c r="BK12" s="54"/>
      <c r="BL12" s="54" t="s">
        <v>147</v>
      </c>
      <c r="BM12" s="54" t="s">
        <v>146</v>
      </c>
      <c r="BN12" s="104">
        <v>89.0</v>
      </c>
      <c r="BO12" s="83" t="s">
        <v>148</v>
      </c>
      <c r="BP12" s="54" t="s">
        <v>144</v>
      </c>
      <c r="BQ12" s="70" t="s">
        <v>141</v>
      </c>
      <c r="BR12" s="67" t="s">
        <v>149</v>
      </c>
      <c r="BS12" s="83" t="s">
        <v>149</v>
      </c>
      <c r="BT12" s="83"/>
      <c r="BU12" s="109">
        <f t="shared" si="2"/>
        <v>46198</v>
      </c>
      <c r="BV12" s="109">
        <f t="shared" si="3"/>
        <v>46201</v>
      </c>
      <c r="BW12" s="83" t="str">
        <f t="shared" si="4"/>
        <v>09</v>
      </c>
      <c r="BX12" s="106">
        <v>46201.0</v>
      </c>
      <c r="BY12" s="107">
        <v>1.0</v>
      </c>
      <c r="BZ12" s="113">
        <f t="shared" si="5"/>
        <v>7</v>
      </c>
      <c r="CA12" s="113">
        <f t="array" ref="CA12">IF($A12&lt;&gt;"",INDEX(LISTA!$M$2:$N$27,MATCH($BC12,LISTA!$N$2:$N$27,0),1),"")</f>
        <v>2</v>
      </c>
      <c r="CB12" s="54">
        <f t="shared" si="6"/>
        <v>6</v>
      </c>
      <c r="CC12" s="86">
        <f t="shared" si="7"/>
        <v>6</v>
      </c>
    </row>
    <row r="13" ht="15.0" customHeight="1" outlineLevel="1">
      <c r="A13" s="50">
        <v>46199.70780153935</v>
      </c>
      <c r="B13" s="53" t="s">
        <v>99</v>
      </c>
      <c r="C13" s="54" t="s">
        <v>100</v>
      </c>
      <c r="D13" s="56" t="s">
        <v>101</v>
      </c>
      <c r="E13" s="57">
        <v>46202.458333333336</v>
      </c>
      <c r="F13" s="54" t="s">
        <v>103</v>
      </c>
      <c r="G13" s="60" t="s">
        <v>593</v>
      </c>
      <c r="H13" s="63" t="s">
        <v>594</v>
      </c>
      <c r="I13" s="67" t="s">
        <v>355</v>
      </c>
      <c r="J13" s="70" t="s">
        <v>595</v>
      </c>
      <c r="K13" s="54" t="s">
        <v>109</v>
      </c>
      <c r="L13" s="70" t="s">
        <v>503</v>
      </c>
      <c r="M13" s="77" t="s">
        <v>504</v>
      </c>
      <c r="N13" s="78">
        <v>38508.0</v>
      </c>
      <c r="O13" s="80" t="s">
        <v>37</v>
      </c>
      <c r="P13" s="70" t="s">
        <v>598</v>
      </c>
      <c r="Q13" s="54"/>
      <c r="R13" s="84"/>
      <c r="S13" s="84"/>
      <c r="T13" s="54"/>
      <c r="U13" s="86"/>
      <c r="V13" s="54"/>
      <c r="W13" s="86"/>
      <c r="X13" s="54"/>
      <c r="Y13" s="78"/>
      <c r="Z13" s="54"/>
      <c r="AA13" s="70"/>
      <c r="AB13" s="83"/>
      <c r="AC13" s="83"/>
      <c r="AD13" s="83"/>
      <c r="AE13" s="83" t="s">
        <v>230</v>
      </c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54" t="s">
        <v>605</v>
      </c>
      <c r="AR13" s="83" t="s">
        <v>125</v>
      </c>
      <c r="AS13" s="83" t="s">
        <v>606</v>
      </c>
      <c r="AT13" s="93"/>
      <c r="AU13" s="93" t="s">
        <v>595</v>
      </c>
      <c r="AV13" s="93" t="s">
        <v>595</v>
      </c>
      <c r="AW13" s="83" t="s">
        <v>609</v>
      </c>
      <c r="AX13" s="83">
        <v>3.0</v>
      </c>
      <c r="AY13" s="83">
        <v>1.0</v>
      </c>
      <c r="AZ13" s="83" t="s">
        <v>610</v>
      </c>
      <c r="BA13" s="83" t="s">
        <v>611</v>
      </c>
      <c r="BB13" s="83" t="s">
        <v>612</v>
      </c>
      <c r="BC13" s="54" t="s">
        <v>37</v>
      </c>
      <c r="BD13" s="54" t="str">
        <f t="shared" si="1"/>
        <v>Huaura</v>
      </c>
      <c r="BE13" s="54" t="s">
        <v>140</v>
      </c>
      <c r="BF13" s="95" t="s">
        <v>141</v>
      </c>
      <c r="BG13" s="95" t="s">
        <v>142</v>
      </c>
      <c r="BH13" s="54"/>
      <c r="BI13" s="67"/>
      <c r="BJ13" s="67"/>
      <c r="BK13" s="54"/>
      <c r="BL13" s="54" t="s">
        <v>147</v>
      </c>
      <c r="BM13" s="54" t="s">
        <v>146</v>
      </c>
      <c r="BN13" s="104">
        <v>69.0</v>
      </c>
      <c r="BO13" s="83" t="s">
        <v>615</v>
      </c>
      <c r="BP13" s="54" t="s">
        <v>141</v>
      </c>
      <c r="BQ13" s="70" t="s">
        <v>141</v>
      </c>
      <c r="BR13" s="67" t="s">
        <v>149</v>
      </c>
      <c r="BS13" s="83" t="s">
        <v>149</v>
      </c>
      <c r="BT13" s="83"/>
      <c r="BU13" s="109">
        <f t="shared" si="2"/>
        <v>46199</v>
      </c>
      <c r="BV13" s="109">
        <f t="shared" si="3"/>
        <v>46202</v>
      </c>
      <c r="BW13" s="83" t="str">
        <f t="shared" si="4"/>
        <v>11</v>
      </c>
      <c r="BX13" s="106">
        <v>46202.0</v>
      </c>
      <c r="BY13" s="107">
        <v>1.0</v>
      </c>
      <c r="BZ13" s="113">
        <f t="shared" si="5"/>
        <v>7</v>
      </c>
      <c r="CA13" s="113">
        <f t="array" ref="CA13">IF($A13&lt;&gt;"",INDEX(LISTA!$M$2:$N$27,MATCH($BC13,LISTA!$N$2:$N$27,0),1),"")</f>
        <v>3</v>
      </c>
      <c r="CB13" s="54">
        <f t="shared" si="6"/>
        <v>6</v>
      </c>
      <c r="CC13" s="86">
        <f t="shared" si="7"/>
        <v>6</v>
      </c>
    </row>
    <row r="14" ht="15.0" customHeight="1" outlineLevel="1">
      <c r="A14" s="50">
        <v>46191.528043495375</v>
      </c>
      <c r="B14" s="53" t="s">
        <v>99</v>
      </c>
      <c r="C14" s="54" t="s">
        <v>100</v>
      </c>
      <c r="D14" s="56" t="s">
        <v>101</v>
      </c>
      <c r="E14" s="57">
        <v>46200.458333333336</v>
      </c>
      <c r="F14" s="54" t="s">
        <v>628</v>
      </c>
      <c r="G14" s="60" t="s">
        <v>629</v>
      </c>
      <c r="H14" s="63" t="s">
        <v>630</v>
      </c>
      <c r="I14" s="67" t="s">
        <v>192</v>
      </c>
      <c r="J14" s="70" t="s">
        <v>635</v>
      </c>
      <c r="K14" s="54" t="s">
        <v>109</v>
      </c>
      <c r="L14" s="70" t="s">
        <v>501</v>
      </c>
      <c r="M14" s="77" t="s">
        <v>636</v>
      </c>
      <c r="N14" s="78">
        <v>28323.0</v>
      </c>
      <c r="O14" s="80" t="s">
        <v>37</v>
      </c>
      <c r="P14" s="70" t="s">
        <v>637</v>
      </c>
      <c r="Q14" s="54"/>
      <c r="R14" s="84"/>
      <c r="S14" s="84"/>
      <c r="T14" s="54"/>
      <c r="U14" s="86"/>
      <c r="V14" s="54"/>
      <c r="W14" s="86"/>
      <c r="X14" s="54"/>
      <c r="Y14" s="78"/>
      <c r="Z14" s="54"/>
      <c r="AA14" s="70"/>
      <c r="AB14" s="83"/>
      <c r="AC14" s="83"/>
      <c r="AD14" s="83"/>
      <c r="AE14" s="83"/>
      <c r="AF14" s="83" t="s">
        <v>123</v>
      </c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54" t="s">
        <v>644</v>
      </c>
      <c r="AR14" s="83" t="s">
        <v>645</v>
      </c>
      <c r="AS14" s="83" t="s">
        <v>646</v>
      </c>
      <c r="AT14" s="93"/>
      <c r="AU14" s="93" t="s">
        <v>649</v>
      </c>
      <c r="AV14" s="93" t="s">
        <v>649</v>
      </c>
      <c r="AW14" s="83" t="s">
        <v>650</v>
      </c>
      <c r="AX14" s="83">
        <v>3.0</v>
      </c>
      <c r="AY14" s="83" t="s">
        <v>238</v>
      </c>
      <c r="AZ14" s="83" t="s">
        <v>651</v>
      </c>
      <c r="BA14" s="83" t="s">
        <v>652</v>
      </c>
      <c r="BB14" s="83" t="s">
        <v>653</v>
      </c>
      <c r="BC14" s="54" t="s">
        <v>41</v>
      </c>
      <c r="BD14" s="54" t="str">
        <f t="shared" si="1"/>
        <v>Santiago de Surco</v>
      </c>
      <c r="BE14" s="54" t="s">
        <v>140</v>
      </c>
      <c r="BF14" s="95" t="s">
        <v>144</v>
      </c>
      <c r="BG14" s="95" t="s">
        <v>142</v>
      </c>
      <c r="BH14" s="54"/>
      <c r="BI14" s="67"/>
      <c r="BJ14" s="67"/>
      <c r="BK14" s="54"/>
      <c r="BL14" s="54" t="s">
        <v>145</v>
      </c>
      <c r="BM14" s="54" t="s">
        <v>214</v>
      </c>
      <c r="BN14" s="104">
        <v>170.0</v>
      </c>
      <c r="BO14" s="83" t="s">
        <v>148</v>
      </c>
      <c r="BP14" s="54" t="s">
        <v>144</v>
      </c>
      <c r="BQ14" s="70" t="s">
        <v>141</v>
      </c>
      <c r="BR14" s="67">
        <v>2.0</v>
      </c>
      <c r="BS14" s="83">
        <v>1.0</v>
      </c>
      <c r="BT14" s="83"/>
      <c r="BU14" s="109">
        <f t="shared" si="2"/>
        <v>46191</v>
      </c>
      <c r="BV14" s="109">
        <f t="shared" si="3"/>
        <v>46200</v>
      </c>
      <c r="BW14" s="83" t="str">
        <f t="shared" si="4"/>
        <v>11</v>
      </c>
      <c r="BX14" s="106">
        <v>46202.0</v>
      </c>
      <c r="BY14" s="107">
        <v>2.0</v>
      </c>
      <c r="BZ14" s="113">
        <f t="shared" si="5"/>
        <v>7</v>
      </c>
      <c r="CA14" s="113">
        <f t="array" ref="CA14">IF($A14&lt;&gt;"",INDEX(LISTA!$M$2:$N$27,MATCH($BC14,LISTA!$N$2:$N$27,0),1),"")</f>
        <v>1</v>
      </c>
      <c r="CB14" s="54">
        <f t="shared" si="6"/>
        <v>6</v>
      </c>
      <c r="CC14" s="86">
        <f t="shared" si="7"/>
        <v>6</v>
      </c>
    </row>
    <row r="15" ht="15.0" customHeight="1" outlineLevel="1">
      <c r="A15" s="50">
        <v>46190.37893439815</v>
      </c>
      <c r="B15" s="53" t="s">
        <v>99</v>
      </c>
      <c r="C15" s="54" t="s">
        <v>100</v>
      </c>
      <c r="D15" s="56" t="s">
        <v>101</v>
      </c>
      <c r="E15" s="57">
        <v>46191.583333333336</v>
      </c>
      <c r="F15" s="54" t="s">
        <v>187</v>
      </c>
      <c r="G15" s="60" t="s">
        <v>189</v>
      </c>
      <c r="H15" s="63" t="s">
        <v>191</v>
      </c>
      <c r="I15" s="67" t="s">
        <v>192</v>
      </c>
      <c r="J15" s="70" t="s">
        <v>194</v>
      </c>
      <c r="K15" s="54" t="s">
        <v>109</v>
      </c>
      <c r="L15" s="70" t="s">
        <v>195</v>
      </c>
      <c r="M15" s="77" t="s">
        <v>196</v>
      </c>
      <c r="N15" s="78">
        <v>33362.0</v>
      </c>
      <c r="O15" s="80" t="s">
        <v>37</v>
      </c>
      <c r="P15" s="70" t="s">
        <v>197</v>
      </c>
      <c r="Q15" s="54"/>
      <c r="R15" s="84"/>
      <c r="S15" s="84"/>
      <c r="T15" s="54"/>
      <c r="U15" s="86"/>
      <c r="V15" s="54"/>
      <c r="W15" s="86"/>
      <c r="X15" s="54"/>
      <c r="Y15" s="78"/>
      <c r="Z15" s="54"/>
      <c r="AA15" s="70"/>
      <c r="AB15" s="83"/>
      <c r="AC15" s="83"/>
      <c r="AD15" s="83"/>
      <c r="AE15" s="83"/>
      <c r="AF15" s="83" t="s">
        <v>198</v>
      </c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54" t="s">
        <v>203</v>
      </c>
      <c r="AR15" s="83" t="s">
        <v>204</v>
      </c>
      <c r="AS15" s="83" t="s">
        <v>205</v>
      </c>
      <c r="AT15" s="93"/>
      <c r="AU15" s="93" t="s">
        <v>194</v>
      </c>
      <c r="AV15" s="93" t="s">
        <v>194</v>
      </c>
      <c r="AW15" s="83" t="s">
        <v>209</v>
      </c>
      <c r="AX15" s="83">
        <v>16.0</v>
      </c>
      <c r="AY15" s="83">
        <v>1601.0</v>
      </c>
      <c r="AZ15" s="83" t="s">
        <v>210</v>
      </c>
      <c r="BA15" s="83" t="s">
        <v>211</v>
      </c>
      <c r="BB15" s="83" t="s">
        <v>212</v>
      </c>
      <c r="BC15" s="54" t="s">
        <v>41</v>
      </c>
      <c r="BD15" s="54" t="str">
        <f t="shared" si="1"/>
        <v>Miraflores</v>
      </c>
      <c r="BE15" s="54" t="s">
        <v>143</v>
      </c>
      <c r="BF15" s="95" t="s">
        <v>144</v>
      </c>
      <c r="BG15" s="95" t="s">
        <v>142</v>
      </c>
      <c r="BH15" s="54"/>
      <c r="BI15" s="67"/>
      <c r="BJ15" s="67"/>
      <c r="BK15" s="54"/>
      <c r="BL15" s="54" t="s">
        <v>213</v>
      </c>
      <c r="BM15" s="54" t="s">
        <v>214</v>
      </c>
      <c r="BN15" s="104">
        <v>110.0</v>
      </c>
      <c r="BO15" s="83" t="s">
        <v>182</v>
      </c>
      <c r="BP15" s="54" t="s">
        <v>144</v>
      </c>
      <c r="BQ15" s="70" t="s">
        <v>141</v>
      </c>
      <c r="BR15" s="67" t="s">
        <v>149</v>
      </c>
      <c r="BS15" s="83" t="s">
        <v>149</v>
      </c>
      <c r="BT15" s="83"/>
      <c r="BU15" s="109">
        <f t="shared" si="2"/>
        <v>46190</v>
      </c>
      <c r="BV15" s="109">
        <f t="shared" si="3"/>
        <v>46191</v>
      </c>
      <c r="BW15" s="83" t="str">
        <f t="shared" si="4"/>
        <v>14</v>
      </c>
      <c r="BX15" s="106">
        <v>46191.0</v>
      </c>
      <c r="BY15" s="107">
        <v>1.0</v>
      </c>
      <c r="BZ15" s="113">
        <f t="shared" si="5"/>
        <v>7</v>
      </c>
      <c r="CA15" s="113">
        <f t="array" ref="CA15">IF($A15&lt;&gt;"",INDEX(LISTA!$M$2:$N$27,MATCH($BC15,LISTA!$N$2:$N$27,0),1),"")</f>
        <v>1</v>
      </c>
      <c r="CB15" s="54">
        <f t="shared" si="6"/>
        <v>6</v>
      </c>
      <c r="CC15" s="86">
        <f t="shared" si="7"/>
        <v>6</v>
      </c>
    </row>
    <row r="16" ht="15.0" customHeight="1" outlineLevel="1">
      <c r="A16" s="50">
        <v>46190.493701307874</v>
      </c>
      <c r="B16" s="53" t="s">
        <v>99</v>
      </c>
      <c r="C16" s="54" t="s">
        <v>100</v>
      </c>
      <c r="D16" s="56" t="s">
        <v>150</v>
      </c>
      <c r="E16" s="57">
        <v>46193.458333333336</v>
      </c>
      <c r="F16" s="54" t="s">
        <v>218</v>
      </c>
      <c r="G16" s="60" t="s">
        <v>219</v>
      </c>
      <c r="H16" s="63" t="s">
        <v>221</v>
      </c>
      <c r="I16" s="67" t="s">
        <v>150</v>
      </c>
      <c r="J16" s="70" t="s">
        <v>223</v>
      </c>
      <c r="K16" s="54" t="s">
        <v>109</v>
      </c>
      <c r="L16" s="70" t="s">
        <v>225</v>
      </c>
      <c r="M16" s="77" t="s">
        <v>227</v>
      </c>
      <c r="N16" s="78">
        <v>29369.0</v>
      </c>
      <c r="O16" s="80" t="s">
        <v>37</v>
      </c>
      <c r="P16" s="70" t="s">
        <v>228</v>
      </c>
      <c r="Q16" s="54"/>
      <c r="R16" s="84"/>
      <c r="S16" s="84"/>
      <c r="T16" s="54"/>
      <c r="U16" s="86"/>
      <c r="V16" s="54"/>
      <c r="W16" s="86"/>
      <c r="X16" s="54"/>
      <c r="Y16" s="78"/>
      <c r="Z16" s="54"/>
      <c r="AA16" s="70"/>
      <c r="AB16" s="83"/>
      <c r="AC16" s="83"/>
      <c r="AD16" s="83"/>
      <c r="AE16" s="83" t="s">
        <v>230</v>
      </c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54" t="s">
        <v>234</v>
      </c>
      <c r="AR16" s="83" t="s">
        <v>236</v>
      </c>
      <c r="AS16" s="83" t="s">
        <v>237</v>
      </c>
      <c r="AT16" s="93"/>
      <c r="AU16" s="93" t="s">
        <v>239</v>
      </c>
      <c r="AV16" s="93" t="s">
        <v>223</v>
      </c>
      <c r="AW16" s="83" t="s">
        <v>243</v>
      </c>
      <c r="AX16" s="83">
        <v>2.0</v>
      </c>
      <c r="AY16" s="83" t="s">
        <v>238</v>
      </c>
      <c r="AZ16" s="83" t="s">
        <v>244</v>
      </c>
      <c r="BA16" s="83" t="s">
        <v>245</v>
      </c>
      <c r="BB16" s="83" t="s">
        <v>246</v>
      </c>
      <c r="BC16" s="54" t="s">
        <v>37</v>
      </c>
      <c r="BD16" s="54" t="str">
        <f t="shared" si="1"/>
        <v>Huaura</v>
      </c>
      <c r="BE16" s="54" t="s">
        <v>143</v>
      </c>
      <c r="BF16" s="95" t="s">
        <v>144</v>
      </c>
      <c r="BG16" s="95" t="s">
        <v>142</v>
      </c>
      <c r="BH16" s="54"/>
      <c r="BI16" s="67"/>
      <c r="BJ16" s="67"/>
      <c r="BK16" s="54"/>
      <c r="BL16" s="54" t="s">
        <v>147</v>
      </c>
      <c r="BM16" s="54" t="s">
        <v>146</v>
      </c>
      <c r="BN16" s="104">
        <v>110.0</v>
      </c>
      <c r="BO16" s="83" t="s">
        <v>182</v>
      </c>
      <c r="BP16" s="54" t="s">
        <v>141</v>
      </c>
      <c r="BQ16" s="70" t="s">
        <v>141</v>
      </c>
      <c r="BR16" s="67">
        <v>1.0</v>
      </c>
      <c r="BS16" s="83">
        <v>1.0</v>
      </c>
      <c r="BT16" s="83"/>
      <c r="BU16" s="109">
        <f t="shared" si="2"/>
        <v>46190</v>
      </c>
      <c r="BV16" s="109">
        <f t="shared" si="3"/>
        <v>46193</v>
      </c>
      <c r="BW16" s="83" t="str">
        <f t="shared" si="4"/>
        <v>11</v>
      </c>
      <c r="BX16" s="106">
        <v>46192.0</v>
      </c>
      <c r="BY16" s="107">
        <v>1.0</v>
      </c>
      <c r="BZ16" s="113">
        <f t="shared" si="5"/>
        <v>7</v>
      </c>
      <c r="CA16" s="113">
        <f t="array" ref="CA16">IF($A16&lt;&gt;"",INDEX(LISTA!$M$2:$N$27,MATCH($BC16,LISTA!$N$2:$N$27,0),1),"")</f>
        <v>3</v>
      </c>
      <c r="CB16" s="54">
        <f t="shared" si="6"/>
        <v>6</v>
      </c>
      <c r="CC16" s="86">
        <f t="shared" si="7"/>
        <v>6</v>
      </c>
    </row>
    <row r="17" ht="15.0" customHeight="1" outlineLevel="1">
      <c r="A17" s="50">
        <v>46184.542623622685</v>
      </c>
      <c r="B17" s="53" t="s">
        <v>99</v>
      </c>
      <c r="C17" s="54" t="s">
        <v>100</v>
      </c>
      <c r="D17" s="56" t="s">
        <v>101</v>
      </c>
      <c r="E17" s="57">
        <v>46185.666666666664</v>
      </c>
      <c r="F17" s="54" t="s">
        <v>5</v>
      </c>
      <c r="G17" s="60" t="s">
        <v>153</v>
      </c>
      <c r="H17" s="63" t="s">
        <v>155</v>
      </c>
      <c r="I17" s="67" t="s">
        <v>114</v>
      </c>
      <c r="J17" s="70" t="s">
        <v>158</v>
      </c>
      <c r="K17" s="54" t="s">
        <v>109</v>
      </c>
      <c r="L17" s="70" t="s">
        <v>160</v>
      </c>
      <c r="M17" s="77" t="s">
        <v>162</v>
      </c>
      <c r="N17" s="78">
        <v>31371.0</v>
      </c>
      <c r="O17" s="80" t="s">
        <v>36</v>
      </c>
      <c r="P17" s="70" t="s">
        <v>163</v>
      </c>
      <c r="Q17" s="54"/>
      <c r="R17" s="84"/>
      <c r="S17" s="84"/>
      <c r="T17" s="54"/>
      <c r="U17" s="86"/>
      <c r="V17" s="54"/>
      <c r="W17" s="86"/>
      <c r="X17" s="54"/>
      <c r="Y17" s="78"/>
      <c r="Z17" s="54"/>
      <c r="AA17" s="70"/>
      <c r="AB17" s="83"/>
      <c r="AC17" s="83"/>
      <c r="AD17" s="83"/>
      <c r="AE17" s="83"/>
      <c r="AF17" s="83" t="s">
        <v>165</v>
      </c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54" t="s">
        <v>170</v>
      </c>
      <c r="AR17" s="83" t="s">
        <v>172</v>
      </c>
      <c r="AS17" s="83" t="s">
        <v>173</v>
      </c>
      <c r="AT17" s="93"/>
      <c r="AU17" s="93" t="s">
        <v>158</v>
      </c>
      <c r="AV17" s="93" t="s">
        <v>158</v>
      </c>
      <c r="AW17" s="83" t="s">
        <v>178</v>
      </c>
      <c r="AX17" s="83">
        <v>4.0</v>
      </c>
      <c r="AY17" s="83">
        <v>1.0</v>
      </c>
      <c r="AZ17" s="83" t="s">
        <v>179</v>
      </c>
      <c r="BA17" s="83" t="s">
        <v>180</v>
      </c>
      <c r="BB17" s="83" t="s">
        <v>181</v>
      </c>
      <c r="BC17" s="54" t="s">
        <v>41</v>
      </c>
      <c r="BD17" s="54" t="str">
        <f t="shared" si="1"/>
        <v>San Martín de Porres</v>
      </c>
      <c r="BE17" s="54" t="s">
        <v>140</v>
      </c>
      <c r="BF17" s="95" t="s">
        <v>144</v>
      </c>
      <c r="BG17" s="95" t="s">
        <v>142</v>
      </c>
      <c r="BH17" s="54"/>
      <c r="BI17" s="67"/>
      <c r="BJ17" s="67"/>
      <c r="BK17" s="54"/>
      <c r="BL17" s="54" t="s">
        <v>147</v>
      </c>
      <c r="BM17" s="54" t="s">
        <v>146</v>
      </c>
      <c r="BN17" s="104">
        <v>110.0</v>
      </c>
      <c r="BO17" s="83" t="s">
        <v>182</v>
      </c>
      <c r="BP17" s="54" t="s">
        <v>144</v>
      </c>
      <c r="BQ17" s="70" t="s">
        <v>141</v>
      </c>
      <c r="BR17" s="67" t="s">
        <v>149</v>
      </c>
      <c r="BS17" s="83">
        <v>1.0</v>
      </c>
      <c r="BT17" s="83"/>
      <c r="BU17" s="109">
        <f t="shared" si="2"/>
        <v>46184</v>
      </c>
      <c r="BV17" s="109">
        <f t="shared" si="3"/>
        <v>46185</v>
      </c>
      <c r="BW17" s="83" t="str">
        <f t="shared" si="4"/>
        <v>16</v>
      </c>
      <c r="BX17" s="106">
        <v>46186.0</v>
      </c>
      <c r="BY17" s="107">
        <v>1.0</v>
      </c>
      <c r="BZ17" s="113">
        <f t="shared" si="5"/>
        <v>7</v>
      </c>
      <c r="CA17" s="113">
        <f t="array" ref="CA17">IF($A17&lt;&gt;"",INDEX(LISTA!$M$2:$N$27,MATCH($BC17,LISTA!$N$2:$N$27,0),1),"")</f>
        <v>1</v>
      </c>
      <c r="CB17" s="54">
        <f t="shared" si="6"/>
        <v>6</v>
      </c>
      <c r="CC17" s="86">
        <f t="shared" si="7"/>
        <v>6</v>
      </c>
    </row>
    <row r="18" ht="15.0" customHeight="1" outlineLevel="1">
      <c r="A18" s="50">
        <v>46196.78879158565</v>
      </c>
      <c r="B18" s="53" t="s">
        <v>99</v>
      </c>
      <c r="C18" s="54" t="s">
        <v>100</v>
      </c>
      <c r="D18" s="56" t="s">
        <v>150</v>
      </c>
      <c r="E18" s="57">
        <v>46197.458333333336</v>
      </c>
      <c r="F18" s="54" t="s">
        <v>103</v>
      </c>
      <c r="G18" s="60" t="s">
        <v>518</v>
      </c>
      <c r="H18" s="63" t="s">
        <v>519</v>
      </c>
      <c r="I18" s="67" t="s">
        <v>355</v>
      </c>
      <c r="J18" s="70" t="s">
        <v>520</v>
      </c>
      <c r="K18" s="54" t="s">
        <v>109</v>
      </c>
      <c r="L18" s="70" t="s">
        <v>475</v>
      </c>
      <c r="M18" s="77" t="s">
        <v>476</v>
      </c>
      <c r="N18" s="78">
        <v>33908.0</v>
      </c>
      <c r="O18" s="80" t="s">
        <v>34</v>
      </c>
      <c r="P18" s="70" t="s">
        <v>163</v>
      </c>
      <c r="Q18" s="54"/>
      <c r="R18" s="84"/>
      <c r="S18" s="84"/>
      <c r="T18" s="54"/>
      <c r="U18" s="86"/>
      <c r="V18" s="54"/>
      <c r="W18" s="86"/>
      <c r="X18" s="54"/>
      <c r="Y18" s="78"/>
      <c r="Z18" s="54"/>
      <c r="AA18" s="70" t="s">
        <v>525</v>
      </c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54" t="s">
        <v>530</v>
      </c>
      <c r="AR18" s="83" t="s">
        <v>531</v>
      </c>
      <c r="AS18" s="83" t="s">
        <v>534</v>
      </c>
      <c r="AT18" s="93"/>
      <c r="AU18" s="93" t="s">
        <v>520</v>
      </c>
      <c r="AV18" s="93" t="s">
        <v>520</v>
      </c>
      <c r="AW18" s="83" t="s">
        <v>536</v>
      </c>
      <c r="AX18" s="83">
        <v>1.0</v>
      </c>
      <c r="AY18" s="83" t="s">
        <v>174</v>
      </c>
      <c r="AZ18" s="83" t="s">
        <v>537</v>
      </c>
      <c r="BA18" s="83" t="s">
        <v>538</v>
      </c>
      <c r="BB18" s="83" t="s">
        <v>539</v>
      </c>
      <c r="BC18" s="54" t="s">
        <v>34</v>
      </c>
      <c r="BD18" s="70" t="str">
        <f t="shared" si="1"/>
        <v>Ica</v>
      </c>
      <c r="BE18" s="54" t="s">
        <v>143</v>
      </c>
      <c r="BF18" s="95" t="s">
        <v>141</v>
      </c>
      <c r="BG18" s="95" t="s">
        <v>142</v>
      </c>
      <c r="BH18" s="54"/>
      <c r="BI18" s="67"/>
      <c r="BJ18" s="67"/>
      <c r="BK18" s="54"/>
      <c r="BL18" s="54" t="s">
        <v>147</v>
      </c>
      <c r="BM18" s="54" t="s">
        <v>247</v>
      </c>
      <c r="BN18" s="104">
        <v>89.0</v>
      </c>
      <c r="BO18" s="83" t="s">
        <v>148</v>
      </c>
      <c r="BP18" s="54" t="s">
        <v>141</v>
      </c>
      <c r="BQ18" s="70" t="s">
        <v>141</v>
      </c>
      <c r="BR18" s="67" t="s">
        <v>149</v>
      </c>
      <c r="BS18" s="83" t="s">
        <v>149</v>
      </c>
      <c r="BT18" s="83"/>
      <c r="BU18" s="109">
        <f t="shared" si="2"/>
        <v>46196</v>
      </c>
      <c r="BV18" s="109">
        <f t="shared" si="3"/>
        <v>46197</v>
      </c>
      <c r="BW18" s="83" t="str">
        <f t="shared" si="4"/>
        <v>11</v>
      </c>
      <c r="BX18" s="106">
        <v>46197.0</v>
      </c>
      <c r="BY18" s="107">
        <v>2.0</v>
      </c>
      <c r="BZ18" s="113">
        <f t="shared" si="5"/>
        <v>7</v>
      </c>
      <c r="CA18" s="113">
        <f t="array" ref="CA18">IF($A18&lt;&gt;"",INDEX(LISTA!$M$2:$N$27,MATCH($BC18,LISTA!$N$2:$N$27,0),1),"")</f>
        <v>13</v>
      </c>
      <c r="CB18" s="54">
        <f t="shared" si="6"/>
        <v>6</v>
      </c>
      <c r="CC18" s="86">
        <f t="shared" si="7"/>
        <v>6</v>
      </c>
    </row>
    <row r="19" ht="15.0" customHeight="1" outlineLevel="1">
      <c r="A19" s="50">
        <v>46190.46974613426</v>
      </c>
      <c r="B19" s="53" t="s">
        <v>99</v>
      </c>
      <c r="C19" s="54" t="s">
        <v>100</v>
      </c>
      <c r="D19" s="56" t="s">
        <v>101</v>
      </c>
      <c r="E19" s="57">
        <v>46198.375</v>
      </c>
      <c r="F19" s="54" t="s">
        <v>557</v>
      </c>
      <c r="G19" s="60" t="s">
        <v>558</v>
      </c>
      <c r="H19" s="63" t="s">
        <v>559</v>
      </c>
      <c r="I19" s="67" t="s">
        <v>192</v>
      </c>
      <c r="J19" s="70" t="s">
        <v>562</v>
      </c>
      <c r="K19" s="54" t="s">
        <v>109</v>
      </c>
      <c r="L19" s="70" t="s">
        <v>481</v>
      </c>
      <c r="M19" s="77" t="s">
        <v>566</v>
      </c>
      <c r="N19" s="78">
        <v>21472.0</v>
      </c>
      <c r="O19" s="80" t="s">
        <v>36</v>
      </c>
      <c r="P19" s="70" t="s">
        <v>163</v>
      </c>
      <c r="Q19" s="54"/>
      <c r="R19" s="84"/>
      <c r="S19" s="84"/>
      <c r="T19" s="54"/>
      <c r="U19" s="86"/>
      <c r="V19" s="54"/>
      <c r="W19" s="86"/>
      <c r="X19" s="54"/>
      <c r="Y19" s="78"/>
      <c r="Z19" s="54"/>
      <c r="AA19" s="70"/>
      <c r="AB19" s="83"/>
      <c r="AC19" s="83"/>
      <c r="AD19" s="83"/>
      <c r="AE19" s="83"/>
      <c r="AF19" s="83" t="s">
        <v>577</v>
      </c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54" t="s">
        <v>578</v>
      </c>
      <c r="AR19" s="83" t="s">
        <v>581</v>
      </c>
      <c r="AS19" s="83" t="s">
        <v>582</v>
      </c>
      <c r="AT19" s="93"/>
      <c r="AU19" s="93" t="s">
        <v>562</v>
      </c>
      <c r="AV19" s="93" t="s">
        <v>562</v>
      </c>
      <c r="AW19" s="83" t="s">
        <v>583</v>
      </c>
      <c r="AX19" s="83">
        <v>4.0</v>
      </c>
      <c r="AY19" s="83">
        <v>401.0</v>
      </c>
      <c r="AZ19" s="83" t="s">
        <v>584</v>
      </c>
      <c r="BA19" s="83" t="s">
        <v>585</v>
      </c>
      <c r="BB19" s="83" t="s">
        <v>587</v>
      </c>
      <c r="BC19" s="54" t="s">
        <v>41</v>
      </c>
      <c r="BD19" s="54" t="str">
        <f t="shared" si="1"/>
        <v>Rimac</v>
      </c>
      <c r="BE19" s="54" t="s">
        <v>140</v>
      </c>
      <c r="BF19" s="95" t="s">
        <v>144</v>
      </c>
      <c r="BG19" s="95" t="s">
        <v>142</v>
      </c>
      <c r="BH19" s="54"/>
      <c r="BI19" s="67"/>
      <c r="BJ19" s="67"/>
      <c r="BK19" s="54"/>
      <c r="BL19" s="54" t="s">
        <v>213</v>
      </c>
      <c r="BM19" s="54" t="s">
        <v>214</v>
      </c>
      <c r="BN19" s="104">
        <v>110.0</v>
      </c>
      <c r="BO19" s="83" t="s">
        <v>182</v>
      </c>
      <c r="BP19" s="54" t="s">
        <v>144</v>
      </c>
      <c r="BQ19" s="70" t="s">
        <v>141</v>
      </c>
      <c r="BR19" s="67" t="s">
        <v>149</v>
      </c>
      <c r="BS19" s="83">
        <v>1.0</v>
      </c>
      <c r="BT19" s="83"/>
      <c r="BU19" s="109">
        <f t="shared" si="2"/>
        <v>46190</v>
      </c>
      <c r="BV19" s="109">
        <f t="shared" si="3"/>
        <v>46198</v>
      </c>
      <c r="BW19" s="83" t="str">
        <f t="shared" si="4"/>
        <v>09</v>
      </c>
      <c r="BX19" s="106">
        <v>46198.0</v>
      </c>
      <c r="BY19" s="107">
        <v>1.0</v>
      </c>
      <c r="BZ19" s="113">
        <f t="shared" si="5"/>
        <v>7</v>
      </c>
      <c r="CA19" s="113">
        <f t="array" ref="CA19">IF($A19&lt;&gt;"",INDEX(LISTA!$M$2:$N$27,MATCH($BC19,LISTA!$N$2:$N$27,0),1),"")</f>
        <v>1</v>
      </c>
      <c r="CB19" s="54">
        <f t="shared" si="6"/>
        <v>6</v>
      </c>
      <c r="CC19" s="86">
        <f t="shared" si="7"/>
        <v>6</v>
      </c>
    </row>
    <row r="20" ht="15.0" customHeight="1" outlineLevel="1">
      <c r="A20" s="50">
        <v>46200.74871829861</v>
      </c>
      <c r="B20" s="53" t="s">
        <v>99</v>
      </c>
      <c r="C20" s="54" t="s">
        <v>100</v>
      </c>
      <c r="D20" s="56" t="s">
        <v>101</v>
      </c>
      <c r="E20" s="57">
        <v>46203.375</v>
      </c>
      <c r="F20" s="54" t="s">
        <v>103</v>
      </c>
      <c r="G20" s="60" t="s">
        <v>711</v>
      </c>
      <c r="H20" s="63" t="s">
        <v>712</v>
      </c>
      <c r="I20" s="67" t="s">
        <v>355</v>
      </c>
      <c r="J20" s="70" t="s">
        <v>713</v>
      </c>
      <c r="K20" s="54" t="s">
        <v>109</v>
      </c>
      <c r="L20" s="70" t="s">
        <v>526</v>
      </c>
      <c r="M20" s="77" t="s">
        <v>714</v>
      </c>
      <c r="N20" s="78">
        <v>24235.0</v>
      </c>
      <c r="O20" s="80" t="s">
        <v>31</v>
      </c>
      <c r="P20" s="70" t="s">
        <v>715</v>
      </c>
      <c r="Q20" s="54"/>
      <c r="R20" s="84"/>
      <c r="S20" s="84"/>
      <c r="T20" s="54"/>
      <c r="U20" s="86"/>
      <c r="V20" s="54"/>
      <c r="W20" s="86"/>
      <c r="X20" s="54"/>
      <c r="Y20" s="78"/>
      <c r="Z20" s="54"/>
      <c r="AA20" s="70"/>
      <c r="AB20" s="83"/>
      <c r="AC20" s="83"/>
      <c r="AD20" s="83"/>
      <c r="AE20" s="83"/>
      <c r="AF20" s="83" t="s">
        <v>165</v>
      </c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54" t="s">
        <v>716</v>
      </c>
      <c r="AR20" s="83" t="s">
        <v>717</v>
      </c>
      <c r="AS20" s="83" t="s">
        <v>718</v>
      </c>
      <c r="AT20" s="93"/>
      <c r="AU20" s="93" t="s">
        <v>713</v>
      </c>
      <c r="AV20" s="93" t="s">
        <v>713</v>
      </c>
      <c r="AW20" s="83" t="s">
        <v>719</v>
      </c>
      <c r="AX20" s="83">
        <v>2.0</v>
      </c>
      <c r="AY20" s="83" t="s">
        <v>174</v>
      </c>
      <c r="AZ20" s="83" t="s">
        <v>720</v>
      </c>
      <c r="BA20" s="83" t="s">
        <v>721</v>
      </c>
      <c r="BB20" s="83" t="s">
        <v>722</v>
      </c>
      <c r="BC20" s="54" t="s">
        <v>41</v>
      </c>
      <c r="BD20" s="54" t="str">
        <f t="shared" si="1"/>
        <v>San Martín de Porres</v>
      </c>
      <c r="BE20" s="54" t="s">
        <v>140</v>
      </c>
      <c r="BF20" s="95" t="s">
        <v>141</v>
      </c>
      <c r="BG20" s="95" t="s">
        <v>142</v>
      </c>
      <c r="BH20" s="54"/>
      <c r="BI20" s="67"/>
      <c r="BJ20" s="67"/>
      <c r="BK20" s="54"/>
      <c r="BL20" s="54" t="s">
        <v>727</v>
      </c>
      <c r="BM20" s="54" t="s">
        <v>146</v>
      </c>
      <c r="BN20" s="104">
        <v>155.0</v>
      </c>
      <c r="BO20" s="83" t="s">
        <v>615</v>
      </c>
      <c r="BP20" s="54" t="s">
        <v>141</v>
      </c>
      <c r="BQ20" s="70" t="s">
        <v>141</v>
      </c>
      <c r="BR20" s="67" t="s">
        <v>149</v>
      </c>
      <c r="BS20" s="83" t="s">
        <v>149</v>
      </c>
      <c r="BT20" s="83"/>
      <c r="BU20" s="109">
        <f t="shared" si="2"/>
        <v>46200</v>
      </c>
      <c r="BV20" s="109">
        <f t="shared" si="3"/>
        <v>46203</v>
      </c>
      <c r="BW20" s="83" t="str">
        <f t="shared" si="4"/>
        <v>09</v>
      </c>
      <c r="BX20" s="106">
        <v>46203.0</v>
      </c>
      <c r="BY20" s="107">
        <v>1.0</v>
      </c>
      <c r="BZ20" s="113">
        <f t="shared" si="5"/>
        <v>7</v>
      </c>
      <c r="CA20" s="113">
        <f t="array" ref="CA20">IF($A20&lt;&gt;"",INDEX(LISTA!$M$2:$N$27,MATCH($BC20,LISTA!$N$2:$N$27,0),1),"")</f>
        <v>1</v>
      </c>
      <c r="CB20" s="54">
        <f t="shared" si="6"/>
        <v>6</v>
      </c>
      <c r="CC20" s="86">
        <f t="shared" si="7"/>
        <v>6</v>
      </c>
    </row>
    <row r="21" ht="15.0" customHeight="1" outlineLevel="1">
      <c r="A21" s="50">
        <v>46193.500224999996</v>
      </c>
      <c r="B21" s="53" t="s">
        <v>99</v>
      </c>
      <c r="C21" s="54" t="s">
        <v>100</v>
      </c>
      <c r="D21" s="56" t="s">
        <v>150</v>
      </c>
      <c r="E21" s="57">
        <v>46195.458333333336</v>
      </c>
      <c r="F21" s="54" t="s">
        <v>289</v>
      </c>
      <c r="G21" s="60" t="s">
        <v>153</v>
      </c>
      <c r="H21" s="63" t="s">
        <v>292</v>
      </c>
      <c r="I21" s="67" t="s">
        <v>293</v>
      </c>
      <c r="J21" s="70" t="s">
        <v>294</v>
      </c>
      <c r="K21" s="54" t="s">
        <v>109</v>
      </c>
      <c r="L21" s="70" t="s">
        <v>296</v>
      </c>
      <c r="M21" s="77" t="s">
        <v>297</v>
      </c>
      <c r="N21" s="78">
        <v>37189.0</v>
      </c>
      <c r="O21" s="80" t="s">
        <v>31</v>
      </c>
      <c r="P21" s="70" t="s">
        <v>298</v>
      </c>
      <c r="Q21" s="54"/>
      <c r="R21" s="84"/>
      <c r="S21" s="84"/>
      <c r="T21" s="54"/>
      <c r="U21" s="86"/>
      <c r="V21" s="54"/>
      <c r="W21" s="86"/>
      <c r="X21" s="54" t="s">
        <v>299</v>
      </c>
      <c r="Y21" s="78"/>
      <c r="Z21" s="54"/>
      <c r="AA21" s="70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54" t="s">
        <v>315</v>
      </c>
      <c r="AR21" s="83" t="s">
        <v>316</v>
      </c>
      <c r="AS21" s="83" t="s">
        <v>317</v>
      </c>
      <c r="AT21" s="93"/>
      <c r="AU21" s="93" t="s">
        <v>294</v>
      </c>
      <c r="AV21" s="93" t="s">
        <v>294</v>
      </c>
      <c r="AW21" s="83" t="s">
        <v>323</v>
      </c>
      <c r="AX21" s="83">
        <v>2.0</v>
      </c>
      <c r="AY21" s="83" t="s">
        <v>324</v>
      </c>
      <c r="AZ21" s="83" t="s">
        <v>326</v>
      </c>
      <c r="BA21" s="83" t="s">
        <v>327</v>
      </c>
      <c r="BB21" s="83" t="s">
        <v>328</v>
      </c>
      <c r="BC21" s="54" t="s">
        <v>31</v>
      </c>
      <c r="BD21" s="54" t="str">
        <f t="shared" si="1"/>
        <v>Espinar</v>
      </c>
      <c r="BE21" s="54" t="s">
        <v>140</v>
      </c>
      <c r="BF21" s="95" t="s">
        <v>141</v>
      </c>
      <c r="BG21" s="95" t="s">
        <v>142</v>
      </c>
      <c r="BH21" s="54"/>
      <c r="BI21" s="67"/>
      <c r="BJ21" s="67"/>
      <c r="BK21" s="54"/>
      <c r="BL21" s="54" t="s">
        <v>283</v>
      </c>
      <c r="BM21" s="54" t="s">
        <v>333</v>
      </c>
      <c r="BN21" s="104">
        <v>94.0</v>
      </c>
      <c r="BO21" s="83" t="s">
        <v>148</v>
      </c>
      <c r="BP21" s="54" t="s">
        <v>141</v>
      </c>
      <c r="BQ21" s="70" t="s">
        <v>144</v>
      </c>
      <c r="BR21" s="67" t="s">
        <v>149</v>
      </c>
      <c r="BS21" s="83" t="s">
        <v>149</v>
      </c>
      <c r="BT21" s="83"/>
      <c r="BU21" s="109">
        <f t="shared" si="2"/>
        <v>46193</v>
      </c>
      <c r="BV21" s="109">
        <f t="shared" si="3"/>
        <v>46195</v>
      </c>
      <c r="BW21" s="83" t="str">
        <f t="shared" si="4"/>
        <v>11</v>
      </c>
      <c r="BX21" s="106">
        <v>46194.0</v>
      </c>
      <c r="BY21" s="107">
        <v>2.0</v>
      </c>
      <c r="BZ21" s="113">
        <f t="shared" si="5"/>
        <v>7</v>
      </c>
      <c r="CA21" s="113">
        <f t="array" ref="CA21">IF($A21&lt;&gt;"",INDEX(LISTA!$M$2:$N$27,MATCH($BC21,LISTA!$N$2:$N$27,0),1),"")</f>
        <v>10</v>
      </c>
      <c r="CB21" s="54">
        <f t="shared" si="6"/>
        <v>6</v>
      </c>
      <c r="CC21" s="86">
        <f t="shared" si="7"/>
        <v>6</v>
      </c>
    </row>
    <row r="22" ht="15.0" customHeight="1" outlineLevel="1">
      <c r="A22" s="50">
        <v>46199.5936418287</v>
      </c>
      <c r="B22" s="53" t="s">
        <v>99</v>
      </c>
      <c r="C22" s="54" t="s">
        <v>100</v>
      </c>
      <c r="D22" s="56" t="s">
        <v>101</v>
      </c>
      <c r="E22" s="57">
        <v>46201.458333333336</v>
      </c>
      <c r="F22" s="54" t="s">
        <v>699</v>
      </c>
      <c r="G22" s="60" t="s">
        <v>700</v>
      </c>
      <c r="H22" s="63" t="s">
        <v>701</v>
      </c>
      <c r="I22" s="67" t="s">
        <v>192</v>
      </c>
      <c r="J22" s="70" t="s">
        <v>702</v>
      </c>
      <c r="K22" s="54" t="s">
        <v>109</v>
      </c>
      <c r="L22" s="70" t="s">
        <v>497</v>
      </c>
      <c r="M22" s="77" t="s">
        <v>498</v>
      </c>
      <c r="N22" s="78">
        <v>28834.0</v>
      </c>
      <c r="O22" s="80" t="s">
        <v>31</v>
      </c>
      <c r="P22" s="70" t="s">
        <v>703</v>
      </c>
      <c r="Q22" s="54"/>
      <c r="R22" s="84"/>
      <c r="S22" s="84"/>
      <c r="T22" s="54" t="s">
        <v>122</v>
      </c>
      <c r="U22" s="86"/>
      <c r="V22" s="54"/>
      <c r="W22" s="86"/>
      <c r="X22" s="54"/>
      <c r="Y22" s="78"/>
      <c r="Z22" s="54"/>
      <c r="AA22" s="70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54" t="s">
        <v>704</v>
      </c>
      <c r="AR22" s="83" t="s">
        <v>705</v>
      </c>
      <c r="AS22" s="83" t="s">
        <v>706</v>
      </c>
      <c r="AT22" s="93"/>
      <c r="AU22" s="93" t="s">
        <v>702</v>
      </c>
      <c r="AV22" s="93" t="s">
        <v>702</v>
      </c>
      <c r="AW22" s="83" t="s">
        <v>707</v>
      </c>
      <c r="AX22" s="83">
        <v>2.0</v>
      </c>
      <c r="AY22" s="83" t="s">
        <v>238</v>
      </c>
      <c r="AZ22" s="83" t="s">
        <v>708</v>
      </c>
      <c r="BA22" s="83" t="s">
        <v>709</v>
      </c>
      <c r="BB22" s="83" t="s">
        <v>710</v>
      </c>
      <c r="BC22" s="54" t="s">
        <v>27</v>
      </c>
      <c r="BD22" s="54" t="str">
        <f t="shared" si="1"/>
        <v>Arequipa</v>
      </c>
      <c r="BE22" s="54" t="s">
        <v>140</v>
      </c>
      <c r="BF22" s="95" t="s">
        <v>144</v>
      </c>
      <c r="BG22" s="95" t="s">
        <v>142</v>
      </c>
      <c r="BH22" s="54"/>
      <c r="BI22" s="67"/>
      <c r="BJ22" s="67"/>
      <c r="BK22" s="54"/>
      <c r="BL22" s="54" t="s">
        <v>213</v>
      </c>
      <c r="BM22" s="54" t="s">
        <v>214</v>
      </c>
      <c r="BN22" s="104">
        <v>110.0</v>
      </c>
      <c r="BO22" s="83" t="s">
        <v>182</v>
      </c>
      <c r="BP22" s="54" t="s">
        <v>144</v>
      </c>
      <c r="BQ22" s="70" t="s">
        <v>141</v>
      </c>
      <c r="BR22" s="67" t="s">
        <v>149</v>
      </c>
      <c r="BS22" s="83">
        <v>1.0</v>
      </c>
      <c r="BT22" s="83"/>
      <c r="BU22" s="109">
        <f t="shared" si="2"/>
        <v>46199</v>
      </c>
      <c r="BV22" s="109">
        <f t="shared" si="3"/>
        <v>46201</v>
      </c>
      <c r="BW22" s="83" t="str">
        <f t="shared" si="4"/>
        <v>11</v>
      </c>
      <c r="BX22" s="106">
        <v>46201.0</v>
      </c>
      <c r="BY22" s="107">
        <v>2.0</v>
      </c>
      <c r="BZ22" s="113">
        <f t="shared" si="5"/>
        <v>7</v>
      </c>
      <c r="CA22" s="113">
        <f t="array" ref="CA22">IF($A22&lt;&gt;"",INDEX(LISTA!$M$2:$N$27,MATCH($BC22,LISTA!$N$2:$N$27,0),1),"")</f>
        <v>7</v>
      </c>
      <c r="CB22" s="54">
        <f t="shared" si="6"/>
        <v>6</v>
      </c>
      <c r="CC22" s="86">
        <f t="shared" si="7"/>
        <v>6</v>
      </c>
    </row>
    <row r="23" ht="15.0" customHeight="1" outlineLevel="1">
      <c r="A23" s="50">
        <v>46193.41311096065</v>
      </c>
      <c r="B23" s="53" t="s">
        <v>99</v>
      </c>
      <c r="C23" s="54" t="s">
        <v>100</v>
      </c>
      <c r="D23" s="56" t="s">
        <v>150</v>
      </c>
      <c r="E23" s="57">
        <v>46196.458333333336</v>
      </c>
      <c r="F23" s="54" t="s">
        <v>415</v>
      </c>
      <c r="G23" s="60" t="s">
        <v>416</v>
      </c>
      <c r="H23" s="63" t="s">
        <v>418</v>
      </c>
      <c r="I23" s="67" t="s">
        <v>350</v>
      </c>
      <c r="J23" s="70" t="s">
        <v>420</v>
      </c>
      <c r="K23" s="54" t="s">
        <v>109</v>
      </c>
      <c r="L23" s="70" t="s">
        <v>421</v>
      </c>
      <c r="M23" s="77" t="s">
        <v>422</v>
      </c>
      <c r="N23" s="78">
        <v>35956.0</v>
      </c>
      <c r="O23" s="80" t="s">
        <v>30</v>
      </c>
      <c r="P23" s="70" t="s">
        <v>425</v>
      </c>
      <c r="Q23" s="54"/>
      <c r="R23" s="84"/>
      <c r="S23" s="84"/>
      <c r="T23" s="54"/>
      <c r="U23" s="86"/>
      <c r="V23" s="54"/>
      <c r="W23" s="86"/>
      <c r="X23" s="54"/>
      <c r="Y23" s="78"/>
      <c r="Z23" s="54"/>
      <c r="AA23" s="70"/>
      <c r="AB23" s="83"/>
      <c r="AC23" s="83"/>
      <c r="AD23" s="83"/>
      <c r="AE23" s="83"/>
      <c r="AF23" s="83" t="s">
        <v>431</v>
      </c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54" t="s">
        <v>432</v>
      </c>
      <c r="AR23" s="83" t="s">
        <v>433</v>
      </c>
      <c r="AS23" s="83" t="s">
        <v>434</v>
      </c>
      <c r="AT23" s="93"/>
      <c r="AU23" s="93" t="s">
        <v>420</v>
      </c>
      <c r="AV23" s="93" t="s">
        <v>420</v>
      </c>
      <c r="AW23" s="83" t="s">
        <v>435</v>
      </c>
      <c r="AX23" s="83">
        <v>5.0</v>
      </c>
      <c r="AY23" s="83">
        <v>504.0</v>
      </c>
      <c r="AZ23" s="83" t="s">
        <v>436</v>
      </c>
      <c r="BA23" s="83" t="s">
        <v>437</v>
      </c>
      <c r="BB23" s="83" t="s">
        <v>438</v>
      </c>
      <c r="BC23" s="54" t="s">
        <v>41</v>
      </c>
      <c r="BD23" s="54" t="str">
        <f t="shared" si="1"/>
        <v>La Victoria</v>
      </c>
      <c r="BE23" s="54" t="s">
        <v>140</v>
      </c>
      <c r="BF23" s="95" t="s">
        <v>141</v>
      </c>
      <c r="BG23" s="95" t="s">
        <v>142</v>
      </c>
      <c r="BH23" s="54"/>
      <c r="BI23" s="67"/>
      <c r="BJ23" s="67"/>
      <c r="BK23" s="54"/>
      <c r="BL23" s="54" t="s">
        <v>147</v>
      </c>
      <c r="BM23" s="54" t="s">
        <v>247</v>
      </c>
      <c r="BN23" s="104">
        <v>89.0</v>
      </c>
      <c r="BO23" s="83" t="s">
        <v>148</v>
      </c>
      <c r="BP23" s="54" t="s">
        <v>141</v>
      </c>
      <c r="BQ23" s="70" t="s">
        <v>141</v>
      </c>
      <c r="BR23" s="67" t="s">
        <v>149</v>
      </c>
      <c r="BS23" s="83">
        <v>1.0</v>
      </c>
      <c r="BT23" s="83"/>
      <c r="BU23" s="109">
        <f t="shared" si="2"/>
        <v>46193</v>
      </c>
      <c r="BV23" s="109">
        <f t="shared" si="3"/>
        <v>46196</v>
      </c>
      <c r="BW23" s="83" t="str">
        <f t="shared" si="4"/>
        <v>11</v>
      </c>
      <c r="BX23" s="106">
        <v>46196.0</v>
      </c>
      <c r="BY23" s="107">
        <v>1.0</v>
      </c>
      <c r="BZ23" s="113">
        <f t="shared" si="5"/>
        <v>7</v>
      </c>
      <c r="CA23" s="113">
        <f t="array" ref="CA23">IF($A23&lt;&gt;"",INDEX(LISTA!$M$2:$N$27,MATCH($BC23,LISTA!$N$2:$N$27,0),1),"")</f>
        <v>1</v>
      </c>
      <c r="CB23" s="54">
        <f t="shared" si="6"/>
        <v>6</v>
      </c>
      <c r="CC23" s="86">
        <f t="shared" si="7"/>
        <v>6</v>
      </c>
    </row>
    <row r="24" ht="15.0" customHeight="1" outlineLevel="1">
      <c r="A24" s="50">
        <v>46198.72819335648</v>
      </c>
      <c r="B24" s="53" t="s">
        <v>99</v>
      </c>
      <c r="C24" s="54" t="s">
        <v>100</v>
      </c>
      <c r="D24" s="56" t="s">
        <v>101</v>
      </c>
      <c r="E24" s="57">
        <v>46200.5</v>
      </c>
      <c r="F24" s="54" t="s">
        <v>686</v>
      </c>
      <c r="G24" s="60" t="s">
        <v>687</v>
      </c>
      <c r="H24" s="63" t="s">
        <v>688</v>
      </c>
      <c r="I24" s="67" t="s">
        <v>192</v>
      </c>
      <c r="J24" s="70" t="s">
        <v>689</v>
      </c>
      <c r="K24" s="54" t="s">
        <v>109</v>
      </c>
      <c r="L24" s="70" t="s">
        <v>488</v>
      </c>
      <c r="M24" s="77" t="s">
        <v>489</v>
      </c>
      <c r="N24" s="78">
        <v>32425.0</v>
      </c>
      <c r="O24" s="80" t="s">
        <v>29</v>
      </c>
      <c r="P24" s="70" t="s">
        <v>690</v>
      </c>
      <c r="Q24" s="54"/>
      <c r="R24" s="84"/>
      <c r="S24" s="84"/>
      <c r="T24" s="54"/>
      <c r="U24" s="86"/>
      <c r="V24" s="54"/>
      <c r="W24" s="86"/>
      <c r="X24" s="54"/>
      <c r="Y24" s="78"/>
      <c r="Z24" s="54"/>
      <c r="AA24" s="70"/>
      <c r="AB24" s="83"/>
      <c r="AC24" s="83"/>
      <c r="AD24" s="83"/>
      <c r="AE24" s="83"/>
      <c r="AF24" s="83" t="s">
        <v>691</v>
      </c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54" t="s">
        <v>692</v>
      </c>
      <c r="AR24" s="83" t="s">
        <v>693</v>
      </c>
      <c r="AS24" s="83" t="s">
        <v>694</v>
      </c>
      <c r="AT24" s="93"/>
      <c r="AU24" s="93" t="s">
        <v>689</v>
      </c>
      <c r="AV24" s="93" t="s">
        <v>689</v>
      </c>
      <c r="AW24" s="83" t="s">
        <v>695</v>
      </c>
      <c r="AX24" s="83">
        <v>10.0</v>
      </c>
      <c r="AY24" s="83">
        <v>1008.0</v>
      </c>
      <c r="AZ24" s="83" t="s">
        <v>696</v>
      </c>
      <c r="BA24" s="83" t="s">
        <v>697</v>
      </c>
      <c r="BB24" s="83" t="s">
        <v>698</v>
      </c>
      <c r="BC24" s="54" t="s">
        <v>41</v>
      </c>
      <c r="BD24" s="54" t="str">
        <f t="shared" si="1"/>
        <v>Comas</v>
      </c>
      <c r="BE24" s="54" t="s">
        <v>143</v>
      </c>
      <c r="BF24" s="95" t="s">
        <v>144</v>
      </c>
      <c r="BG24" s="95" t="s">
        <v>142</v>
      </c>
      <c r="BH24" s="54"/>
      <c r="BI24" s="67"/>
      <c r="BJ24" s="67"/>
      <c r="BK24" s="54"/>
      <c r="BL24" s="54" t="s">
        <v>145</v>
      </c>
      <c r="BM24" s="54" t="s">
        <v>214</v>
      </c>
      <c r="BN24" s="104">
        <v>170.0</v>
      </c>
      <c r="BO24" s="83" t="s">
        <v>148</v>
      </c>
      <c r="BP24" s="54" t="s">
        <v>144</v>
      </c>
      <c r="BQ24" s="70" t="s">
        <v>141</v>
      </c>
      <c r="BR24" s="67">
        <v>2.0</v>
      </c>
      <c r="BS24" s="83" t="s">
        <v>149</v>
      </c>
      <c r="BT24" s="83"/>
      <c r="BU24" s="109">
        <f t="shared" si="2"/>
        <v>46198</v>
      </c>
      <c r="BV24" s="109">
        <f t="shared" si="3"/>
        <v>46200</v>
      </c>
      <c r="BW24" s="83" t="str">
        <f t="shared" si="4"/>
        <v>12</v>
      </c>
      <c r="BX24" s="106">
        <v>46200.0</v>
      </c>
      <c r="BY24" s="107">
        <v>1.0</v>
      </c>
      <c r="BZ24" s="113">
        <f t="shared" si="5"/>
        <v>7</v>
      </c>
      <c r="CA24" s="113">
        <f t="array" ref="CA24">IF($A24&lt;&gt;"",INDEX(LISTA!$M$2:$N$27,MATCH($BC24,LISTA!$N$2:$N$27,0),1),"")</f>
        <v>1</v>
      </c>
      <c r="CB24" s="54">
        <f t="shared" si="6"/>
        <v>6</v>
      </c>
      <c r="CC24" s="86">
        <f t="shared" si="7"/>
        <v>6</v>
      </c>
    </row>
    <row r="25" ht="15.0" customHeight="1" outlineLevel="1">
      <c r="A25" s="50">
        <v>46200.61915142361</v>
      </c>
      <c r="B25" s="53" t="s">
        <v>99</v>
      </c>
      <c r="C25" s="54" t="s">
        <v>100</v>
      </c>
      <c r="D25" s="56" t="s">
        <v>101</v>
      </c>
      <c r="E25" s="57">
        <v>46202.458333333336</v>
      </c>
      <c r="F25" s="54" t="s">
        <v>723</v>
      </c>
      <c r="G25" s="60" t="s">
        <v>724</v>
      </c>
      <c r="H25" s="63" t="s">
        <v>725</v>
      </c>
      <c r="I25" s="67" t="s">
        <v>192</v>
      </c>
      <c r="J25" s="70" t="s">
        <v>726</v>
      </c>
      <c r="K25" s="54" t="s">
        <v>109</v>
      </c>
      <c r="L25" s="70" t="s">
        <v>511</v>
      </c>
      <c r="M25" s="77" t="s">
        <v>512</v>
      </c>
      <c r="N25" s="78">
        <v>27314.0</v>
      </c>
      <c r="O25" s="80" t="s">
        <v>24</v>
      </c>
      <c r="P25" s="70" t="s">
        <v>728</v>
      </c>
      <c r="Q25" s="54"/>
      <c r="R25" s="84"/>
      <c r="S25" s="84"/>
      <c r="T25" s="54"/>
      <c r="U25" s="86"/>
      <c r="V25" s="54"/>
      <c r="W25" s="86"/>
      <c r="X25" s="54"/>
      <c r="Y25" s="78"/>
      <c r="Z25" s="54"/>
      <c r="AA25" s="70"/>
      <c r="AB25" s="83"/>
      <c r="AC25" s="83"/>
      <c r="AD25" s="83"/>
      <c r="AE25" s="83"/>
      <c r="AF25" s="83" t="s">
        <v>691</v>
      </c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54" t="s">
        <v>315</v>
      </c>
      <c r="AR25" s="83" t="s">
        <v>729</v>
      </c>
      <c r="AS25" s="83" t="s">
        <v>730</v>
      </c>
      <c r="AT25" s="93"/>
      <c r="AU25" s="93" t="s">
        <v>726</v>
      </c>
      <c r="AV25" s="93" t="s">
        <v>726</v>
      </c>
      <c r="AW25" s="83" t="s">
        <v>731</v>
      </c>
      <c r="AX25" s="83">
        <v>3.0</v>
      </c>
      <c r="AY25" s="83">
        <v>302.0</v>
      </c>
      <c r="AZ25" s="83" t="s">
        <v>732</v>
      </c>
      <c r="BA25" s="83" t="s">
        <v>733</v>
      </c>
      <c r="BB25" s="83" t="s">
        <v>734</v>
      </c>
      <c r="BC25" s="54" t="s">
        <v>41</v>
      </c>
      <c r="BD25" s="54" t="str">
        <f t="shared" si="1"/>
        <v>Comas</v>
      </c>
      <c r="BE25" s="54" t="s">
        <v>140</v>
      </c>
      <c r="BF25" s="95" t="s">
        <v>141</v>
      </c>
      <c r="BG25" s="95" t="s">
        <v>142</v>
      </c>
      <c r="BH25" s="54"/>
      <c r="BI25" s="67"/>
      <c r="BJ25" s="67"/>
      <c r="BK25" s="54"/>
      <c r="BL25" s="54" t="s">
        <v>147</v>
      </c>
      <c r="BM25" s="54" t="s">
        <v>247</v>
      </c>
      <c r="BN25" s="104">
        <v>89.0</v>
      </c>
      <c r="BO25" s="83" t="s">
        <v>148</v>
      </c>
      <c r="BP25" s="54" t="s">
        <v>141</v>
      </c>
      <c r="BQ25" s="70" t="s">
        <v>141</v>
      </c>
      <c r="BR25" s="67" t="s">
        <v>149</v>
      </c>
      <c r="BS25" s="83">
        <v>1.0</v>
      </c>
      <c r="BT25" s="83"/>
      <c r="BU25" s="109">
        <f t="shared" si="2"/>
        <v>46200</v>
      </c>
      <c r="BV25" s="109">
        <f t="shared" si="3"/>
        <v>46202</v>
      </c>
      <c r="BW25" s="83" t="str">
        <f t="shared" si="4"/>
        <v>11</v>
      </c>
      <c r="BX25" s="106">
        <v>46202.0</v>
      </c>
      <c r="BY25" s="107">
        <v>3.0</v>
      </c>
      <c r="BZ25" s="113">
        <f t="shared" si="5"/>
        <v>7</v>
      </c>
      <c r="CA25" s="113">
        <f t="array" ref="CA25">IF($A25&lt;&gt;"",INDEX(LISTA!$M$2:$N$27,MATCH($BC25,LISTA!$N$2:$N$27,0),1),"")</f>
        <v>1</v>
      </c>
      <c r="CB25" s="54">
        <f t="shared" si="6"/>
        <v>6</v>
      </c>
      <c r="CC25" s="86">
        <f t="shared" si="7"/>
        <v>6</v>
      </c>
    </row>
    <row r="26" ht="15.0" customHeight="1" outlineLevel="1">
      <c r="A26" s="50">
        <v>46195.50866983796</v>
      </c>
      <c r="B26" s="53" t="s">
        <v>99</v>
      </c>
      <c r="C26" s="54" t="s">
        <v>100</v>
      </c>
      <c r="D26" s="56" t="s">
        <v>101</v>
      </c>
      <c r="E26" s="57">
        <v>46196.458333333336</v>
      </c>
      <c r="F26" s="54" t="s">
        <v>443</v>
      </c>
      <c r="G26" s="60" t="s">
        <v>444</v>
      </c>
      <c r="H26" s="63" t="s">
        <v>445</v>
      </c>
      <c r="I26" s="67" t="s">
        <v>192</v>
      </c>
      <c r="J26" s="70" t="s">
        <v>446</v>
      </c>
      <c r="K26" s="54" t="s">
        <v>109</v>
      </c>
      <c r="L26" s="70" t="s">
        <v>447</v>
      </c>
      <c r="M26" s="77" t="s">
        <v>448</v>
      </c>
      <c r="N26" s="78">
        <v>30888.0</v>
      </c>
      <c r="O26" s="80" t="s">
        <v>24</v>
      </c>
      <c r="P26" s="70" t="s">
        <v>449</v>
      </c>
      <c r="Q26" s="54"/>
      <c r="R26" s="84" t="s">
        <v>450</v>
      </c>
      <c r="S26" s="84"/>
      <c r="T26" s="54"/>
      <c r="U26" s="86"/>
      <c r="V26" s="54"/>
      <c r="W26" s="86"/>
      <c r="X26" s="54"/>
      <c r="Y26" s="78"/>
      <c r="Z26" s="54"/>
      <c r="AA26" s="70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54" t="s">
        <v>461</v>
      </c>
      <c r="AR26" s="83" t="s">
        <v>462</v>
      </c>
      <c r="AS26" s="83" t="s">
        <v>463</v>
      </c>
      <c r="AT26" s="93"/>
      <c r="AU26" s="93" t="s">
        <v>446</v>
      </c>
      <c r="AV26" s="93" t="s">
        <v>446</v>
      </c>
      <c r="AW26" s="83" t="s">
        <v>465</v>
      </c>
      <c r="AX26" s="83">
        <v>3.0</v>
      </c>
      <c r="AY26" s="83">
        <v>1.0</v>
      </c>
      <c r="AZ26" s="83" t="s">
        <v>466</v>
      </c>
      <c r="BA26" s="83" t="s">
        <v>468</v>
      </c>
      <c r="BB26" s="83" t="s">
        <v>469</v>
      </c>
      <c r="BC26" s="54" t="s">
        <v>24</v>
      </c>
      <c r="BD26" s="54" t="str">
        <f t="shared" si="1"/>
        <v>Huaraz</v>
      </c>
      <c r="BE26" s="54" t="s">
        <v>140</v>
      </c>
      <c r="BF26" s="95" t="s">
        <v>141</v>
      </c>
      <c r="BG26" s="95" t="s">
        <v>142</v>
      </c>
      <c r="BH26" s="54"/>
      <c r="BI26" s="67"/>
      <c r="BJ26" s="67"/>
      <c r="BK26" s="54"/>
      <c r="BL26" s="54" t="s">
        <v>147</v>
      </c>
      <c r="BM26" s="54" t="s">
        <v>214</v>
      </c>
      <c r="BN26" s="104">
        <v>110.0</v>
      </c>
      <c r="BO26" s="83" t="s">
        <v>182</v>
      </c>
      <c r="BP26" s="54" t="s">
        <v>144</v>
      </c>
      <c r="BQ26" s="70" t="s">
        <v>141</v>
      </c>
      <c r="BR26" s="67" t="s">
        <v>149</v>
      </c>
      <c r="BS26" s="83">
        <v>1.0</v>
      </c>
      <c r="BT26" s="83"/>
      <c r="BU26" s="109">
        <f t="shared" si="2"/>
        <v>46195</v>
      </c>
      <c r="BV26" s="109">
        <f t="shared" si="3"/>
        <v>46196</v>
      </c>
      <c r="BW26" s="83" t="str">
        <f t="shared" si="4"/>
        <v>11</v>
      </c>
      <c r="BX26" s="106">
        <v>46196.0</v>
      </c>
      <c r="BY26" s="107">
        <v>2.0</v>
      </c>
      <c r="BZ26" s="113">
        <f t="shared" si="5"/>
        <v>7</v>
      </c>
      <c r="CA26" s="113">
        <f t="array" ref="CA26">IF($A26&lt;&gt;"",INDEX(LISTA!$M$2:$N$27,MATCH($BC26,LISTA!$N$2:$N$27,0),1),"")</f>
        <v>5</v>
      </c>
      <c r="CB26" s="54">
        <f t="shared" si="6"/>
        <v>6</v>
      </c>
      <c r="CC26" s="86">
        <f t="shared" si="7"/>
        <v>6</v>
      </c>
    </row>
    <row r="27" ht="15.0" customHeight="1" outlineLevel="1">
      <c r="A27" s="50">
        <v>46192.69784486111</v>
      </c>
      <c r="B27" s="53" t="s">
        <v>99</v>
      </c>
      <c r="C27" s="54" t="s">
        <v>100</v>
      </c>
      <c r="D27" s="56" t="s">
        <v>150</v>
      </c>
      <c r="E27" s="57">
        <v>46200.458333333336</v>
      </c>
      <c r="F27" s="54" t="s">
        <v>735</v>
      </c>
      <c r="G27" s="60" t="s">
        <v>736</v>
      </c>
      <c r="H27" s="63" t="s">
        <v>737</v>
      </c>
      <c r="I27" s="67" t="s">
        <v>107</v>
      </c>
      <c r="J27" s="70" t="s">
        <v>738</v>
      </c>
      <c r="K27" s="54" t="s">
        <v>109</v>
      </c>
      <c r="L27" s="70" t="s">
        <v>523</v>
      </c>
      <c r="M27" s="77" t="s">
        <v>524</v>
      </c>
      <c r="N27" s="78">
        <v>36140.0</v>
      </c>
      <c r="O27" s="80" t="s">
        <v>41</v>
      </c>
      <c r="P27" s="70" t="s">
        <v>739</v>
      </c>
      <c r="Q27" s="54"/>
      <c r="R27" s="84"/>
      <c r="S27" s="84"/>
      <c r="T27" s="54"/>
      <c r="U27" s="86"/>
      <c r="V27" s="54"/>
      <c r="W27" s="86"/>
      <c r="X27" s="54"/>
      <c r="Y27" s="78"/>
      <c r="Z27" s="54"/>
      <c r="AA27" s="70"/>
      <c r="AB27" s="83"/>
      <c r="AC27" s="83"/>
      <c r="AD27" s="83"/>
      <c r="AE27" s="83"/>
      <c r="AF27" s="83" t="s">
        <v>691</v>
      </c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54" t="s">
        <v>740</v>
      </c>
      <c r="AR27" s="83" t="s">
        <v>741</v>
      </c>
      <c r="AS27" s="83" t="s">
        <v>742</v>
      </c>
      <c r="AT27" s="83"/>
      <c r="AU27" s="93" t="s">
        <v>743</v>
      </c>
      <c r="AV27" s="93" t="s">
        <v>743</v>
      </c>
      <c r="AW27" s="83" t="s">
        <v>744</v>
      </c>
      <c r="AX27" s="83">
        <v>2.0</v>
      </c>
      <c r="AY27" s="83">
        <v>1.0</v>
      </c>
      <c r="AZ27" s="83" t="s">
        <v>745</v>
      </c>
      <c r="BA27" s="83" t="s">
        <v>746</v>
      </c>
      <c r="BB27" s="83" t="s">
        <v>747</v>
      </c>
      <c r="BC27" s="54" t="s">
        <v>41</v>
      </c>
      <c r="BD27" s="54" t="str">
        <f t="shared" si="1"/>
        <v>Comas</v>
      </c>
      <c r="BE27" s="54" t="s">
        <v>143</v>
      </c>
      <c r="BF27" s="95" t="s">
        <v>144</v>
      </c>
      <c r="BG27" s="95" t="s">
        <v>142</v>
      </c>
      <c r="BH27" s="54"/>
      <c r="BI27" s="67"/>
      <c r="BJ27" s="67"/>
      <c r="BK27" s="54"/>
      <c r="BL27" s="54" t="s">
        <v>145</v>
      </c>
      <c r="BM27" s="54" t="s">
        <v>146</v>
      </c>
      <c r="BN27" s="104">
        <v>170.0</v>
      </c>
      <c r="BO27" s="83" t="s">
        <v>148</v>
      </c>
      <c r="BP27" s="54" t="s">
        <v>144</v>
      </c>
      <c r="BQ27" s="70" t="s">
        <v>141</v>
      </c>
      <c r="BR27" s="67">
        <v>2.0</v>
      </c>
      <c r="BS27" s="83" t="s">
        <v>149</v>
      </c>
      <c r="BT27" s="83"/>
      <c r="BU27" s="109">
        <f t="shared" si="2"/>
        <v>46192</v>
      </c>
      <c r="BV27" s="109">
        <f t="shared" si="3"/>
        <v>46200</v>
      </c>
      <c r="BW27" s="83" t="str">
        <f t="shared" si="4"/>
        <v>11</v>
      </c>
      <c r="BX27" s="106">
        <v>46203.0</v>
      </c>
      <c r="BY27" s="107">
        <v>2.0</v>
      </c>
      <c r="BZ27" s="113">
        <f t="shared" si="5"/>
        <v>7</v>
      </c>
      <c r="CA27" s="113">
        <f t="array" ref="CA27">IF($A27&lt;&gt;"",INDEX(LISTA!$M$2:$N$27,MATCH($BC27,LISTA!$N$2:$N$27,0),1),"")</f>
        <v>1</v>
      </c>
      <c r="CB27" s="54">
        <f t="shared" si="6"/>
        <v>6</v>
      </c>
      <c r="CC27" s="86">
        <f t="shared" si="7"/>
        <v>6</v>
      </c>
    </row>
    <row r="28" ht="15.0" customHeight="1" outlineLevel="1">
      <c r="A28" s="50">
        <v>46198.75253770834</v>
      </c>
      <c r="B28" s="53" t="s">
        <v>99</v>
      </c>
      <c r="C28" s="54" t="s">
        <v>100</v>
      </c>
      <c r="D28" s="56" t="s">
        <v>101</v>
      </c>
      <c r="E28" s="57">
        <v>46203.375</v>
      </c>
      <c r="F28" s="54" t="s">
        <v>748</v>
      </c>
      <c r="G28" s="60" t="s">
        <v>749</v>
      </c>
      <c r="H28" s="63" t="s">
        <v>750</v>
      </c>
      <c r="I28" s="67" t="s">
        <v>355</v>
      </c>
      <c r="J28" s="70" t="s">
        <v>751</v>
      </c>
      <c r="K28" s="54" t="s">
        <v>109</v>
      </c>
      <c r="L28" s="70" t="s">
        <v>521</v>
      </c>
      <c r="M28" s="77" t="s">
        <v>752</v>
      </c>
      <c r="N28" s="78">
        <v>34151.0</v>
      </c>
      <c r="O28" s="80" t="s">
        <v>41</v>
      </c>
      <c r="P28" s="70" t="s">
        <v>500</v>
      </c>
      <c r="Q28" s="54"/>
      <c r="R28" s="84"/>
      <c r="S28" s="84"/>
      <c r="T28" s="54"/>
      <c r="U28" s="86"/>
      <c r="V28" s="54"/>
      <c r="W28" s="86"/>
      <c r="X28" s="54"/>
      <c r="Y28" s="78"/>
      <c r="Z28" s="54"/>
      <c r="AA28" s="70"/>
      <c r="AB28" s="83"/>
      <c r="AC28" s="83"/>
      <c r="AD28" s="83"/>
      <c r="AE28" s="83"/>
      <c r="AF28" s="83" t="s">
        <v>753</v>
      </c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54" t="s">
        <v>754</v>
      </c>
      <c r="AR28" s="83" t="s">
        <v>755</v>
      </c>
      <c r="AS28" s="83" t="s">
        <v>756</v>
      </c>
      <c r="AT28" s="93"/>
      <c r="AU28" s="93" t="s">
        <v>751</v>
      </c>
      <c r="AV28" s="93" t="s">
        <v>751</v>
      </c>
      <c r="AW28" s="83" t="s">
        <v>757</v>
      </c>
      <c r="AX28" s="83">
        <v>1.0</v>
      </c>
      <c r="AY28" s="83" t="s">
        <v>174</v>
      </c>
      <c r="AZ28" s="83" t="s">
        <v>758</v>
      </c>
      <c r="BA28" s="83" t="s">
        <v>759</v>
      </c>
      <c r="BB28" s="83" t="s">
        <v>760</v>
      </c>
      <c r="BC28" s="54" t="s">
        <v>41</v>
      </c>
      <c r="BD28" s="54" t="str">
        <f t="shared" si="1"/>
        <v>Carabayllo</v>
      </c>
      <c r="BE28" s="54" t="s">
        <v>140</v>
      </c>
      <c r="BF28" s="95" t="s">
        <v>141</v>
      </c>
      <c r="BG28" s="95" t="s">
        <v>142</v>
      </c>
      <c r="BH28" s="54"/>
      <c r="BI28" s="67"/>
      <c r="BJ28" s="67"/>
      <c r="BK28" s="54"/>
      <c r="BL28" s="54" t="s">
        <v>147</v>
      </c>
      <c r="BM28" s="54" t="s">
        <v>247</v>
      </c>
      <c r="BN28" s="104">
        <v>89.0</v>
      </c>
      <c r="BO28" s="83" t="s">
        <v>148</v>
      </c>
      <c r="BP28" s="54" t="s">
        <v>141</v>
      </c>
      <c r="BQ28" s="70" t="s">
        <v>141</v>
      </c>
      <c r="BR28" s="67" t="s">
        <v>149</v>
      </c>
      <c r="BS28" s="83" t="s">
        <v>149</v>
      </c>
      <c r="BT28" s="83"/>
      <c r="BU28" s="109">
        <f t="shared" si="2"/>
        <v>46198</v>
      </c>
      <c r="BV28" s="109">
        <f t="shared" si="3"/>
        <v>46203</v>
      </c>
      <c r="BW28" s="83" t="str">
        <f t="shared" si="4"/>
        <v>09</v>
      </c>
      <c r="BX28" s="106">
        <v>46203.0</v>
      </c>
      <c r="BY28" s="107">
        <v>3.0</v>
      </c>
      <c r="BZ28" s="113">
        <f t="shared" si="5"/>
        <v>7</v>
      </c>
      <c r="CA28" s="113">
        <f t="array" ref="CA28">IF($A28&lt;&gt;"",INDEX(LISTA!$M$2:$N$27,MATCH($BC28,LISTA!$N$2:$N$27,0),1),"")</f>
        <v>1</v>
      </c>
      <c r="CB28" s="54">
        <f t="shared" si="6"/>
        <v>6</v>
      </c>
      <c r="CC28" s="86">
        <f t="shared" si="7"/>
        <v>6</v>
      </c>
    </row>
    <row r="29" ht="15.0" customHeight="1" outlineLevel="1">
      <c r="A29" s="50">
        <v>46192.563471608795</v>
      </c>
      <c r="B29" s="53" t="s">
        <v>828</v>
      </c>
      <c r="C29" s="54" t="s">
        <v>100</v>
      </c>
      <c r="D29" s="56" t="s">
        <v>150</v>
      </c>
      <c r="E29" s="57">
        <v>46196.541666666664</v>
      </c>
      <c r="F29" s="54" t="s">
        <v>829</v>
      </c>
      <c r="G29" s="60" t="s">
        <v>831</v>
      </c>
      <c r="H29" s="63" t="s">
        <v>832</v>
      </c>
      <c r="I29" s="67" t="s">
        <v>360</v>
      </c>
      <c r="J29" s="70" t="s">
        <v>833</v>
      </c>
      <c r="K29" s="54" t="s">
        <v>109</v>
      </c>
      <c r="L29" s="70" t="s">
        <v>834</v>
      </c>
      <c r="M29" s="77" t="s">
        <v>835</v>
      </c>
      <c r="N29" s="78">
        <v>35028.0</v>
      </c>
      <c r="O29" s="80" t="s">
        <v>39</v>
      </c>
      <c r="P29" s="70" t="s">
        <v>836</v>
      </c>
      <c r="Q29" s="54"/>
      <c r="R29" s="84"/>
      <c r="S29" s="84"/>
      <c r="T29" s="54"/>
      <c r="U29" s="86"/>
      <c r="V29" s="54"/>
      <c r="W29" s="86"/>
      <c r="X29" s="54"/>
      <c r="Y29" s="78"/>
      <c r="Z29" s="54"/>
      <c r="AA29" s="70"/>
      <c r="AB29" s="83"/>
      <c r="AC29" s="83" t="s">
        <v>840</v>
      </c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54" t="s">
        <v>845</v>
      </c>
      <c r="AR29" s="83" t="s">
        <v>846</v>
      </c>
      <c r="AS29" s="83" t="s">
        <v>847</v>
      </c>
      <c r="AT29" s="93"/>
      <c r="AU29" s="93" t="s">
        <v>833</v>
      </c>
      <c r="AV29" s="93" t="s">
        <v>833</v>
      </c>
      <c r="AW29" s="83" t="s">
        <v>848</v>
      </c>
      <c r="AX29" s="83">
        <v>3.0</v>
      </c>
      <c r="AY29" s="83" t="s">
        <v>849</v>
      </c>
      <c r="AZ29" s="83" t="s">
        <v>850</v>
      </c>
      <c r="BA29" s="83" t="s">
        <v>851</v>
      </c>
      <c r="BB29" s="83" t="s">
        <v>852</v>
      </c>
      <c r="BC29" s="54" t="s">
        <v>39</v>
      </c>
      <c r="BD29" s="54" t="str">
        <f t="shared" si="1"/>
        <v>Sánchez Carrión</v>
      </c>
      <c r="BE29" s="54" t="s">
        <v>140</v>
      </c>
      <c r="BF29" s="95" t="s">
        <v>141</v>
      </c>
      <c r="BG29" s="95" t="s">
        <v>142</v>
      </c>
      <c r="BH29" s="54"/>
      <c r="BI29" s="67"/>
      <c r="BJ29" s="67"/>
      <c r="BK29" s="54"/>
      <c r="BL29" s="54" t="s">
        <v>147</v>
      </c>
      <c r="BM29" s="54" t="s">
        <v>146</v>
      </c>
      <c r="BN29" s="104">
        <v>89.0</v>
      </c>
      <c r="BO29" s="83" t="s">
        <v>148</v>
      </c>
      <c r="BP29" s="54" t="s">
        <v>144</v>
      </c>
      <c r="BQ29" s="70" t="s">
        <v>141</v>
      </c>
      <c r="BR29" s="67">
        <v>1.0</v>
      </c>
      <c r="BS29" s="83" t="s">
        <v>149</v>
      </c>
      <c r="BT29" s="83"/>
      <c r="BU29" s="109">
        <f t="shared" si="2"/>
        <v>46192</v>
      </c>
      <c r="BV29" s="109">
        <f t="shared" si="3"/>
        <v>46196</v>
      </c>
      <c r="BW29" s="83" t="str">
        <f t="shared" si="4"/>
        <v>13</v>
      </c>
      <c r="BX29" s="106"/>
      <c r="BY29" s="107"/>
      <c r="BZ29" s="113">
        <f t="shared" si="5"/>
        <v>5</v>
      </c>
      <c r="CA29" s="113">
        <f t="array" ref="CA29">IF($A29&lt;&gt;"",INDEX(LISTA!$M$2:$N$27,MATCH($BC29,LISTA!$N$2:$N$27,0),1),"")</f>
        <v>15</v>
      </c>
      <c r="CB29" s="54">
        <f t="shared" si="6"/>
        <v>6</v>
      </c>
      <c r="CC29" s="86" t="str">
        <f t="shared" si="7"/>
        <v/>
      </c>
    </row>
    <row r="30" ht="15.0" customHeight="1" outlineLevel="1">
      <c r="A30" s="50">
        <v>46200.640805891206</v>
      </c>
      <c r="B30" s="53" t="s">
        <v>828</v>
      </c>
      <c r="C30" s="54" t="s">
        <v>100</v>
      </c>
      <c r="D30" s="56" t="s">
        <v>101</v>
      </c>
      <c r="E30" s="57">
        <v>46203.666666666664</v>
      </c>
      <c r="F30" s="54" t="s">
        <v>857</v>
      </c>
      <c r="G30" s="60" t="s">
        <v>858</v>
      </c>
      <c r="H30" s="63" t="s">
        <v>859</v>
      </c>
      <c r="I30" s="67" t="s">
        <v>107</v>
      </c>
      <c r="J30" s="70" t="s">
        <v>860</v>
      </c>
      <c r="K30" s="54" t="s">
        <v>109</v>
      </c>
      <c r="L30" s="70" t="s">
        <v>862</v>
      </c>
      <c r="M30" s="77" t="s">
        <v>863</v>
      </c>
      <c r="N30" s="78">
        <v>35617.0</v>
      </c>
      <c r="O30" s="80" t="s">
        <v>50</v>
      </c>
      <c r="P30" s="70" t="s">
        <v>865</v>
      </c>
      <c r="Q30" s="54"/>
      <c r="R30" s="84"/>
      <c r="S30" s="84"/>
      <c r="T30" s="54"/>
      <c r="U30" s="86"/>
      <c r="V30" s="54"/>
      <c r="W30" s="86"/>
      <c r="X30" s="54"/>
      <c r="Y30" s="78"/>
      <c r="Z30" s="54"/>
      <c r="AA30" s="70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 t="s">
        <v>866</v>
      </c>
      <c r="AO30" s="83"/>
      <c r="AP30" s="83"/>
      <c r="AQ30" s="54" t="s">
        <v>867</v>
      </c>
      <c r="AR30" s="83" t="s">
        <v>868</v>
      </c>
      <c r="AS30" s="83" t="s">
        <v>869</v>
      </c>
      <c r="AT30" s="93"/>
      <c r="AU30" s="93" t="s">
        <v>860</v>
      </c>
      <c r="AV30" s="93" t="s">
        <v>860</v>
      </c>
      <c r="AW30" s="83" t="s">
        <v>870</v>
      </c>
      <c r="AX30" s="83">
        <v>1.0</v>
      </c>
      <c r="AY30" s="83">
        <v>1.0</v>
      </c>
      <c r="AZ30" s="83" t="s">
        <v>871</v>
      </c>
      <c r="BA30" s="83" t="s">
        <v>872</v>
      </c>
      <c r="BB30" s="83" t="s">
        <v>873</v>
      </c>
      <c r="BC30" s="54" t="s">
        <v>50</v>
      </c>
      <c r="BD30" s="54" t="str">
        <f t="shared" si="1"/>
        <v>Tacna</v>
      </c>
      <c r="BE30" s="54" t="s">
        <v>140</v>
      </c>
      <c r="BF30" s="95" t="s">
        <v>141</v>
      </c>
      <c r="BG30" s="95" t="s">
        <v>142</v>
      </c>
      <c r="BH30" s="54"/>
      <c r="BI30" s="67"/>
      <c r="BJ30" s="67"/>
      <c r="BK30" s="54"/>
      <c r="BL30" s="54" t="s">
        <v>213</v>
      </c>
      <c r="BM30" s="54" t="s">
        <v>146</v>
      </c>
      <c r="BN30" s="104">
        <v>110.0</v>
      </c>
      <c r="BO30" s="83" t="s">
        <v>878</v>
      </c>
      <c r="BP30" s="54" t="s">
        <v>144</v>
      </c>
      <c r="BQ30" s="70" t="s">
        <v>141</v>
      </c>
      <c r="BR30" s="67" t="s">
        <v>149</v>
      </c>
      <c r="BS30" s="83">
        <v>1.0</v>
      </c>
      <c r="BT30" s="83"/>
      <c r="BU30" s="109">
        <f t="shared" si="2"/>
        <v>46200</v>
      </c>
      <c r="BV30" s="109">
        <f t="shared" si="3"/>
        <v>46203</v>
      </c>
      <c r="BW30" s="83" t="str">
        <f t="shared" si="4"/>
        <v>16</v>
      </c>
      <c r="BX30" s="106"/>
      <c r="BY30" s="107"/>
      <c r="BZ30" s="113">
        <f t="shared" si="5"/>
        <v>5</v>
      </c>
      <c r="CA30" s="113">
        <f t="array" ref="CA30">IF($A30&lt;&gt;"",INDEX(LISTA!$M$2:$N$27,MATCH($BC30,LISTA!$N$2:$N$27,0),1),"")</f>
        <v>24</v>
      </c>
      <c r="CB30" s="54">
        <f t="shared" si="6"/>
        <v>6</v>
      </c>
      <c r="CC30" s="86" t="str">
        <f t="shared" si="7"/>
        <v/>
      </c>
    </row>
    <row r="31" ht="15.0" customHeight="1" outlineLevel="1">
      <c r="A31" s="50">
        <v>46195.4164878125</v>
      </c>
      <c r="B31" s="53" t="s">
        <v>884</v>
      </c>
      <c r="C31" s="54" t="s">
        <v>100</v>
      </c>
      <c r="D31" s="56" t="s">
        <v>101</v>
      </c>
      <c r="E31" s="57">
        <v>46196.583333333336</v>
      </c>
      <c r="F31" s="54" t="s">
        <v>885</v>
      </c>
      <c r="G31" s="60" t="s">
        <v>886</v>
      </c>
      <c r="H31" s="63" t="s">
        <v>887</v>
      </c>
      <c r="I31" s="67" t="s">
        <v>192</v>
      </c>
      <c r="J31" s="70" t="s">
        <v>888</v>
      </c>
      <c r="K31" s="54" t="s">
        <v>109</v>
      </c>
      <c r="L31" s="70" t="s">
        <v>889</v>
      </c>
      <c r="M31" s="77" t="s">
        <v>890</v>
      </c>
      <c r="N31" s="78">
        <v>33904.0</v>
      </c>
      <c r="O31" s="80" t="s">
        <v>48</v>
      </c>
      <c r="P31" s="70" t="s">
        <v>891</v>
      </c>
      <c r="Q31" s="54"/>
      <c r="R31" s="84"/>
      <c r="S31" s="84"/>
      <c r="T31" s="54"/>
      <c r="U31" s="86"/>
      <c r="V31" s="54"/>
      <c r="W31" s="86"/>
      <c r="X31" s="54"/>
      <c r="Y31" s="78"/>
      <c r="Z31" s="54"/>
      <c r="AA31" s="70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 t="s">
        <v>892</v>
      </c>
      <c r="AM31" s="83"/>
      <c r="AN31" s="83"/>
      <c r="AO31" s="83"/>
      <c r="AP31" s="83"/>
      <c r="AQ31" s="54" t="s">
        <v>893</v>
      </c>
      <c r="AR31" s="83" t="s">
        <v>894</v>
      </c>
      <c r="AS31" s="83" t="s">
        <v>895</v>
      </c>
      <c r="AT31" s="93"/>
      <c r="AU31" s="93" t="s">
        <v>888</v>
      </c>
      <c r="AV31" s="93" t="s">
        <v>888</v>
      </c>
      <c r="AW31" s="83" t="s">
        <v>895</v>
      </c>
      <c r="AX31" s="83">
        <v>2.0</v>
      </c>
      <c r="AY31" s="83" t="s">
        <v>238</v>
      </c>
      <c r="AZ31" s="83" t="s">
        <v>899</v>
      </c>
      <c r="BA31" s="83" t="s">
        <v>900</v>
      </c>
      <c r="BB31" s="83" t="s">
        <v>901</v>
      </c>
      <c r="BC31" s="54" t="s">
        <v>48</v>
      </c>
      <c r="BD31" s="54" t="str">
        <f t="shared" si="1"/>
        <v>San Román</v>
      </c>
      <c r="BE31" s="54" t="s">
        <v>140</v>
      </c>
      <c r="BF31" s="95" t="s">
        <v>144</v>
      </c>
      <c r="BG31" s="95" t="s">
        <v>142</v>
      </c>
      <c r="BH31" s="54"/>
      <c r="BI31" s="67"/>
      <c r="BJ31" s="67"/>
      <c r="BK31" s="54"/>
      <c r="BL31" s="54" t="s">
        <v>147</v>
      </c>
      <c r="BM31" s="54" t="s">
        <v>247</v>
      </c>
      <c r="BN31" s="104">
        <v>89.0</v>
      </c>
      <c r="BO31" s="83" t="s">
        <v>148</v>
      </c>
      <c r="BP31" s="54" t="s">
        <v>141</v>
      </c>
      <c r="BQ31" s="70" t="s">
        <v>141</v>
      </c>
      <c r="BR31" s="67" t="s">
        <v>149</v>
      </c>
      <c r="BS31" s="83">
        <v>1.0</v>
      </c>
      <c r="BT31" s="83"/>
      <c r="BU31" s="109">
        <f t="shared" si="2"/>
        <v>46195</v>
      </c>
      <c r="BV31" s="109">
        <f t="shared" si="3"/>
        <v>46196</v>
      </c>
      <c r="BW31" s="83" t="str">
        <f t="shared" si="4"/>
        <v>14</v>
      </c>
      <c r="BX31" s="106"/>
      <c r="BY31" s="107"/>
      <c r="BZ31" s="113">
        <f t="shared" si="5"/>
        <v>5</v>
      </c>
      <c r="CA31" s="113">
        <f t="array" ref="CA31">IF($A31&lt;&gt;"",INDEX(LISTA!$M$2:$N$27,MATCH($BC31,LISTA!$N$2:$N$27,0),1),"")</f>
        <v>22</v>
      </c>
      <c r="CB31" s="54">
        <f t="shared" si="6"/>
        <v>6</v>
      </c>
      <c r="CC31" s="86" t="str">
        <f t="shared" si="7"/>
        <v/>
      </c>
    </row>
    <row r="32" ht="15.0" customHeight="1" outlineLevel="1">
      <c r="A32" s="50">
        <v>46191.460557569444</v>
      </c>
      <c r="B32" s="53" t="s">
        <v>884</v>
      </c>
      <c r="C32" s="54" t="s">
        <v>100</v>
      </c>
      <c r="D32" s="56" t="s">
        <v>101</v>
      </c>
      <c r="E32" s="57">
        <v>46197.375</v>
      </c>
      <c r="F32" s="54" t="s">
        <v>911</v>
      </c>
      <c r="G32" s="60" t="s">
        <v>912</v>
      </c>
      <c r="H32" s="63" t="s">
        <v>913</v>
      </c>
      <c r="I32" s="67" t="s">
        <v>192</v>
      </c>
      <c r="J32" s="70" t="s">
        <v>914</v>
      </c>
      <c r="K32" s="54" t="s">
        <v>109</v>
      </c>
      <c r="L32" s="70" t="s">
        <v>915</v>
      </c>
      <c r="M32" s="77" t="s">
        <v>916</v>
      </c>
      <c r="N32" s="78">
        <v>25972.0</v>
      </c>
      <c r="O32" s="80" t="s">
        <v>36</v>
      </c>
      <c r="P32" s="70" t="s">
        <v>917</v>
      </c>
      <c r="Q32" s="54"/>
      <c r="R32" s="84"/>
      <c r="S32" s="84"/>
      <c r="T32" s="54"/>
      <c r="U32" s="86"/>
      <c r="V32" s="54"/>
      <c r="W32" s="86"/>
      <c r="X32" s="54"/>
      <c r="Y32" s="78"/>
      <c r="Z32" s="54"/>
      <c r="AA32" s="70"/>
      <c r="AB32" s="83" t="s">
        <v>229</v>
      </c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54" t="s">
        <v>918</v>
      </c>
      <c r="AR32" s="83" t="s">
        <v>919</v>
      </c>
      <c r="AS32" s="83" t="s">
        <v>920</v>
      </c>
      <c r="AT32" s="93"/>
      <c r="AU32" s="93" t="s">
        <v>914</v>
      </c>
      <c r="AV32" s="93" t="s">
        <v>914</v>
      </c>
      <c r="AW32" s="83" t="s">
        <v>921</v>
      </c>
      <c r="AX32" s="83">
        <v>4.0</v>
      </c>
      <c r="AY32" s="83" t="s">
        <v>922</v>
      </c>
      <c r="AZ32" s="83" t="s">
        <v>923</v>
      </c>
      <c r="BA32" s="83" t="s">
        <v>924</v>
      </c>
      <c r="BB32" s="83" t="s">
        <v>925</v>
      </c>
      <c r="BC32" s="54" t="s">
        <v>36</v>
      </c>
      <c r="BD32" s="54" t="str">
        <f t="shared" si="1"/>
        <v>Chanchamayo</v>
      </c>
      <c r="BE32" s="54" t="s">
        <v>140</v>
      </c>
      <c r="BF32" s="95" t="s">
        <v>144</v>
      </c>
      <c r="BG32" s="95" t="s">
        <v>142</v>
      </c>
      <c r="BH32" s="54"/>
      <c r="BI32" s="67"/>
      <c r="BJ32" s="67"/>
      <c r="BK32" s="54"/>
      <c r="BL32" s="54" t="s">
        <v>147</v>
      </c>
      <c r="BM32" s="54" t="s">
        <v>247</v>
      </c>
      <c r="BN32" s="104">
        <v>89.0</v>
      </c>
      <c r="BO32" s="83" t="s">
        <v>148</v>
      </c>
      <c r="BP32" s="54" t="s">
        <v>141</v>
      </c>
      <c r="BQ32" s="70" t="s">
        <v>141</v>
      </c>
      <c r="BR32" s="67" t="s">
        <v>149</v>
      </c>
      <c r="BS32" s="83">
        <v>1.0</v>
      </c>
      <c r="BT32" s="83"/>
      <c r="BU32" s="109">
        <f t="shared" si="2"/>
        <v>46191</v>
      </c>
      <c r="BV32" s="109">
        <f t="shared" si="3"/>
        <v>46197</v>
      </c>
      <c r="BW32" s="83" t="str">
        <f t="shared" si="4"/>
        <v>09</v>
      </c>
      <c r="BX32" s="106"/>
      <c r="BY32" s="107"/>
      <c r="BZ32" s="113">
        <f t="shared" si="5"/>
        <v>5</v>
      </c>
      <c r="CA32" s="113">
        <f t="array" ref="CA32">IF($A32&lt;&gt;"",INDEX(LISTA!$M$2:$N$27,MATCH($BC32,LISTA!$N$2:$N$27,0),1),"")</f>
        <v>14</v>
      </c>
      <c r="CB32" s="54">
        <f t="shared" si="6"/>
        <v>6</v>
      </c>
      <c r="CC32" s="86" t="str">
        <f t="shared" si="7"/>
        <v/>
      </c>
    </row>
    <row r="33" ht="15.0" customHeight="1" outlineLevel="1">
      <c r="A33" s="50">
        <v>46195.54517297454</v>
      </c>
      <c r="B33" s="53" t="s">
        <v>884</v>
      </c>
      <c r="C33" s="54" t="s">
        <v>100</v>
      </c>
      <c r="D33" s="56" t="s">
        <v>101</v>
      </c>
      <c r="E33" s="57">
        <v>46197.583333333336</v>
      </c>
      <c r="F33" s="54" t="s">
        <v>938</v>
      </c>
      <c r="G33" s="60" t="s">
        <v>939</v>
      </c>
      <c r="H33" s="63" t="s">
        <v>940</v>
      </c>
      <c r="I33" s="67" t="s">
        <v>293</v>
      </c>
      <c r="J33" s="70" t="s">
        <v>941</v>
      </c>
      <c r="K33" s="54" t="s">
        <v>109</v>
      </c>
      <c r="L33" s="70" t="s">
        <v>942</v>
      </c>
      <c r="M33" s="77" t="s">
        <v>943</v>
      </c>
      <c r="N33" s="78">
        <v>35257.0</v>
      </c>
      <c r="O33" s="80" t="s">
        <v>27</v>
      </c>
      <c r="P33" s="70" t="s">
        <v>944</v>
      </c>
      <c r="Q33" s="54"/>
      <c r="R33" s="84"/>
      <c r="S33" s="84"/>
      <c r="T33" s="54" t="s">
        <v>122</v>
      </c>
      <c r="U33" s="86"/>
      <c r="V33" s="54"/>
      <c r="W33" s="86"/>
      <c r="X33" s="54"/>
      <c r="Y33" s="78"/>
      <c r="Z33" s="54"/>
      <c r="AA33" s="70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54" t="s">
        <v>945</v>
      </c>
      <c r="AR33" s="83" t="s">
        <v>946</v>
      </c>
      <c r="AS33" s="83" t="s">
        <v>947</v>
      </c>
      <c r="AT33" s="93"/>
      <c r="AU33" s="93" t="s">
        <v>941</v>
      </c>
      <c r="AV33" s="93" t="s">
        <v>941</v>
      </c>
      <c r="AW33" s="83" t="s">
        <v>948</v>
      </c>
      <c r="AX33" s="83">
        <v>3.0</v>
      </c>
      <c r="AY33" s="83">
        <v>0.0</v>
      </c>
      <c r="AZ33" s="83" t="s">
        <v>951</v>
      </c>
      <c r="BA33" s="83" t="s">
        <v>952</v>
      </c>
      <c r="BB33" s="83" t="s">
        <v>954</v>
      </c>
      <c r="BC33" s="54" t="s">
        <v>27</v>
      </c>
      <c r="BD33" s="54" t="str">
        <f t="shared" si="1"/>
        <v>Arequipa</v>
      </c>
      <c r="BE33" s="54" t="s">
        <v>143</v>
      </c>
      <c r="BF33" s="95" t="s">
        <v>144</v>
      </c>
      <c r="BG33" s="95" t="s">
        <v>142</v>
      </c>
      <c r="BH33" s="54"/>
      <c r="BI33" s="67"/>
      <c r="BJ33" s="67"/>
      <c r="BK33" s="54"/>
      <c r="BL33" s="54" t="s">
        <v>147</v>
      </c>
      <c r="BM33" s="54" t="s">
        <v>247</v>
      </c>
      <c r="BN33" s="104">
        <v>89.0</v>
      </c>
      <c r="BO33" s="83" t="s">
        <v>148</v>
      </c>
      <c r="BP33" s="54" t="s">
        <v>141</v>
      </c>
      <c r="BQ33" s="70" t="s">
        <v>141</v>
      </c>
      <c r="BR33" s="67" t="s">
        <v>149</v>
      </c>
      <c r="BS33" s="83">
        <v>1.0</v>
      </c>
      <c r="BT33" s="83"/>
      <c r="BU33" s="109">
        <f t="shared" si="2"/>
        <v>46195</v>
      </c>
      <c r="BV33" s="109">
        <f t="shared" si="3"/>
        <v>46197</v>
      </c>
      <c r="BW33" s="83" t="str">
        <f t="shared" si="4"/>
        <v>14</v>
      </c>
      <c r="BX33" s="106"/>
      <c r="BY33" s="107"/>
      <c r="BZ33" s="113">
        <f t="shared" si="5"/>
        <v>5</v>
      </c>
      <c r="CA33" s="113">
        <f t="array" ref="CA33">IF($A33&lt;&gt;"",INDEX(LISTA!$M$2:$N$27,MATCH($BC33,LISTA!$N$2:$N$27,0),1),"")</f>
        <v>7</v>
      </c>
      <c r="CB33" s="54">
        <f t="shared" si="6"/>
        <v>6</v>
      </c>
      <c r="CC33" s="86" t="str">
        <f t="shared" si="7"/>
        <v/>
      </c>
    </row>
    <row r="34" ht="15.0" customHeight="1" outlineLevel="1">
      <c r="A34" s="50">
        <v>46200.71977827547</v>
      </c>
      <c r="B34" s="53" t="s">
        <v>964</v>
      </c>
      <c r="C34" s="54" t="s">
        <v>100</v>
      </c>
      <c r="D34" s="56" t="s">
        <v>101</v>
      </c>
      <c r="E34" s="57">
        <v>46202.458333333336</v>
      </c>
      <c r="F34" s="54" t="s">
        <v>965</v>
      </c>
      <c r="G34" s="60" t="s">
        <v>966</v>
      </c>
      <c r="H34" s="63" t="s">
        <v>967</v>
      </c>
      <c r="I34" s="67" t="s">
        <v>355</v>
      </c>
      <c r="J34" s="70" t="s">
        <v>968</v>
      </c>
      <c r="K34" s="54" t="s">
        <v>109</v>
      </c>
      <c r="L34" s="70" t="s">
        <v>969</v>
      </c>
      <c r="M34" s="77" t="s">
        <v>970</v>
      </c>
      <c r="N34" s="78">
        <v>35732.0</v>
      </c>
      <c r="O34" s="80" t="s">
        <v>41</v>
      </c>
      <c r="P34" s="70" t="s">
        <v>971</v>
      </c>
      <c r="Q34" s="54"/>
      <c r="R34" s="84"/>
      <c r="S34" s="84"/>
      <c r="T34" s="54"/>
      <c r="U34" s="86"/>
      <c r="V34" s="54"/>
      <c r="W34" s="86"/>
      <c r="X34" s="54"/>
      <c r="Y34" s="78"/>
      <c r="Z34" s="54"/>
      <c r="AA34" s="70"/>
      <c r="AB34" s="83"/>
      <c r="AC34" s="83"/>
      <c r="AD34" s="83"/>
      <c r="AE34" s="83"/>
      <c r="AF34" s="83" t="s">
        <v>972</v>
      </c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54" t="s">
        <v>973</v>
      </c>
      <c r="AR34" s="83" t="s">
        <v>974</v>
      </c>
      <c r="AS34" s="83" t="s">
        <v>975</v>
      </c>
      <c r="AT34" s="93"/>
      <c r="AU34" s="93" t="s">
        <v>968</v>
      </c>
      <c r="AV34" s="93" t="s">
        <v>968</v>
      </c>
      <c r="AW34" s="83" t="s">
        <v>976</v>
      </c>
      <c r="AX34" s="83">
        <v>4.0</v>
      </c>
      <c r="AY34" s="83">
        <v>5.0</v>
      </c>
      <c r="AZ34" s="83" t="s">
        <v>977</v>
      </c>
      <c r="BA34" s="83" t="s">
        <v>978</v>
      </c>
      <c r="BB34" s="83" t="s">
        <v>979</v>
      </c>
      <c r="BC34" s="54" t="s">
        <v>41</v>
      </c>
      <c r="BD34" s="54" t="str">
        <f t="shared" si="1"/>
        <v>San Juan de Lurigancho</v>
      </c>
      <c r="BE34" s="54" t="s">
        <v>143</v>
      </c>
      <c r="BF34" s="95" t="s">
        <v>141</v>
      </c>
      <c r="BG34" s="95" t="s">
        <v>142</v>
      </c>
      <c r="BH34" s="54"/>
      <c r="BI34" s="67"/>
      <c r="BJ34" s="67"/>
      <c r="BK34" s="54"/>
      <c r="BL34" s="54" t="s">
        <v>147</v>
      </c>
      <c r="BM34" s="54" t="s">
        <v>146</v>
      </c>
      <c r="BN34" s="104">
        <v>89.0</v>
      </c>
      <c r="BO34" s="83" t="s">
        <v>148</v>
      </c>
      <c r="BP34" s="54" t="s">
        <v>141</v>
      </c>
      <c r="BQ34" s="70" t="s">
        <v>141</v>
      </c>
      <c r="BR34" s="67" t="s">
        <v>149</v>
      </c>
      <c r="BS34" s="83" t="s">
        <v>149</v>
      </c>
      <c r="BT34" s="83"/>
      <c r="BU34" s="109">
        <f t="shared" si="2"/>
        <v>46200</v>
      </c>
      <c r="BV34" s="109">
        <f t="shared" si="3"/>
        <v>46202</v>
      </c>
      <c r="BW34" s="83" t="str">
        <f t="shared" si="4"/>
        <v>11</v>
      </c>
      <c r="BX34" s="106"/>
      <c r="BY34" s="107"/>
      <c r="BZ34" s="113">
        <f t="shared" si="5"/>
        <v>5</v>
      </c>
      <c r="CA34" s="113">
        <f t="array" ref="CA34">IF($A34&lt;&gt;"",INDEX(LISTA!$M$2:$N$27,MATCH($BC34,LISTA!$N$2:$N$27,0),1),"")</f>
        <v>1</v>
      </c>
      <c r="CB34" s="54">
        <f t="shared" si="6"/>
        <v>6</v>
      </c>
      <c r="CC34" s="86" t="str">
        <f t="shared" si="7"/>
        <v/>
      </c>
    </row>
    <row r="35" ht="15.0" customHeight="1" outlineLevel="1">
      <c r="A35" s="50">
        <v>46200.44035831018</v>
      </c>
      <c r="B35" s="53" t="s">
        <v>995</v>
      </c>
      <c r="C35" s="54" t="s">
        <v>100</v>
      </c>
      <c r="D35" s="56" t="s">
        <v>101</v>
      </c>
      <c r="E35" s="57">
        <v>46200.666666666664</v>
      </c>
      <c r="F35" s="54" t="s">
        <v>723</v>
      </c>
      <c r="G35" s="60" t="s">
        <v>996</v>
      </c>
      <c r="H35" s="63" t="s">
        <v>997</v>
      </c>
      <c r="I35" s="67" t="s">
        <v>360</v>
      </c>
      <c r="J35" s="70" t="s">
        <v>998</v>
      </c>
      <c r="K35" s="54" t="s">
        <v>109</v>
      </c>
      <c r="L35" s="70" t="s">
        <v>999</v>
      </c>
      <c r="M35" s="77" t="s">
        <v>1000</v>
      </c>
      <c r="N35" s="78">
        <v>35107.0</v>
      </c>
      <c r="O35" s="80" t="s">
        <v>41</v>
      </c>
      <c r="P35" s="70" t="s">
        <v>550</v>
      </c>
      <c r="Q35" s="54"/>
      <c r="R35" s="84"/>
      <c r="S35" s="84"/>
      <c r="T35" s="54"/>
      <c r="U35" s="86"/>
      <c r="V35" s="54"/>
      <c r="W35" s="86"/>
      <c r="X35" s="54"/>
      <c r="Y35" s="78"/>
      <c r="Z35" s="54"/>
      <c r="AA35" s="70"/>
      <c r="AB35" s="83"/>
      <c r="AC35" s="83"/>
      <c r="AD35" s="83"/>
      <c r="AE35" s="83"/>
      <c r="AF35" s="83" t="s">
        <v>753</v>
      </c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54" t="s">
        <v>956</v>
      </c>
      <c r="AR35" s="83" t="s">
        <v>1001</v>
      </c>
      <c r="AS35" s="83" t="s">
        <v>1002</v>
      </c>
      <c r="AT35" s="93"/>
      <c r="AU35" s="93" t="s">
        <v>998</v>
      </c>
      <c r="AV35" s="93" t="s">
        <v>998</v>
      </c>
      <c r="AW35" s="83" t="s">
        <v>1003</v>
      </c>
      <c r="AX35" s="83">
        <v>1.0</v>
      </c>
      <c r="AY35" s="83" t="s">
        <v>842</v>
      </c>
      <c r="AZ35" s="83" t="s">
        <v>1007</v>
      </c>
      <c r="BA35" s="83" t="s">
        <v>1008</v>
      </c>
      <c r="BB35" s="83" t="s">
        <v>1010</v>
      </c>
      <c r="BC35" s="54" t="s">
        <v>41</v>
      </c>
      <c r="BD35" s="54" t="str">
        <f t="shared" si="1"/>
        <v>Carabayllo</v>
      </c>
      <c r="BE35" s="54" t="s">
        <v>140</v>
      </c>
      <c r="BF35" s="95" t="s">
        <v>144</v>
      </c>
      <c r="BG35" s="95" t="s">
        <v>142</v>
      </c>
      <c r="BH35" s="54"/>
      <c r="BI35" s="67"/>
      <c r="BJ35" s="67"/>
      <c r="BK35" s="54"/>
      <c r="BL35" s="54" t="s">
        <v>147</v>
      </c>
      <c r="BM35" s="54" t="s">
        <v>146</v>
      </c>
      <c r="BN35" s="104">
        <v>94.0</v>
      </c>
      <c r="BO35" s="83" t="s">
        <v>148</v>
      </c>
      <c r="BP35" s="54" t="s">
        <v>141</v>
      </c>
      <c r="BQ35" s="70" t="s">
        <v>144</v>
      </c>
      <c r="BR35" s="67" t="s">
        <v>149</v>
      </c>
      <c r="BS35" s="83" t="s">
        <v>149</v>
      </c>
      <c r="BT35" s="83"/>
      <c r="BU35" s="109">
        <f t="shared" si="2"/>
        <v>46200</v>
      </c>
      <c r="BV35" s="109">
        <f t="shared" si="3"/>
        <v>46200</v>
      </c>
      <c r="BW35" s="83" t="str">
        <f t="shared" si="4"/>
        <v>16</v>
      </c>
      <c r="BX35" s="106"/>
      <c r="BY35" s="107"/>
      <c r="BZ35" s="113">
        <f t="shared" si="5"/>
        <v>4</v>
      </c>
      <c r="CA35" s="113">
        <f t="array" ref="CA35">IF($A35&lt;&gt;"",INDEX(LISTA!$M$2:$N$27,MATCH($BC35,LISTA!$N$2:$N$27,0),1),"")</f>
        <v>1</v>
      </c>
      <c r="CB35" s="54">
        <f t="shared" si="6"/>
        <v>6</v>
      </c>
      <c r="CC35" s="86" t="str">
        <f t="shared" si="7"/>
        <v/>
      </c>
    </row>
    <row r="36" ht="15.0" customHeight="1" outlineLevel="1">
      <c r="A36" s="50">
        <v>46193.49458658565</v>
      </c>
      <c r="B36" s="53" t="s">
        <v>995</v>
      </c>
      <c r="C36" s="54" t="s">
        <v>100</v>
      </c>
      <c r="D36" s="56" t="s">
        <v>150</v>
      </c>
      <c r="E36" s="57">
        <v>46200.583333333336</v>
      </c>
      <c r="F36" s="54" t="s">
        <v>1020</v>
      </c>
      <c r="G36" s="60" t="s">
        <v>1021</v>
      </c>
      <c r="H36" s="63" t="s">
        <v>1022</v>
      </c>
      <c r="I36" s="67" t="s">
        <v>287</v>
      </c>
      <c r="J36" s="70" t="s">
        <v>1023</v>
      </c>
      <c r="K36" s="54" t="s">
        <v>109</v>
      </c>
      <c r="L36" s="70" t="s">
        <v>1024</v>
      </c>
      <c r="M36" s="77" t="s">
        <v>1025</v>
      </c>
      <c r="N36" s="78">
        <v>37529.0</v>
      </c>
      <c r="O36" s="80" t="s">
        <v>33</v>
      </c>
      <c r="P36" s="70" t="s">
        <v>1026</v>
      </c>
      <c r="Q36" s="54"/>
      <c r="R36" s="84"/>
      <c r="S36" s="84"/>
      <c r="T36" s="54"/>
      <c r="U36" s="86"/>
      <c r="V36" s="54"/>
      <c r="W36" s="86"/>
      <c r="X36" s="54"/>
      <c r="Y36" s="78"/>
      <c r="Z36" s="54" t="s">
        <v>267</v>
      </c>
      <c r="AA36" s="70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54" t="s">
        <v>1027</v>
      </c>
      <c r="AR36" s="83" t="s">
        <v>1028</v>
      </c>
      <c r="AS36" s="83" t="s">
        <v>1029</v>
      </c>
      <c r="AT36" s="93"/>
      <c r="AU36" s="93" t="s">
        <v>1023</v>
      </c>
      <c r="AV36" s="93" t="s">
        <v>1023</v>
      </c>
      <c r="AW36" s="83" t="s">
        <v>1030</v>
      </c>
      <c r="AX36" s="83">
        <v>2.0</v>
      </c>
      <c r="AY36" s="83" t="s">
        <v>1031</v>
      </c>
      <c r="AZ36" s="83" t="s">
        <v>1032</v>
      </c>
      <c r="BA36" s="83" t="s">
        <v>1033</v>
      </c>
      <c r="BB36" s="83" t="s">
        <v>1036</v>
      </c>
      <c r="BC36" s="54" t="s">
        <v>33</v>
      </c>
      <c r="BD36" s="54" t="str">
        <f t="shared" si="1"/>
        <v>Huánuco</v>
      </c>
      <c r="BE36" s="54" t="s">
        <v>140</v>
      </c>
      <c r="BF36" s="95" t="s">
        <v>144</v>
      </c>
      <c r="BG36" s="95" t="s">
        <v>142</v>
      </c>
      <c r="BH36" s="54"/>
      <c r="BI36" s="67"/>
      <c r="BJ36" s="67"/>
      <c r="BK36" s="54"/>
      <c r="BL36" s="54" t="s">
        <v>147</v>
      </c>
      <c r="BM36" s="54" t="s">
        <v>146</v>
      </c>
      <c r="BN36" s="104">
        <v>110.0</v>
      </c>
      <c r="BO36" s="83" t="s">
        <v>182</v>
      </c>
      <c r="BP36" s="54" t="s">
        <v>144</v>
      </c>
      <c r="BQ36" s="70" t="s">
        <v>141</v>
      </c>
      <c r="BR36" s="67" t="s">
        <v>149</v>
      </c>
      <c r="BS36" s="83">
        <v>1.0</v>
      </c>
      <c r="BT36" s="83"/>
      <c r="BU36" s="109">
        <f t="shared" si="2"/>
        <v>46193</v>
      </c>
      <c r="BV36" s="109">
        <f t="shared" si="3"/>
        <v>46200</v>
      </c>
      <c r="BW36" s="83" t="str">
        <f t="shared" si="4"/>
        <v>14</v>
      </c>
      <c r="BX36" s="106"/>
      <c r="BY36" s="107"/>
      <c r="BZ36" s="113">
        <f t="shared" si="5"/>
        <v>4</v>
      </c>
      <c r="CA36" s="113">
        <f t="array" ref="CA36">IF($A36&lt;&gt;"",INDEX(LISTA!$M$2:$N$27,MATCH($BC36,LISTA!$N$2:$N$27,0),1),"")</f>
        <v>12</v>
      </c>
      <c r="CB36" s="54">
        <f t="shared" si="6"/>
        <v>6</v>
      </c>
      <c r="CC36" s="86" t="str">
        <f t="shared" si="7"/>
        <v/>
      </c>
    </row>
    <row r="37" ht="15.0" customHeight="1" outlineLevel="1">
      <c r="A37" s="50">
        <v>46188.458628622684</v>
      </c>
      <c r="B37" s="53" t="s">
        <v>1048</v>
      </c>
      <c r="C37" s="54" t="s">
        <v>100</v>
      </c>
      <c r="D37" s="56" t="s">
        <v>101</v>
      </c>
      <c r="E37" s="57">
        <v>46190.375</v>
      </c>
      <c r="F37" s="54" t="s">
        <v>1049</v>
      </c>
      <c r="G37" s="60" t="s">
        <v>1050</v>
      </c>
      <c r="H37" s="63" t="s">
        <v>1051</v>
      </c>
      <c r="I37" s="67" t="s">
        <v>192</v>
      </c>
      <c r="J37" s="70" t="s">
        <v>1052</v>
      </c>
      <c r="K37" s="54" t="s">
        <v>109</v>
      </c>
      <c r="L37" s="70" t="s">
        <v>1053</v>
      </c>
      <c r="M37" s="77" t="s">
        <v>1054</v>
      </c>
      <c r="N37" s="78">
        <v>30630.0</v>
      </c>
      <c r="O37" s="80" t="s">
        <v>37</v>
      </c>
      <c r="P37" s="70" t="s">
        <v>1055</v>
      </c>
      <c r="Q37" s="54"/>
      <c r="R37" s="84"/>
      <c r="S37" s="84"/>
      <c r="T37" s="54"/>
      <c r="U37" s="86"/>
      <c r="V37" s="54"/>
      <c r="W37" s="86"/>
      <c r="X37" s="54"/>
      <c r="Y37" s="78"/>
      <c r="Z37" s="54"/>
      <c r="AA37" s="70"/>
      <c r="AB37" s="83"/>
      <c r="AC37" s="83"/>
      <c r="AD37" s="83"/>
      <c r="AE37" s="83"/>
      <c r="AF37" s="83" t="s">
        <v>1056</v>
      </c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54" t="s">
        <v>1057</v>
      </c>
      <c r="AR37" s="83" t="s">
        <v>1058</v>
      </c>
      <c r="AS37" s="83" t="s">
        <v>1059</v>
      </c>
      <c r="AT37" s="93"/>
      <c r="AU37" s="93" t="s">
        <v>1052</v>
      </c>
      <c r="AV37" s="93" t="s">
        <v>1052</v>
      </c>
      <c r="AW37" s="83" t="s">
        <v>1060</v>
      </c>
      <c r="AX37" s="83">
        <v>5.0</v>
      </c>
      <c r="AY37" s="83">
        <v>501.0</v>
      </c>
      <c r="AZ37" s="83" t="s">
        <v>1061</v>
      </c>
      <c r="BA37" s="83" t="s">
        <v>1063</v>
      </c>
      <c r="BB37" s="83" t="s">
        <v>1064</v>
      </c>
      <c r="BC37" s="54" t="s">
        <v>41</v>
      </c>
      <c r="BD37" s="54" t="str">
        <f t="shared" si="1"/>
        <v>San Borja</v>
      </c>
      <c r="BE37" s="54" t="s">
        <v>140</v>
      </c>
      <c r="BF37" s="95" t="s">
        <v>141</v>
      </c>
      <c r="BG37" s="95" t="s">
        <v>142</v>
      </c>
      <c r="BH37" s="54"/>
      <c r="BI37" s="67"/>
      <c r="BJ37" s="67"/>
      <c r="BK37" s="54"/>
      <c r="BL37" s="54" t="s">
        <v>213</v>
      </c>
      <c r="BM37" s="54" t="s">
        <v>214</v>
      </c>
      <c r="BN37" s="104">
        <v>110.0</v>
      </c>
      <c r="BO37" s="83" t="s">
        <v>148</v>
      </c>
      <c r="BP37" s="54" t="s">
        <v>144</v>
      </c>
      <c r="BQ37" s="70" t="s">
        <v>141</v>
      </c>
      <c r="BR37" s="67" t="s">
        <v>149</v>
      </c>
      <c r="BS37" s="83">
        <v>1.0</v>
      </c>
      <c r="BT37" s="83"/>
      <c r="BU37" s="109">
        <f t="shared" si="2"/>
        <v>46188</v>
      </c>
      <c r="BV37" s="109">
        <f t="shared" si="3"/>
        <v>46190</v>
      </c>
      <c r="BW37" s="83" t="str">
        <f t="shared" si="4"/>
        <v>09</v>
      </c>
      <c r="BX37" s="106"/>
      <c r="BY37" s="107"/>
      <c r="BZ37" s="113">
        <f t="shared" si="5"/>
        <v>4</v>
      </c>
      <c r="CA37" s="113">
        <f t="array" ref="CA37">IF($A37&lt;&gt;"",INDEX(LISTA!$M$2:$N$27,MATCH($BC37,LISTA!$N$2:$N$27,0),1),"")</f>
        <v>1</v>
      </c>
      <c r="CB37" s="54">
        <f t="shared" si="6"/>
        <v>6</v>
      </c>
      <c r="CC37" s="86" t="str">
        <f t="shared" si="7"/>
        <v/>
      </c>
    </row>
    <row r="38" ht="15.0" customHeight="1" outlineLevel="1">
      <c r="A38" s="50">
        <v>46198.7398141088</v>
      </c>
      <c r="B38" s="53" t="s">
        <v>1076</v>
      </c>
      <c r="C38" s="54" t="s">
        <v>100</v>
      </c>
      <c r="D38" s="56" t="s">
        <v>101</v>
      </c>
      <c r="E38" s="57">
        <v>46203.375</v>
      </c>
      <c r="F38" s="54" t="s">
        <v>786</v>
      </c>
      <c r="G38" s="60" t="s">
        <v>787</v>
      </c>
      <c r="H38" s="63" t="s">
        <v>788</v>
      </c>
      <c r="I38" s="67" t="s">
        <v>365</v>
      </c>
      <c r="J38" s="70" t="s">
        <v>789</v>
      </c>
      <c r="K38" s="54" t="s">
        <v>109</v>
      </c>
      <c r="L38" s="70" t="s">
        <v>542</v>
      </c>
      <c r="M38" s="77" t="s">
        <v>790</v>
      </c>
      <c r="N38" s="78">
        <v>28048.0</v>
      </c>
      <c r="O38" s="80" t="s">
        <v>24</v>
      </c>
      <c r="P38" s="70" t="s">
        <v>791</v>
      </c>
      <c r="Q38" s="54"/>
      <c r="R38" s="84"/>
      <c r="S38" s="84"/>
      <c r="T38" s="54"/>
      <c r="U38" s="86"/>
      <c r="V38" s="54"/>
      <c r="W38" s="86"/>
      <c r="X38" s="54"/>
      <c r="Y38" s="78"/>
      <c r="Z38" s="54"/>
      <c r="AA38" s="70"/>
      <c r="AB38" s="83"/>
      <c r="AC38" s="83"/>
      <c r="AD38" s="83"/>
      <c r="AE38" s="83"/>
      <c r="AF38" s="83" t="s">
        <v>792</v>
      </c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54" t="s">
        <v>793</v>
      </c>
      <c r="AR38" s="83" t="s">
        <v>794</v>
      </c>
      <c r="AS38" s="83" t="s">
        <v>795</v>
      </c>
      <c r="AT38" s="83"/>
      <c r="AU38" s="93" t="s">
        <v>796</v>
      </c>
      <c r="AV38" s="93" t="s">
        <v>796</v>
      </c>
      <c r="AW38" s="83" t="s">
        <v>797</v>
      </c>
      <c r="AX38" s="83">
        <v>3.0</v>
      </c>
      <c r="AY38" s="83">
        <v>1.0</v>
      </c>
      <c r="AZ38" s="83" t="s">
        <v>798</v>
      </c>
      <c r="BA38" s="83" t="s">
        <v>799</v>
      </c>
      <c r="BB38" s="83" t="s">
        <v>800</v>
      </c>
      <c r="BC38" s="54" t="s">
        <v>41</v>
      </c>
      <c r="BD38" s="54" t="str">
        <f t="shared" si="1"/>
        <v>Los Olivos</v>
      </c>
      <c r="BE38" s="54" t="s">
        <v>143</v>
      </c>
      <c r="BF38" s="95" t="s">
        <v>144</v>
      </c>
      <c r="BG38" s="95" t="s">
        <v>142</v>
      </c>
      <c r="BH38" s="54"/>
      <c r="BI38" s="67"/>
      <c r="BJ38" s="67"/>
      <c r="BK38" s="54"/>
      <c r="BL38" s="54" t="s">
        <v>213</v>
      </c>
      <c r="BM38" s="54" t="s">
        <v>146</v>
      </c>
      <c r="BN38" s="104">
        <v>110.0</v>
      </c>
      <c r="BO38" s="83" t="s">
        <v>182</v>
      </c>
      <c r="BP38" s="54" t="s">
        <v>144</v>
      </c>
      <c r="BQ38" s="70" t="s">
        <v>141</v>
      </c>
      <c r="BR38" s="67" t="s">
        <v>149</v>
      </c>
      <c r="BS38" s="83" t="s">
        <v>149</v>
      </c>
      <c r="BT38" s="83"/>
      <c r="BU38" s="109">
        <f t="shared" si="2"/>
        <v>46198</v>
      </c>
      <c r="BV38" s="109">
        <f t="shared" si="3"/>
        <v>46203</v>
      </c>
      <c r="BW38" s="83" t="str">
        <f t="shared" si="4"/>
        <v>09</v>
      </c>
      <c r="BX38" s="106"/>
      <c r="BY38" s="107"/>
      <c r="BZ38" s="113">
        <f t="shared" si="5"/>
        <v>3</v>
      </c>
      <c r="CA38" s="113">
        <f t="array" ref="CA38">IF($A38&lt;&gt;"",INDEX(LISTA!$M$2:$N$27,MATCH($BC38,LISTA!$N$2:$N$27,0),1),"")</f>
        <v>1</v>
      </c>
      <c r="CB38" s="54">
        <f t="shared" si="6"/>
        <v>6</v>
      </c>
      <c r="CC38" s="86" t="str">
        <f t="shared" si="7"/>
        <v/>
      </c>
    </row>
    <row r="39" ht="15.0" customHeight="1" outlineLevel="1">
      <c r="A39" s="50">
        <v>46199.696382361115</v>
      </c>
      <c r="B39" s="53" t="s">
        <v>1080</v>
      </c>
      <c r="C39" s="54" t="s">
        <v>100</v>
      </c>
      <c r="D39" s="56" t="s">
        <v>101</v>
      </c>
      <c r="E39" s="57">
        <v>46206.375</v>
      </c>
      <c r="F39" s="54" t="s">
        <v>1081</v>
      </c>
      <c r="G39" s="60" t="s">
        <v>1082</v>
      </c>
      <c r="H39" s="63" t="s">
        <v>1083</v>
      </c>
      <c r="I39" s="67" t="s">
        <v>365</v>
      </c>
      <c r="J39" s="70" t="s">
        <v>1084</v>
      </c>
      <c r="K39" s="54" t="s">
        <v>109</v>
      </c>
      <c r="L39" s="70" t="s">
        <v>1085</v>
      </c>
      <c r="M39" s="77" t="s">
        <v>1086</v>
      </c>
      <c r="N39" s="78">
        <v>30241.0</v>
      </c>
      <c r="O39" s="80" t="s">
        <v>28</v>
      </c>
      <c r="P39" s="70" t="s">
        <v>1087</v>
      </c>
      <c r="Q39" s="54"/>
      <c r="R39" s="84"/>
      <c r="S39" s="84"/>
      <c r="T39" s="54"/>
      <c r="U39" s="86" t="s">
        <v>1088</v>
      </c>
      <c r="V39" s="54"/>
      <c r="W39" s="86"/>
      <c r="X39" s="54"/>
      <c r="Y39" s="78"/>
      <c r="Z39" s="54"/>
      <c r="AA39" s="70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54" t="s">
        <v>1089</v>
      </c>
      <c r="AR39" s="83" t="s">
        <v>1090</v>
      </c>
      <c r="AS39" s="83" t="s">
        <v>1091</v>
      </c>
      <c r="AT39" s="93"/>
      <c r="AU39" s="93" t="s">
        <v>1092</v>
      </c>
      <c r="AV39" s="93" t="s">
        <v>1092</v>
      </c>
      <c r="AW39" s="83" t="s">
        <v>1093</v>
      </c>
      <c r="AX39" s="83">
        <v>3.0</v>
      </c>
      <c r="AY39" s="83">
        <v>1.0</v>
      </c>
      <c r="AZ39" s="83" t="s">
        <v>1094</v>
      </c>
      <c r="BA39" s="83" t="s">
        <v>1095</v>
      </c>
      <c r="BB39" s="83" t="s">
        <v>1096</v>
      </c>
      <c r="BC39" s="54" t="s">
        <v>28</v>
      </c>
      <c r="BD39" s="54" t="str">
        <f t="shared" si="1"/>
        <v>Huamanga</v>
      </c>
      <c r="BE39" s="54" t="s">
        <v>140</v>
      </c>
      <c r="BF39" s="95" t="s">
        <v>141</v>
      </c>
      <c r="BG39" s="95" t="s">
        <v>142</v>
      </c>
      <c r="BH39" s="54"/>
      <c r="BI39" s="67"/>
      <c r="BJ39" s="67"/>
      <c r="BK39" s="54"/>
      <c r="BL39" s="54" t="s">
        <v>147</v>
      </c>
      <c r="BM39" s="54" t="s">
        <v>247</v>
      </c>
      <c r="BN39" s="104">
        <v>89.0</v>
      </c>
      <c r="BO39" s="83" t="s">
        <v>148</v>
      </c>
      <c r="BP39" s="54" t="s">
        <v>141</v>
      </c>
      <c r="BQ39" s="70" t="s">
        <v>141</v>
      </c>
      <c r="BR39" s="67" t="s">
        <v>149</v>
      </c>
      <c r="BS39" s="83">
        <v>1.0</v>
      </c>
      <c r="BT39" s="83"/>
      <c r="BU39" s="109">
        <f t="shared" si="2"/>
        <v>46199</v>
      </c>
      <c r="BV39" s="109">
        <f t="shared" si="3"/>
        <v>46206</v>
      </c>
      <c r="BW39" s="83" t="str">
        <f t="shared" si="4"/>
        <v>09</v>
      </c>
      <c r="BX39" s="106"/>
      <c r="BY39" s="107"/>
      <c r="BZ39" s="113">
        <f t="shared" si="5"/>
        <v>3</v>
      </c>
      <c r="CA39" s="113">
        <f t="array" ref="CA39">IF($A39&lt;&gt;"",INDEX(LISTA!$M$2:$N$27,MATCH($BC39,LISTA!$N$2:$N$27,0),1),"")</f>
        <v>8</v>
      </c>
      <c r="CB39" s="54">
        <f t="shared" si="6"/>
        <v>6</v>
      </c>
      <c r="CC39" s="86" t="str">
        <f t="shared" si="7"/>
        <v/>
      </c>
    </row>
    <row r="40" ht="15.0" customHeight="1" outlineLevel="1">
      <c r="A40" s="50">
        <v>46200.40570074074</v>
      </c>
      <c r="B40" s="53" t="s">
        <v>1080</v>
      </c>
      <c r="C40" s="54" t="s">
        <v>100</v>
      </c>
      <c r="D40" s="56" t="s">
        <v>101</v>
      </c>
      <c r="E40" s="57">
        <v>46204.666666666664</v>
      </c>
      <c r="F40" s="54" t="s">
        <v>1081</v>
      </c>
      <c r="G40" s="60" t="s">
        <v>981</v>
      </c>
      <c r="H40" s="63" t="s">
        <v>982</v>
      </c>
      <c r="I40" s="67" t="s">
        <v>287</v>
      </c>
      <c r="J40" s="70" t="s">
        <v>983</v>
      </c>
      <c r="K40" s="54" t="s">
        <v>109</v>
      </c>
      <c r="L40" s="70" t="s">
        <v>579</v>
      </c>
      <c r="M40" s="77" t="s">
        <v>580</v>
      </c>
      <c r="N40" s="78">
        <v>28087.0</v>
      </c>
      <c r="O40" s="80" t="s">
        <v>29</v>
      </c>
      <c r="P40" s="70" t="s">
        <v>984</v>
      </c>
      <c r="Q40" s="54"/>
      <c r="R40" s="84"/>
      <c r="S40" s="84"/>
      <c r="T40" s="54"/>
      <c r="U40" s="86"/>
      <c r="V40" s="54" t="s">
        <v>985</v>
      </c>
      <c r="W40" s="86"/>
      <c r="X40" s="54"/>
      <c r="Y40" s="78"/>
      <c r="Z40" s="54"/>
      <c r="AA40" s="70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54" t="s">
        <v>986</v>
      </c>
      <c r="AR40" s="83" t="s">
        <v>987</v>
      </c>
      <c r="AS40" s="83" t="s">
        <v>988</v>
      </c>
      <c r="AT40" s="83"/>
      <c r="AU40" s="93" t="s">
        <v>989</v>
      </c>
      <c r="AV40" s="93" t="s">
        <v>989</v>
      </c>
      <c r="AW40" s="83" t="s">
        <v>990</v>
      </c>
      <c r="AX40" s="83">
        <v>1.0</v>
      </c>
      <c r="AY40" s="83" t="s">
        <v>991</v>
      </c>
      <c r="AZ40" s="83" t="s">
        <v>992</v>
      </c>
      <c r="BA40" s="83" t="s">
        <v>993</v>
      </c>
      <c r="BB40" s="83" t="s">
        <v>994</v>
      </c>
      <c r="BC40" s="54" t="s">
        <v>29</v>
      </c>
      <c r="BD40" s="54" t="str">
        <f t="shared" si="1"/>
        <v>Cajabamba</v>
      </c>
      <c r="BE40" s="54" t="s">
        <v>140</v>
      </c>
      <c r="BF40" s="95" t="s">
        <v>144</v>
      </c>
      <c r="BG40" s="95" t="s">
        <v>142</v>
      </c>
      <c r="BH40" s="54"/>
      <c r="BI40" s="67"/>
      <c r="BJ40" s="67"/>
      <c r="BK40" s="54"/>
      <c r="BL40" s="54" t="s">
        <v>147</v>
      </c>
      <c r="BM40" s="54" t="s">
        <v>146</v>
      </c>
      <c r="BN40" s="104">
        <v>100.0</v>
      </c>
      <c r="BO40" s="83" t="s">
        <v>330</v>
      </c>
      <c r="BP40" s="54" t="s">
        <v>141</v>
      </c>
      <c r="BQ40" s="70" t="s">
        <v>141</v>
      </c>
      <c r="BR40" s="67" t="s">
        <v>149</v>
      </c>
      <c r="BS40" s="83">
        <v>1.0</v>
      </c>
      <c r="BT40" s="83"/>
      <c r="BU40" s="109">
        <f t="shared" si="2"/>
        <v>46200</v>
      </c>
      <c r="BV40" s="109">
        <f t="shared" si="3"/>
        <v>46204</v>
      </c>
      <c r="BW40" s="83" t="str">
        <f t="shared" si="4"/>
        <v>16</v>
      </c>
      <c r="BX40" s="106"/>
      <c r="BY40" s="107"/>
      <c r="BZ40" s="113">
        <f t="shared" si="5"/>
        <v>3</v>
      </c>
      <c r="CA40" s="113">
        <f t="array" ref="CA40">IF($A40&lt;&gt;"",INDEX(LISTA!$M$2:$N$27,MATCH($BC40,LISTA!$N$2:$N$27,0),1),"")</f>
        <v>9</v>
      </c>
      <c r="CB40" s="54">
        <f t="shared" si="6"/>
        <v>6</v>
      </c>
      <c r="CC40" s="86" t="str">
        <f t="shared" si="7"/>
        <v/>
      </c>
    </row>
    <row r="41" ht="15.0" customHeight="1" outlineLevel="1">
      <c r="A41" s="50">
        <v>46200.7332803125</v>
      </c>
      <c r="B41" s="53" t="s">
        <v>1080</v>
      </c>
      <c r="C41" s="54" t="s">
        <v>100</v>
      </c>
      <c r="D41" s="56" t="s">
        <v>101</v>
      </c>
      <c r="E41" s="57">
        <v>46202.583333333336</v>
      </c>
      <c r="F41" s="54" t="s">
        <v>786</v>
      </c>
      <c r="G41" s="60" t="s">
        <v>1035</v>
      </c>
      <c r="H41" s="63" t="s">
        <v>1037</v>
      </c>
      <c r="I41" s="67" t="s">
        <v>403</v>
      </c>
      <c r="J41" s="70" t="s">
        <v>1038</v>
      </c>
      <c r="K41" s="54" t="s">
        <v>109</v>
      </c>
      <c r="L41" s="70" t="s">
        <v>620</v>
      </c>
      <c r="M41" s="77" t="s">
        <v>1113</v>
      </c>
      <c r="N41" s="78">
        <v>34310.0</v>
      </c>
      <c r="O41" s="80" t="s">
        <v>37</v>
      </c>
      <c r="P41" s="70" t="s">
        <v>1039</v>
      </c>
      <c r="Q41" s="54"/>
      <c r="R41" s="84"/>
      <c r="S41" s="84"/>
      <c r="T41" s="54"/>
      <c r="U41" s="86"/>
      <c r="V41" s="54"/>
      <c r="W41" s="86"/>
      <c r="X41" s="54"/>
      <c r="Y41" s="78"/>
      <c r="Z41" s="54"/>
      <c r="AA41" s="70"/>
      <c r="AB41" s="83"/>
      <c r="AC41" s="83"/>
      <c r="AD41" s="83"/>
      <c r="AE41" s="83"/>
      <c r="AF41" s="83" t="s">
        <v>165</v>
      </c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54" t="s">
        <v>1040</v>
      </c>
      <c r="AR41" s="83" t="s">
        <v>1041</v>
      </c>
      <c r="AS41" s="83" t="s">
        <v>1042</v>
      </c>
      <c r="AT41" s="93"/>
      <c r="AU41" s="93" t="s">
        <v>1038</v>
      </c>
      <c r="AV41" s="93" t="s">
        <v>1038</v>
      </c>
      <c r="AW41" s="83" t="s">
        <v>1043</v>
      </c>
      <c r="AX41" s="83">
        <v>1.0</v>
      </c>
      <c r="AY41" s="83" t="s">
        <v>1044</v>
      </c>
      <c r="AZ41" s="83" t="s">
        <v>1045</v>
      </c>
      <c r="BA41" s="83" t="s">
        <v>1046</v>
      </c>
      <c r="BB41" s="83" t="s">
        <v>1047</v>
      </c>
      <c r="BC41" s="54" t="s">
        <v>41</v>
      </c>
      <c r="BD41" s="54" t="str">
        <f t="shared" si="1"/>
        <v>San Martín de Porres</v>
      </c>
      <c r="BE41" s="54" t="s">
        <v>140</v>
      </c>
      <c r="BF41" s="95" t="s">
        <v>144</v>
      </c>
      <c r="BG41" s="95" t="s">
        <v>142</v>
      </c>
      <c r="BH41" s="54"/>
      <c r="BI41" s="67"/>
      <c r="BJ41" s="67"/>
      <c r="BK41" s="54"/>
      <c r="BL41" s="54" t="s">
        <v>283</v>
      </c>
      <c r="BM41" s="54" t="s">
        <v>146</v>
      </c>
      <c r="BN41" s="104">
        <v>94.0</v>
      </c>
      <c r="BO41" s="83" t="s">
        <v>148</v>
      </c>
      <c r="BP41" s="54" t="s">
        <v>141</v>
      </c>
      <c r="BQ41" s="70" t="s">
        <v>144</v>
      </c>
      <c r="BR41" s="67" t="s">
        <v>149</v>
      </c>
      <c r="BS41" s="83">
        <v>1.0</v>
      </c>
      <c r="BT41" s="83"/>
      <c r="BU41" s="109">
        <f t="shared" si="2"/>
        <v>46200</v>
      </c>
      <c r="BV41" s="109">
        <f t="shared" si="3"/>
        <v>46202</v>
      </c>
      <c r="BW41" s="83" t="str">
        <f t="shared" si="4"/>
        <v>14</v>
      </c>
      <c r="BX41" s="106"/>
      <c r="BY41" s="107"/>
      <c r="BZ41" s="113">
        <f t="shared" si="5"/>
        <v>3</v>
      </c>
      <c r="CA41" s="113">
        <f t="array" ref="CA41">IF($A41&lt;&gt;"",INDEX(LISTA!$M$2:$N$27,MATCH($BC41,LISTA!$N$2:$N$27,0),1),"")</f>
        <v>1</v>
      </c>
      <c r="CB41" s="54">
        <f t="shared" si="6"/>
        <v>6</v>
      </c>
      <c r="CC41" s="86" t="str">
        <f t="shared" si="7"/>
        <v/>
      </c>
    </row>
    <row r="42" ht="15.0" customHeight="1" outlineLevel="1">
      <c r="A42" s="50">
        <v>46203.43567568287</v>
      </c>
      <c r="B42" s="53" t="s">
        <v>1080</v>
      </c>
      <c r="C42" s="54" t="s">
        <v>100</v>
      </c>
      <c r="D42" s="56" t="s">
        <v>101</v>
      </c>
      <c r="E42" s="57">
        <v>46205.458333333336</v>
      </c>
      <c r="F42" s="54" t="s">
        <v>1004</v>
      </c>
      <c r="G42" s="60" t="s">
        <v>1005</v>
      </c>
      <c r="H42" s="63" t="s">
        <v>1006</v>
      </c>
      <c r="I42" s="67" t="s">
        <v>192</v>
      </c>
      <c r="J42" s="70" t="s">
        <v>1009</v>
      </c>
      <c r="K42" s="54" t="s">
        <v>109</v>
      </c>
      <c r="L42" s="70" t="s">
        <v>603</v>
      </c>
      <c r="M42" s="77" t="s">
        <v>604</v>
      </c>
      <c r="N42" s="78">
        <v>32454.0</v>
      </c>
      <c r="O42" s="80" t="s">
        <v>31</v>
      </c>
      <c r="P42" s="70" t="s">
        <v>1011</v>
      </c>
      <c r="Q42" s="54"/>
      <c r="R42" s="84"/>
      <c r="S42" s="84"/>
      <c r="T42" s="54"/>
      <c r="U42" s="86"/>
      <c r="V42" s="54"/>
      <c r="W42" s="86"/>
      <c r="X42" s="54" t="s">
        <v>1012</v>
      </c>
      <c r="Y42" s="78"/>
      <c r="Z42" s="54"/>
      <c r="AA42" s="70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54" t="s">
        <v>1013</v>
      </c>
      <c r="AR42" s="83" t="s">
        <v>645</v>
      </c>
      <c r="AS42" s="83" t="s">
        <v>1014</v>
      </c>
      <c r="AT42" s="93"/>
      <c r="AU42" s="93" t="s">
        <v>1009</v>
      </c>
      <c r="AV42" s="93" t="s">
        <v>1009</v>
      </c>
      <c r="AW42" s="83" t="s">
        <v>1015</v>
      </c>
      <c r="AX42" s="83">
        <v>2.0</v>
      </c>
      <c r="AY42" s="83" t="s">
        <v>1016</v>
      </c>
      <c r="AZ42" s="83" t="s">
        <v>1017</v>
      </c>
      <c r="BA42" s="83" t="s">
        <v>1018</v>
      </c>
      <c r="BB42" s="83" t="s">
        <v>1019</v>
      </c>
      <c r="BC42" s="54" t="s">
        <v>31</v>
      </c>
      <c r="BD42" s="54" t="str">
        <f t="shared" si="1"/>
        <v>Cusco</v>
      </c>
      <c r="BE42" s="54" t="s">
        <v>140</v>
      </c>
      <c r="BF42" s="95" t="s">
        <v>144</v>
      </c>
      <c r="BG42" s="95" t="s">
        <v>142</v>
      </c>
      <c r="BH42" s="54"/>
      <c r="BI42" s="67"/>
      <c r="BJ42" s="67"/>
      <c r="BK42" s="54"/>
      <c r="BL42" s="54" t="s">
        <v>147</v>
      </c>
      <c r="BM42" s="54" t="s">
        <v>247</v>
      </c>
      <c r="BN42" s="104">
        <v>89.0</v>
      </c>
      <c r="BO42" s="83" t="s">
        <v>148</v>
      </c>
      <c r="BP42" s="54"/>
      <c r="BQ42" s="70" t="s">
        <v>141</v>
      </c>
      <c r="BR42" s="67" t="s">
        <v>149</v>
      </c>
      <c r="BS42" s="83">
        <v>1.0</v>
      </c>
      <c r="BT42" s="83"/>
      <c r="BU42" s="109">
        <f t="shared" si="2"/>
        <v>46203</v>
      </c>
      <c r="BV42" s="109">
        <f t="shared" si="3"/>
        <v>46205</v>
      </c>
      <c r="BW42" s="83" t="str">
        <f t="shared" si="4"/>
        <v>11</v>
      </c>
      <c r="BX42" s="106"/>
      <c r="BY42" s="107"/>
      <c r="BZ42" s="113">
        <f t="shared" si="5"/>
        <v>3</v>
      </c>
      <c r="CA42" s="113">
        <f t="array" ref="CA42">IF($A42&lt;&gt;"",INDEX(LISTA!$M$2:$N$27,MATCH($BC42,LISTA!$N$2:$N$27,0),1),"")</f>
        <v>10</v>
      </c>
      <c r="CB42" s="54">
        <f t="shared" si="6"/>
        <v>6</v>
      </c>
      <c r="CC42" s="86" t="str">
        <f t="shared" si="7"/>
        <v/>
      </c>
    </row>
    <row r="43" ht="15.0" customHeight="1" outlineLevel="1">
      <c r="A43" s="50">
        <v>46203.45454525463</v>
      </c>
      <c r="B43" s="53" t="s">
        <v>1080</v>
      </c>
      <c r="C43" s="54" t="s">
        <v>100</v>
      </c>
      <c r="D43" s="56" t="s">
        <v>101</v>
      </c>
      <c r="E43" s="57">
        <v>46206.666666666664</v>
      </c>
      <c r="F43" s="54" t="s">
        <v>786</v>
      </c>
      <c r="G43" s="60" t="s">
        <v>1143</v>
      </c>
      <c r="H43" s="63" t="s">
        <v>1144</v>
      </c>
      <c r="I43" s="67" t="s">
        <v>293</v>
      </c>
      <c r="J43" s="70" t="s">
        <v>1145</v>
      </c>
      <c r="K43" s="54" t="s">
        <v>109</v>
      </c>
      <c r="L43" s="70" t="s">
        <v>1146</v>
      </c>
      <c r="M43" s="77" t="s">
        <v>1147</v>
      </c>
      <c r="N43" s="78">
        <v>34519.0</v>
      </c>
      <c r="O43" s="80" t="s">
        <v>48</v>
      </c>
      <c r="P43" s="70" t="s">
        <v>1148</v>
      </c>
      <c r="Q43" s="54"/>
      <c r="R43" s="84"/>
      <c r="S43" s="84"/>
      <c r="T43" s="54"/>
      <c r="U43" s="86"/>
      <c r="V43" s="54"/>
      <c r="W43" s="86"/>
      <c r="X43" s="54"/>
      <c r="Y43" s="78"/>
      <c r="Z43" s="54"/>
      <c r="AA43" s="70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 t="s">
        <v>892</v>
      </c>
      <c r="AM43" s="83"/>
      <c r="AN43" s="83"/>
      <c r="AO43" s="83"/>
      <c r="AP43" s="83"/>
      <c r="AQ43" s="54" t="s">
        <v>1155</v>
      </c>
      <c r="AR43" s="83" t="s">
        <v>1156</v>
      </c>
      <c r="AS43" s="83" t="s">
        <v>1157</v>
      </c>
      <c r="AT43" s="93"/>
      <c r="AU43" s="93" t="s">
        <v>1145</v>
      </c>
      <c r="AV43" s="93" t="s">
        <v>1145</v>
      </c>
      <c r="AW43" s="83" t="s">
        <v>1158</v>
      </c>
      <c r="AX43" s="83">
        <v>3.0</v>
      </c>
      <c r="AY43" s="83" t="s">
        <v>1160</v>
      </c>
      <c r="AZ43" s="83" t="s">
        <v>1161</v>
      </c>
      <c r="BA43" s="83" t="s">
        <v>1162</v>
      </c>
      <c r="BB43" s="83" t="s">
        <v>1163</v>
      </c>
      <c r="BC43" s="54" t="s">
        <v>48</v>
      </c>
      <c r="BD43" s="54" t="str">
        <f t="shared" si="1"/>
        <v>San Román</v>
      </c>
      <c r="BE43" s="54" t="s">
        <v>140</v>
      </c>
      <c r="BF43" s="95" t="s">
        <v>141</v>
      </c>
      <c r="BG43" s="95" t="s">
        <v>142</v>
      </c>
      <c r="BH43" s="54"/>
      <c r="BI43" s="67"/>
      <c r="BJ43" s="67"/>
      <c r="BK43" s="54"/>
      <c r="BL43" s="54" t="s">
        <v>147</v>
      </c>
      <c r="BM43" s="54" t="s">
        <v>247</v>
      </c>
      <c r="BN43" s="104">
        <v>89.0</v>
      </c>
      <c r="BO43" s="83" t="s">
        <v>148</v>
      </c>
      <c r="BP43" s="54" t="s">
        <v>141</v>
      </c>
      <c r="BQ43" s="70" t="s">
        <v>141</v>
      </c>
      <c r="BR43" s="67" t="s">
        <v>149</v>
      </c>
      <c r="BS43" s="83">
        <v>1.0</v>
      </c>
      <c r="BT43" s="83"/>
      <c r="BU43" s="109">
        <f t="shared" si="2"/>
        <v>46203</v>
      </c>
      <c r="BV43" s="109">
        <f t="shared" si="3"/>
        <v>46206</v>
      </c>
      <c r="BW43" s="83" t="str">
        <f t="shared" si="4"/>
        <v>16</v>
      </c>
      <c r="BX43" s="106"/>
      <c r="BY43" s="107"/>
      <c r="BZ43" s="113">
        <f t="shared" si="5"/>
        <v>3</v>
      </c>
      <c r="CA43" s="113">
        <f t="array" ref="CA43">IF($A43&lt;&gt;"",INDEX(LISTA!$M$2:$N$27,MATCH($BC43,LISTA!$N$2:$N$27,0),1),"")</f>
        <v>22</v>
      </c>
      <c r="CB43" s="54">
        <f t="shared" si="6"/>
        <v>6</v>
      </c>
      <c r="CC43" s="86" t="str">
        <f t="shared" si="7"/>
        <v/>
      </c>
    </row>
    <row r="44" ht="15.0" customHeight="1" outlineLevel="1">
      <c r="A44" s="50">
        <v>46203.46579671296</v>
      </c>
      <c r="B44" s="53" t="s">
        <v>1080</v>
      </c>
      <c r="C44" s="54" t="s">
        <v>100</v>
      </c>
      <c r="D44" s="56" t="s">
        <v>101</v>
      </c>
      <c r="E44" s="57">
        <v>46205.583333333336</v>
      </c>
      <c r="F44" s="54" t="s">
        <v>1173</v>
      </c>
      <c r="G44" s="60" t="s">
        <v>1174</v>
      </c>
      <c r="H44" s="63" t="s">
        <v>1175</v>
      </c>
      <c r="I44" s="67" t="s">
        <v>192</v>
      </c>
      <c r="J44" s="70" t="s">
        <v>1176</v>
      </c>
      <c r="K44" s="54" t="s">
        <v>109</v>
      </c>
      <c r="L44" s="70" t="s">
        <v>1177</v>
      </c>
      <c r="M44" s="77" t="s">
        <v>1178</v>
      </c>
      <c r="N44" s="78">
        <v>33773.0</v>
      </c>
      <c r="O44" s="80" t="s">
        <v>30</v>
      </c>
      <c r="P44" s="70" t="s">
        <v>1179</v>
      </c>
      <c r="Q44" s="54"/>
      <c r="R44" s="84"/>
      <c r="S44" s="84"/>
      <c r="T44" s="54"/>
      <c r="U44" s="86"/>
      <c r="V44" s="54"/>
      <c r="W44" s="86"/>
      <c r="X44" s="54"/>
      <c r="Y44" s="78"/>
      <c r="Z44" s="54"/>
      <c r="AA44" s="70"/>
      <c r="AB44" s="83"/>
      <c r="AC44" s="83"/>
      <c r="AD44" s="83"/>
      <c r="AE44" s="83"/>
      <c r="AF44" s="83" t="s">
        <v>165</v>
      </c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54" t="s">
        <v>1180</v>
      </c>
      <c r="AR44" s="83" t="s">
        <v>1181</v>
      </c>
      <c r="AS44" s="83" t="s">
        <v>1182</v>
      </c>
      <c r="AT44" s="93"/>
      <c r="AU44" s="93" t="s">
        <v>1176</v>
      </c>
      <c r="AV44" s="93" t="s">
        <v>1176</v>
      </c>
      <c r="AW44" s="83" t="s">
        <v>1183</v>
      </c>
      <c r="AX44" s="83">
        <v>1.0</v>
      </c>
      <c r="AY44" s="83" t="s">
        <v>238</v>
      </c>
      <c r="AZ44" s="83" t="s">
        <v>1185</v>
      </c>
      <c r="BA44" s="83" t="s">
        <v>1187</v>
      </c>
      <c r="BB44" s="83" t="s">
        <v>1189</v>
      </c>
      <c r="BC44" s="54" t="s">
        <v>41</v>
      </c>
      <c r="BD44" s="54" t="str">
        <f t="shared" si="1"/>
        <v>San Martín de Porres</v>
      </c>
      <c r="BE44" s="54" t="s">
        <v>140</v>
      </c>
      <c r="BF44" s="95" t="s">
        <v>144</v>
      </c>
      <c r="BG44" s="95" t="s">
        <v>142</v>
      </c>
      <c r="BH44" s="54"/>
      <c r="BI44" s="67"/>
      <c r="BJ44" s="67"/>
      <c r="BK44" s="54"/>
      <c r="BL44" s="54" t="s">
        <v>147</v>
      </c>
      <c r="BM44" s="54" t="s">
        <v>247</v>
      </c>
      <c r="BN44" s="104">
        <v>89.0</v>
      </c>
      <c r="BO44" s="83" t="s">
        <v>148</v>
      </c>
      <c r="BP44" s="54" t="s">
        <v>141</v>
      </c>
      <c r="BQ44" s="70" t="s">
        <v>141</v>
      </c>
      <c r="BR44" s="67" t="s">
        <v>149</v>
      </c>
      <c r="BS44" s="83">
        <v>1.0</v>
      </c>
      <c r="BT44" s="83"/>
      <c r="BU44" s="109">
        <f t="shared" si="2"/>
        <v>46203</v>
      </c>
      <c r="BV44" s="109">
        <f t="shared" si="3"/>
        <v>46205</v>
      </c>
      <c r="BW44" s="83" t="str">
        <f t="shared" si="4"/>
        <v>14</v>
      </c>
      <c r="BX44" s="106"/>
      <c r="BY44" s="107"/>
      <c r="BZ44" s="113">
        <f t="shared" si="5"/>
        <v>3</v>
      </c>
      <c r="CA44" s="113">
        <f t="array" ref="CA44">IF($A44&lt;&gt;"",INDEX(LISTA!$M$2:$N$27,MATCH($BC44,LISTA!$N$2:$N$27,0),1),"")</f>
        <v>1</v>
      </c>
      <c r="CB44" s="54">
        <f t="shared" si="6"/>
        <v>6</v>
      </c>
      <c r="CC44" s="86" t="str">
        <f t="shared" si="7"/>
        <v/>
      </c>
    </row>
    <row r="45" ht="15.0" customHeight="1" outlineLevel="1">
      <c r="A45" s="50">
        <v>46203.48133850694</v>
      </c>
      <c r="B45" s="53" t="s">
        <v>1080</v>
      </c>
      <c r="C45" s="54" t="s">
        <v>100</v>
      </c>
      <c r="D45" s="56" t="s">
        <v>101</v>
      </c>
      <c r="E45" s="57">
        <v>46204.666666666664</v>
      </c>
      <c r="F45" s="54" t="s">
        <v>103</v>
      </c>
      <c r="G45" s="60" t="s">
        <v>927</v>
      </c>
      <c r="H45" s="63" t="s">
        <v>928</v>
      </c>
      <c r="I45" s="67" t="s">
        <v>360</v>
      </c>
      <c r="J45" s="70" t="s">
        <v>929</v>
      </c>
      <c r="K45" s="54" t="s">
        <v>109</v>
      </c>
      <c r="L45" s="70" t="s">
        <v>591</v>
      </c>
      <c r="M45" s="77" t="s">
        <v>592</v>
      </c>
      <c r="N45" s="78">
        <v>27999.0</v>
      </c>
      <c r="O45" s="80" t="s">
        <v>27</v>
      </c>
      <c r="P45" s="70" t="s">
        <v>930</v>
      </c>
      <c r="Q45" s="54"/>
      <c r="R45" s="84"/>
      <c r="S45" s="84"/>
      <c r="T45" s="54" t="s">
        <v>122</v>
      </c>
      <c r="U45" s="86"/>
      <c r="V45" s="54"/>
      <c r="W45" s="86"/>
      <c r="X45" s="54"/>
      <c r="Y45" s="78"/>
      <c r="Z45" s="54"/>
      <c r="AA45" s="70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54" t="s">
        <v>931</v>
      </c>
      <c r="AR45" s="83" t="s">
        <v>932</v>
      </c>
      <c r="AS45" s="83" t="s">
        <v>933</v>
      </c>
      <c r="AT45" s="93"/>
      <c r="AU45" s="93" t="s">
        <v>929</v>
      </c>
      <c r="AV45" s="93" t="s">
        <v>929</v>
      </c>
      <c r="AW45" s="83" t="s">
        <v>934</v>
      </c>
      <c r="AX45" s="83">
        <v>2.0</v>
      </c>
      <c r="AY45" s="83" t="s">
        <v>842</v>
      </c>
      <c r="AZ45" s="83" t="s">
        <v>935</v>
      </c>
      <c r="BA45" s="83" t="s">
        <v>936</v>
      </c>
      <c r="BB45" s="83" t="s">
        <v>937</v>
      </c>
      <c r="BC45" s="54" t="s">
        <v>27</v>
      </c>
      <c r="BD45" s="54" t="str">
        <f t="shared" si="1"/>
        <v>Arequipa</v>
      </c>
      <c r="BE45" s="54" t="s">
        <v>140</v>
      </c>
      <c r="BF45" s="95" t="s">
        <v>144</v>
      </c>
      <c r="BG45" s="95" t="s">
        <v>142</v>
      </c>
      <c r="BH45" s="54"/>
      <c r="BI45" s="67"/>
      <c r="BJ45" s="67"/>
      <c r="BK45" s="54"/>
      <c r="BL45" s="54" t="s">
        <v>283</v>
      </c>
      <c r="BM45" s="54" t="s">
        <v>146</v>
      </c>
      <c r="BN45" s="104">
        <v>94.0</v>
      </c>
      <c r="BO45" s="83" t="s">
        <v>148</v>
      </c>
      <c r="BP45" s="54" t="s">
        <v>141</v>
      </c>
      <c r="BQ45" s="70" t="s">
        <v>141</v>
      </c>
      <c r="BR45" s="67" t="s">
        <v>149</v>
      </c>
      <c r="BS45" s="83">
        <v>1.0</v>
      </c>
      <c r="BT45" s="83"/>
      <c r="BU45" s="109">
        <f t="shared" si="2"/>
        <v>46203</v>
      </c>
      <c r="BV45" s="109">
        <f t="shared" si="3"/>
        <v>46204</v>
      </c>
      <c r="BW45" s="83" t="str">
        <f t="shared" si="4"/>
        <v>16</v>
      </c>
      <c r="BX45" s="106"/>
      <c r="BY45" s="107"/>
      <c r="BZ45" s="113">
        <f t="shared" si="5"/>
        <v>3</v>
      </c>
      <c r="CA45" s="113">
        <f t="array" ref="CA45">IF($A45&lt;&gt;"",INDEX(LISTA!$M$2:$N$27,MATCH($BC45,LISTA!$N$2:$N$27,0),1),"")</f>
        <v>7</v>
      </c>
      <c r="CB45" s="54">
        <f t="shared" si="6"/>
        <v>6</v>
      </c>
      <c r="CC45" s="86" t="str">
        <f t="shared" si="7"/>
        <v/>
      </c>
    </row>
    <row r="46" ht="15.0" customHeight="1" outlineLevel="1">
      <c r="A46" s="50">
        <v>46203.54532023148</v>
      </c>
      <c r="B46" s="53" t="s">
        <v>1080</v>
      </c>
      <c r="C46" s="54" t="s">
        <v>100</v>
      </c>
      <c r="D46" s="56" t="s">
        <v>101</v>
      </c>
      <c r="E46" s="57">
        <v>46205.375</v>
      </c>
      <c r="F46" s="54" t="s">
        <v>813</v>
      </c>
      <c r="G46" s="60" t="s">
        <v>814</v>
      </c>
      <c r="H46" s="63" t="s">
        <v>815</v>
      </c>
      <c r="I46" s="67" t="s">
        <v>360</v>
      </c>
      <c r="J46" s="70" t="s">
        <v>1211</v>
      </c>
      <c r="K46" s="54" t="s">
        <v>109</v>
      </c>
      <c r="L46" s="70" t="s">
        <v>551</v>
      </c>
      <c r="M46" s="77" t="s">
        <v>1213</v>
      </c>
      <c r="N46" s="78">
        <v>33323.0</v>
      </c>
      <c r="O46" s="80" t="s">
        <v>46</v>
      </c>
      <c r="P46" s="70" t="s">
        <v>817</v>
      </c>
      <c r="Q46" s="54"/>
      <c r="R46" s="84"/>
      <c r="S46" s="84"/>
      <c r="T46" s="54"/>
      <c r="U46" s="86"/>
      <c r="V46" s="54"/>
      <c r="W46" s="86"/>
      <c r="X46" s="54"/>
      <c r="Y46" s="78"/>
      <c r="Z46" s="54"/>
      <c r="AA46" s="70"/>
      <c r="AB46" s="83"/>
      <c r="AC46" s="83"/>
      <c r="AD46" s="83"/>
      <c r="AE46" s="83"/>
      <c r="AF46" s="83"/>
      <c r="AG46" s="83"/>
      <c r="AH46" s="83"/>
      <c r="AI46" s="83"/>
      <c r="AJ46" s="83"/>
      <c r="AK46" s="83" t="s">
        <v>199</v>
      </c>
      <c r="AL46" s="83"/>
      <c r="AM46" s="83"/>
      <c r="AN46" s="83"/>
      <c r="AO46" s="83"/>
      <c r="AP46" s="83"/>
      <c r="AQ46" s="54" t="s">
        <v>818</v>
      </c>
      <c r="AR46" s="83" t="s">
        <v>819</v>
      </c>
      <c r="AS46" s="83" t="s">
        <v>820</v>
      </c>
      <c r="AT46" s="93"/>
      <c r="AU46" s="93" t="s">
        <v>816</v>
      </c>
      <c r="AV46" s="93" t="s">
        <v>816</v>
      </c>
      <c r="AW46" s="83" t="s">
        <v>821</v>
      </c>
      <c r="AX46" s="83">
        <v>2.0</v>
      </c>
      <c r="AY46" s="83" t="s">
        <v>822</v>
      </c>
      <c r="AZ46" s="83" t="s">
        <v>823</v>
      </c>
      <c r="BA46" s="83" t="s">
        <v>824</v>
      </c>
      <c r="BB46" s="83" t="s">
        <v>823</v>
      </c>
      <c r="BC46" s="54" t="s">
        <v>46</v>
      </c>
      <c r="BD46" s="54" t="str">
        <f t="shared" si="1"/>
        <v>Piura</v>
      </c>
      <c r="BE46" s="54" t="s">
        <v>140</v>
      </c>
      <c r="BF46" s="95" t="s">
        <v>141</v>
      </c>
      <c r="BG46" s="95" t="s">
        <v>142</v>
      </c>
      <c r="BH46" s="54"/>
      <c r="BI46" s="67"/>
      <c r="BJ46" s="67"/>
      <c r="BK46" s="54"/>
      <c r="BL46" s="54" t="s">
        <v>283</v>
      </c>
      <c r="BM46" s="54" t="s">
        <v>146</v>
      </c>
      <c r="BN46" s="104">
        <v>94.0</v>
      </c>
      <c r="BO46" s="83" t="s">
        <v>148</v>
      </c>
      <c r="BP46" s="54" t="s">
        <v>141</v>
      </c>
      <c r="BQ46" s="70" t="s">
        <v>144</v>
      </c>
      <c r="BR46" s="67" t="s">
        <v>149</v>
      </c>
      <c r="BS46" s="83" t="s">
        <v>149</v>
      </c>
      <c r="BT46" s="83"/>
      <c r="BU46" s="109">
        <f t="shared" si="2"/>
        <v>46203</v>
      </c>
      <c r="BV46" s="109">
        <f t="shared" si="3"/>
        <v>46205</v>
      </c>
      <c r="BW46" s="83" t="str">
        <f t="shared" si="4"/>
        <v>09</v>
      </c>
      <c r="BX46" s="106"/>
      <c r="BY46" s="107"/>
      <c r="BZ46" s="113">
        <f t="shared" si="5"/>
        <v>3</v>
      </c>
      <c r="CA46" s="113">
        <f t="array" ref="CA46">IF($A46&lt;&gt;"",INDEX(LISTA!$M$2:$N$27,MATCH($BC46,LISTA!$N$2:$N$27,0),1),"")</f>
        <v>21</v>
      </c>
      <c r="CB46" s="54">
        <f t="shared" si="6"/>
        <v>6</v>
      </c>
      <c r="CC46" s="86" t="str">
        <f t="shared" si="7"/>
        <v/>
      </c>
    </row>
    <row r="47" ht="15.0" customHeight="1" outlineLevel="1">
      <c r="A47" s="50">
        <v>46203.55375172454</v>
      </c>
      <c r="B47" s="53" t="s">
        <v>1080</v>
      </c>
      <c r="C47" s="54" t="s">
        <v>100</v>
      </c>
      <c r="D47" s="56" t="s">
        <v>101</v>
      </c>
      <c r="E47" s="57">
        <v>46205.375</v>
      </c>
      <c r="F47" s="54" t="s">
        <v>774</v>
      </c>
      <c r="G47" s="60" t="s">
        <v>775</v>
      </c>
      <c r="H47" s="63" t="s">
        <v>776</v>
      </c>
      <c r="I47" s="67" t="s">
        <v>403</v>
      </c>
      <c r="J47" s="70" t="s">
        <v>777</v>
      </c>
      <c r="K47" s="54" t="s">
        <v>109</v>
      </c>
      <c r="L47" s="70" t="s">
        <v>554</v>
      </c>
      <c r="M47" s="77" t="s">
        <v>555</v>
      </c>
      <c r="N47" s="78">
        <v>24524.0</v>
      </c>
      <c r="O47" s="80" t="s">
        <v>29</v>
      </c>
      <c r="P47" s="70" t="s">
        <v>778</v>
      </c>
      <c r="Q47" s="54"/>
      <c r="R47" s="84"/>
      <c r="S47" s="84"/>
      <c r="T47" s="54"/>
      <c r="U47" s="86"/>
      <c r="V47" s="54"/>
      <c r="W47" s="86"/>
      <c r="X47" s="54"/>
      <c r="Y47" s="78"/>
      <c r="Z47" s="54"/>
      <c r="AA47" s="70"/>
      <c r="AB47" s="83"/>
      <c r="AC47" s="83"/>
      <c r="AD47" s="83"/>
      <c r="AE47" s="83"/>
      <c r="AF47" s="83" t="s">
        <v>691</v>
      </c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54" t="s">
        <v>779</v>
      </c>
      <c r="AR47" s="83" t="s">
        <v>780</v>
      </c>
      <c r="AS47" s="83" t="s">
        <v>781</v>
      </c>
      <c r="AT47" s="93"/>
      <c r="AU47" s="93" t="s">
        <v>777</v>
      </c>
      <c r="AV47" s="93" t="s">
        <v>777</v>
      </c>
      <c r="AW47" s="83" t="s">
        <v>782</v>
      </c>
      <c r="AX47" s="83">
        <v>1.0</v>
      </c>
      <c r="AY47" s="83">
        <v>1.0</v>
      </c>
      <c r="AZ47" s="83" t="s">
        <v>783</v>
      </c>
      <c r="BA47" s="83" t="s">
        <v>784</v>
      </c>
      <c r="BB47" s="83" t="s">
        <v>785</v>
      </c>
      <c r="BC47" s="54" t="s">
        <v>41</v>
      </c>
      <c r="BD47" s="54" t="str">
        <f t="shared" si="1"/>
        <v>Comas</v>
      </c>
      <c r="BE47" s="54" t="s">
        <v>143</v>
      </c>
      <c r="BF47" s="95" t="s">
        <v>141</v>
      </c>
      <c r="BG47" s="95" t="s">
        <v>142</v>
      </c>
      <c r="BH47" s="54"/>
      <c r="BI47" s="67"/>
      <c r="BJ47" s="67"/>
      <c r="BK47" s="54"/>
      <c r="BL47" s="54" t="s">
        <v>283</v>
      </c>
      <c r="BM47" s="54" t="s">
        <v>146</v>
      </c>
      <c r="BN47" s="104">
        <v>94.0</v>
      </c>
      <c r="BO47" s="83" t="s">
        <v>148</v>
      </c>
      <c r="BP47" s="54" t="s">
        <v>141</v>
      </c>
      <c r="BQ47" s="70" t="s">
        <v>144</v>
      </c>
      <c r="BR47" s="67" t="s">
        <v>149</v>
      </c>
      <c r="BS47" s="83" t="s">
        <v>149</v>
      </c>
      <c r="BT47" s="83"/>
      <c r="BU47" s="109">
        <f t="shared" si="2"/>
        <v>46203</v>
      </c>
      <c r="BV47" s="109">
        <f t="shared" si="3"/>
        <v>46205</v>
      </c>
      <c r="BW47" s="83" t="str">
        <f t="shared" si="4"/>
        <v>09</v>
      </c>
      <c r="BX47" s="106"/>
      <c r="BY47" s="107"/>
      <c r="BZ47" s="113">
        <f t="shared" si="5"/>
        <v>3</v>
      </c>
      <c r="CA47" s="113">
        <f t="array" ref="CA47">IF($A47&lt;&gt;"",INDEX(LISTA!$M$2:$N$27,MATCH($BC47,LISTA!$N$2:$N$27,0),1),"")</f>
        <v>1</v>
      </c>
      <c r="CB47" s="54">
        <f t="shared" si="6"/>
        <v>6</v>
      </c>
      <c r="CC47" s="86" t="str">
        <f t="shared" si="7"/>
        <v/>
      </c>
    </row>
    <row r="48" ht="15.0" customHeight="1" outlineLevel="1">
      <c r="A48" s="50">
        <v>46203.56472403935</v>
      </c>
      <c r="B48" s="53" t="s">
        <v>1080</v>
      </c>
      <c r="C48" s="54" t="s">
        <v>100</v>
      </c>
      <c r="D48" s="56" t="s">
        <v>101</v>
      </c>
      <c r="E48" s="57">
        <v>46204.583333333336</v>
      </c>
      <c r="F48" s="54" t="s">
        <v>786</v>
      </c>
      <c r="G48" s="60" t="s">
        <v>825</v>
      </c>
      <c r="H48" s="63" t="s">
        <v>826</v>
      </c>
      <c r="I48" s="67" t="s">
        <v>360</v>
      </c>
      <c r="J48" s="70" t="s">
        <v>1218</v>
      </c>
      <c r="K48" s="54" t="s">
        <v>109</v>
      </c>
      <c r="L48" s="70" t="s">
        <v>548</v>
      </c>
      <c r="M48" s="77" t="s">
        <v>549</v>
      </c>
      <c r="N48" s="78">
        <v>38561.0</v>
      </c>
      <c r="O48" s="80" t="s">
        <v>37</v>
      </c>
      <c r="P48" s="70" t="s">
        <v>830</v>
      </c>
      <c r="Q48" s="54"/>
      <c r="R48" s="84"/>
      <c r="S48" s="84"/>
      <c r="T48" s="54"/>
      <c r="U48" s="86"/>
      <c r="V48" s="54"/>
      <c r="W48" s="86"/>
      <c r="X48" s="54"/>
      <c r="Y48" s="78"/>
      <c r="Z48" s="54"/>
      <c r="AA48" s="70"/>
      <c r="AB48" s="83"/>
      <c r="AC48" s="83"/>
      <c r="AD48" s="83"/>
      <c r="AE48" s="83"/>
      <c r="AF48" s="83" t="s">
        <v>165</v>
      </c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54" t="s">
        <v>837</v>
      </c>
      <c r="AR48" s="83" t="s">
        <v>838</v>
      </c>
      <c r="AS48" s="83" t="s">
        <v>839</v>
      </c>
      <c r="AT48" s="93"/>
      <c r="AU48" s="93" t="s">
        <v>827</v>
      </c>
      <c r="AV48" s="93" t="s">
        <v>827</v>
      </c>
      <c r="AW48" s="83" t="s">
        <v>841</v>
      </c>
      <c r="AX48" s="83">
        <v>5.0</v>
      </c>
      <c r="AY48" s="83" t="s">
        <v>842</v>
      </c>
      <c r="AZ48" s="83" t="s">
        <v>843</v>
      </c>
      <c r="BA48" s="83" t="s">
        <v>844</v>
      </c>
      <c r="BB48" s="83" t="s">
        <v>843</v>
      </c>
      <c r="BC48" s="54" t="s">
        <v>41</v>
      </c>
      <c r="BD48" s="54" t="str">
        <f t="shared" si="1"/>
        <v>San Martín de Porres</v>
      </c>
      <c r="BE48" s="54" t="s">
        <v>140</v>
      </c>
      <c r="BF48" s="95" t="s">
        <v>141</v>
      </c>
      <c r="BG48" s="95" t="s">
        <v>142</v>
      </c>
      <c r="BH48" s="54"/>
      <c r="BI48" s="67"/>
      <c r="BJ48" s="67"/>
      <c r="BK48" s="54"/>
      <c r="BL48" s="54" t="s">
        <v>283</v>
      </c>
      <c r="BM48" s="54" t="s">
        <v>146</v>
      </c>
      <c r="BN48" s="104">
        <v>94.0</v>
      </c>
      <c r="BO48" s="83" t="s">
        <v>148</v>
      </c>
      <c r="BP48" s="54" t="s">
        <v>141</v>
      </c>
      <c r="BQ48" s="70" t="s">
        <v>144</v>
      </c>
      <c r="BR48" s="67" t="s">
        <v>149</v>
      </c>
      <c r="BS48" s="83" t="s">
        <v>149</v>
      </c>
      <c r="BT48" s="83"/>
      <c r="BU48" s="109">
        <f t="shared" si="2"/>
        <v>46203</v>
      </c>
      <c r="BV48" s="109">
        <f t="shared" si="3"/>
        <v>46204</v>
      </c>
      <c r="BW48" s="83" t="str">
        <f t="shared" si="4"/>
        <v>14</v>
      </c>
      <c r="BX48" s="106"/>
      <c r="BY48" s="107"/>
      <c r="BZ48" s="113">
        <f t="shared" si="5"/>
        <v>3</v>
      </c>
      <c r="CA48" s="113">
        <f t="array" ref="CA48">IF($A48&lt;&gt;"",INDEX(LISTA!$M$2:$N$27,MATCH($BC48,LISTA!$N$2:$N$27,0),1),"")</f>
        <v>1</v>
      </c>
      <c r="CB48" s="54">
        <f t="shared" si="6"/>
        <v>6</v>
      </c>
      <c r="CC48" s="86" t="str">
        <f t="shared" si="7"/>
        <v/>
      </c>
    </row>
    <row r="49" ht="15.0" customHeight="1" outlineLevel="1">
      <c r="A49" s="50">
        <v>46203.57456717592</v>
      </c>
      <c r="B49" s="53" t="s">
        <v>1080</v>
      </c>
      <c r="C49" s="54" t="s">
        <v>100</v>
      </c>
      <c r="D49" s="56" t="s">
        <v>101</v>
      </c>
      <c r="E49" s="57">
        <v>46204.458333333336</v>
      </c>
      <c r="F49" s="54" t="s">
        <v>786</v>
      </c>
      <c r="G49" s="60" t="s">
        <v>950</v>
      </c>
      <c r="H49" s="63" t="s">
        <v>953</v>
      </c>
      <c r="I49" s="67" t="s">
        <v>192</v>
      </c>
      <c r="J49" s="70" t="s">
        <v>955</v>
      </c>
      <c r="K49" s="54" t="s">
        <v>109</v>
      </c>
      <c r="L49" s="70" t="s">
        <v>586</v>
      </c>
      <c r="M49" s="77" t="s">
        <v>588</v>
      </c>
      <c r="N49" s="78">
        <v>24562.0</v>
      </c>
      <c r="O49" s="80" t="s">
        <v>36</v>
      </c>
      <c r="P49" s="70" t="s">
        <v>163</v>
      </c>
      <c r="Q49" s="54"/>
      <c r="R49" s="84"/>
      <c r="S49" s="84"/>
      <c r="T49" s="54"/>
      <c r="U49" s="86"/>
      <c r="V49" s="54"/>
      <c r="W49" s="86"/>
      <c r="X49" s="54"/>
      <c r="Y49" s="78"/>
      <c r="Z49" s="54"/>
      <c r="AA49" s="70"/>
      <c r="AB49" s="83"/>
      <c r="AC49" s="83"/>
      <c r="AD49" s="83"/>
      <c r="AE49" s="83"/>
      <c r="AF49" s="83" t="s">
        <v>123</v>
      </c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54" t="s">
        <v>956</v>
      </c>
      <c r="AR49" s="83" t="s">
        <v>957</v>
      </c>
      <c r="AS49" s="83" t="s">
        <v>958</v>
      </c>
      <c r="AT49" s="93"/>
      <c r="AU49" s="93" t="s">
        <v>959</v>
      </c>
      <c r="AV49" s="93" t="s">
        <v>959</v>
      </c>
      <c r="AW49" s="83" t="s">
        <v>960</v>
      </c>
      <c r="AX49" s="83">
        <v>2.0</v>
      </c>
      <c r="AY49" s="83" t="s">
        <v>238</v>
      </c>
      <c r="AZ49" s="83" t="s">
        <v>961</v>
      </c>
      <c r="BA49" s="83" t="s">
        <v>962</v>
      </c>
      <c r="BB49" s="83" t="s">
        <v>963</v>
      </c>
      <c r="BC49" s="54" t="s">
        <v>41</v>
      </c>
      <c r="BD49" s="54" t="str">
        <f t="shared" si="1"/>
        <v>Santiago de Surco</v>
      </c>
      <c r="BE49" s="54" t="s">
        <v>140</v>
      </c>
      <c r="BF49" s="95" t="s">
        <v>144</v>
      </c>
      <c r="BG49" s="95" t="s">
        <v>142</v>
      </c>
      <c r="BH49" s="54"/>
      <c r="BI49" s="67"/>
      <c r="BJ49" s="67"/>
      <c r="BK49" s="54"/>
      <c r="BL49" s="54" t="s">
        <v>213</v>
      </c>
      <c r="BM49" s="54" t="s">
        <v>214</v>
      </c>
      <c r="BN49" s="104">
        <v>110.0</v>
      </c>
      <c r="BO49" s="83" t="s">
        <v>182</v>
      </c>
      <c r="BP49" s="54" t="s">
        <v>144</v>
      </c>
      <c r="BQ49" s="70" t="s">
        <v>141</v>
      </c>
      <c r="BR49" s="67" t="s">
        <v>149</v>
      </c>
      <c r="BS49" s="83">
        <v>1.0</v>
      </c>
      <c r="BT49" s="83"/>
      <c r="BU49" s="109">
        <f t="shared" si="2"/>
        <v>46203</v>
      </c>
      <c r="BV49" s="109">
        <f t="shared" si="3"/>
        <v>46204</v>
      </c>
      <c r="BW49" s="83" t="str">
        <f t="shared" si="4"/>
        <v>11</v>
      </c>
      <c r="BX49" s="106"/>
      <c r="BY49" s="107"/>
      <c r="BZ49" s="113">
        <f t="shared" si="5"/>
        <v>3</v>
      </c>
      <c r="CA49" s="113">
        <f t="array" ref="CA49">IF($A49&lt;&gt;"",INDEX(LISTA!$M$2:$N$27,MATCH($BC49,LISTA!$N$2:$N$27,0),1),"")</f>
        <v>1</v>
      </c>
      <c r="CB49" s="54">
        <f t="shared" si="6"/>
        <v>6</v>
      </c>
      <c r="CC49" s="86" t="str">
        <f t="shared" si="7"/>
        <v/>
      </c>
    </row>
    <row r="50" ht="15.0" customHeight="1" outlineLevel="1">
      <c r="A50" s="50">
        <v>46203.60282680555</v>
      </c>
      <c r="B50" s="53" t="s">
        <v>1080</v>
      </c>
      <c r="C50" s="54" t="s">
        <v>100</v>
      </c>
      <c r="D50" s="56" t="s">
        <v>101</v>
      </c>
      <c r="E50" s="57">
        <v>46204.458333333336</v>
      </c>
      <c r="F50" s="54" t="s">
        <v>786</v>
      </c>
      <c r="G50" s="60" t="s">
        <v>1219</v>
      </c>
      <c r="H50" s="63" t="s">
        <v>1220</v>
      </c>
      <c r="I50" s="67" t="s">
        <v>293</v>
      </c>
      <c r="J50" s="70" t="s">
        <v>1221</v>
      </c>
      <c r="K50" s="54" t="s">
        <v>109</v>
      </c>
      <c r="L50" s="70" t="s">
        <v>1222</v>
      </c>
      <c r="M50" s="77" t="s">
        <v>1223</v>
      </c>
      <c r="N50" s="78">
        <v>25591.0</v>
      </c>
      <c r="O50" s="80" t="s">
        <v>46</v>
      </c>
      <c r="P50" s="70" t="s">
        <v>1224</v>
      </c>
      <c r="Q50" s="54"/>
      <c r="R50" s="84"/>
      <c r="S50" s="84"/>
      <c r="T50" s="54"/>
      <c r="U50" s="86"/>
      <c r="V50" s="54"/>
      <c r="W50" s="86"/>
      <c r="X50" s="54"/>
      <c r="Y50" s="78"/>
      <c r="Z50" s="54"/>
      <c r="AA50" s="70"/>
      <c r="AB50" s="83"/>
      <c r="AC50" s="83"/>
      <c r="AD50" s="83"/>
      <c r="AE50" s="83"/>
      <c r="AF50" s="83"/>
      <c r="AG50" s="83"/>
      <c r="AH50" s="83"/>
      <c r="AI50" s="83"/>
      <c r="AJ50" s="83"/>
      <c r="AK50" s="83" t="s">
        <v>1232</v>
      </c>
      <c r="AL50" s="83"/>
      <c r="AM50" s="83"/>
      <c r="AN50" s="83"/>
      <c r="AO50" s="83"/>
      <c r="AP50" s="83"/>
      <c r="AQ50" s="54" t="s">
        <v>1233</v>
      </c>
      <c r="AR50" s="83" t="s">
        <v>1234</v>
      </c>
      <c r="AS50" s="83" t="s">
        <v>1235</v>
      </c>
      <c r="AT50" s="93"/>
      <c r="AU50" s="93" t="s">
        <v>1236</v>
      </c>
      <c r="AV50" s="93" t="s">
        <v>1236</v>
      </c>
      <c r="AW50" s="83" t="s">
        <v>1237</v>
      </c>
      <c r="AX50" s="83">
        <v>1.0</v>
      </c>
      <c r="AY50" s="83" t="s">
        <v>238</v>
      </c>
      <c r="AZ50" s="83" t="s">
        <v>1238</v>
      </c>
      <c r="BA50" s="83" t="s">
        <v>1239</v>
      </c>
      <c r="BB50" s="83" t="s">
        <v>1240</v>
      </c>
      <c r="BC50" s="54" t="s">
        <v>46</v>
      </c>
      <c r="BD50" s="54" t="str">
        <f t="shared" si="1"/>
        <v>Sullana</v>
      </c>
      <c r="BE50" s="54" t="s">
        <v>140</v>
      </c>
      <c r="BF50" s="95" t="s">
        <v>144</v>
      </c>
      <c r="BG50" s="95" t="s">
        <v>142</v>
      </c>
      <c r="BH50" s="54"/>
      <c r="BI50" s="67"/>
      <c r="BJ50" s="67"/>
      <c r="BK50" s="54"/>
      <c r="BL50" s="54" t="s">
        <v>147</v>
      </c>
      <c r="BM50" s="54" t="s">
        <v>247</v>
      </c>
      <c r="BN50" s="104">
        <v>89.0</v>
      </c>
      <c r="BO50" s="83" t="s">
        <v>148</v>
      </c>
      <c r="BP50" s="54" t="s">
        <v>141</v>
      </c>
      <c r="BQ50" s="70" t="s">
        <v>141</v>
      </c>
      <c r="BR50" s="67" t="s">
        <v>149</v>
      </c>
      <c r="BS50" s="83">
        <v>1.0</v>
      </c>
      <c r="BT50" s="83"/>
      <c r="BU50" s="109">
        <f t="shared" si="2"/>
        <v>46203</v>
      </c>
      <c r="BV50" s="109">
        <f t="shared" si="3"/>
        <v>46204</v>
      </c>
      <c r="BW50" s="83" t="str">
        <f t="shared" si="4"/>
        <v>11</v>
      </c>
      <c r="BX50" s="106"/>
      <c r="BY50" s="107"/>
      <c r="BZ50" s="113">
        <f t="shared" si="5"/>
        <v>3</v>
      </c>
      <c r="CA50" s="113">
        <f t="array" ref="CA50">IF($A50&lt;&gt;"",INDEX(LISTA!$M$2:$N$27,MATCH($BC50,LISTA!$N$2:$N$27,0),1),"")</f>
        <v>21</v>
      </c>
      <c r="CB50" s="54">
        <f t="shared" si="6"/>
        <v>6</v>
      </c>
      <c r="CC50" s="86" t="str">
        <f t="shared" si="7"/>
        <v/>
      </c>
    </row>
    <row r="51" ht="15.0" customHeight="1" outlineLevel="1">
      <c r="A51" s="50">
        <v>46203.746429074075</v>
      </c>
      <c r="B51" s="53" t="s">
        <v>1080</v>
      </c>
      <c r="C51" s="54" t="s">
        <v>100</v>
      </c>
      <c r="D51" s="56" t="s">
        <v>101</v>
      </c>
      <c r="E51" s="57">
        <v>46206.666666666664</v>
      </c>
      <c r="F51" s="54" t="s">
        <v>103</v>
      </c>
      <c r="G51" s="60" t="s">
        <v>896</v>
      </c>
      <c r="H51" s="63" t="s">
        <v>897</v>
      </c>
      <c r="I51" s="67" t="s">
        <v>355</v>
      </c>
      <c r="J51" s="70" t="s">
        <v>898</v>
      </c>
      <c r="K51" s="54" t="s">
        <v>109</v>
      </c>
      <c r="L51" s="70" t="s">
        <v>589</v>
      </c>
      <c r="M51" s="77" t="s">
        <v>902</v>
      </c>
      <c r="N51" s="78">
        <v>36128.0</v>
      </c>
      <c r="O51" s="80" t="s">
        <v>33</v>
      </c>
      <c r="P51" s="70" t="s">
        <v>903</v>
      </c>
      <c r="Q51" s="54"/>
      <c r="R51" s="84"/>
      <c r="S51" s="84"/>
      <c r="T51" s="54"/>
      <c r="U51" s="86"/>
      <c r="V51" s="54"/>
      <c r="W51" s="86"/>
      <c r="X51" s="54"/>
      <c r="Y51" s="78"/>
      <c r="Z51" s="54" t="s">
        <v>267</v>
      </c>
      <c r="AA51" s="70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54" t="s">
        <v>904</v>
      </c>
      <c r="AR51" s="83" t="s">
        <v>905</v>
      </c>
      <c r="AS51" s="83" t="s">
        <v>906</v>
      </c>
      <c r="AT51" s="93"/>
      <c r="AU51" s="93" t="s">
        <v>898</v>
      </c>
      <c r="AV51" s="93" t="s">
        <v>898</v>
      </c>
      <c r="AW51" s="83" t="s">
        <v>907</v>
      </c>
      <c r="AX51" s="83">
        <v>2.0</v>
      </c>
      <c r="AY51" s="83" t="s">
        <v>174</v>
      </c>
      <c r="AZ51" s="83" t="s">
        <v>908</v>
      </c>
      <c r="BA51" s="83" t="s">
        <v>909</v>
      </c>
      <c r="BB51" s="83" t="s">
        <v>910</v>
      </c>
      <c r="BC51" s="54" t="s">
        <v>33</v>
      </c>
      <c r="BD51" s="54" t="str">
        <f t="shared" si="1"/>
        <v>Huánuco</v>
      </c>
      <c r="BE51" s="54" t="s">
        <v>140</v>
      </c>
      <c r="BF51" s="95" t="s">
        <v>141</v>
      </c>
      <c r="BG51" s="95" t="s">
        <v>142</v>
      </c>
      <c r="BH51" s="54"/>
      <c r="BI51" s="67"/>
      <c r="BJ51" s="67"/>
      <c r="BK51" s="54"/>
      <c r="BL51" s="54" t="s">
        <v>283</v>
      </c>
      <c r="BM51" s="54" t="s">
        <v>146</v>
      </c>
      <c r="BN51" s="104">
        <v>94.0</v>
      </c>
      <c r="BO51" s="83" t="s">
        <v>148</v>
      </c>
      <c r="BP51" s="54"/>
      <c r="BQ51" s="70" t="s">
        <v>144</v>
      </c>
      <c r="BR51" s="67" t="s">
        <v>149</v>
      </c>
      <c r="BS51" s="83" t="s">
        <v>149</v>
      </c>
      <c r="BT51" s="83"/>
      <c r="BU51" s="109">
        <f t="shared" si="2"/>
        <v>46203</v>
      </c>
      <c r="BV51" s="109">
        <f t="shared" si="3"/>
        <v>46206</v>
      </c>
      <c r="BW51" s="83" t="str">
        <f t="shared" si="4"/>
        <v>16</v>
      </c>
      <c r="BX51" s="106"/>
      <c r="BY51" s="107"/>
      <c r="BZ51" s="113">
        <f t="shared" si="5"/>
        <v>3</v>
      </c>
      <c r="CA51" s="113">
        <f t="array" ref="CA51">IF($A51&lt;&gt;"",INDEX(LISTA!$M$2:$N$27,MATCH($BC51,LISTA!$N$2:$N$27,0),1),"")</f>
        <v>12</v>
      </c>
      <c r="CB51" s="54">
        <f t="shared" si="6"/>
        <v>6</v>
      </c>
      <c r="CC51" s="86" t="str">
        <f t="shared" si="7"/>
        <v/>
      </c>
    </row>
    <row r="52" ht="15.0" customHeight="1" outlineLevel="1">
      <c r="A52" s="50">
        <v>46203.7731384838</v>
      </c>
      <c r="B52" s="53" t="s">
        <v>1080</v>
      </c>
      <c r="C52" s="54" t="s">
        <v>100</v>
      </c>
      <c r="D52" s="56" t="s">
        <v>101</v>
      </c>
      <c r="E52" s="57">
        <v>46205.458333333336</v>
      </c>
      <c r="F52" s="54" t="s">
        <v>1261</v>
      </c>
      <c r="G52" s="60" t="s">
        <v>1226</v>
      </c>
      <c r="H52" s="63"/>
      <c r="I52" s="67" t="s">
        <v>107</v>
      </c>
      <c r="J52" s="70" t="s">
        <v>1228</v>
      </c>
      <c r="K52" s="54" t="s">
        <v>109</v>
      </c>
      <c r="L52" s="70" t="s">
        <v>1229</v>
      </c>
      <c r="M52" s="77" t="s">
        <v>1230</v>
      </c>
      <c r="N52" s="78">
        <v>38471.0</v>
      </c>
      <c r="O52" s="80" t="s">
        <v>41</v>
      </c>
      <c r="P52" s="70" t="s">
        <v>1231</v>
      </c>
      <c r="Q52" s="54"/>
      <c r="R52" s="84"/>
      <c r="S52" s="84"/>
      <c r="T52" s="54"/>
      <c r="U52" s="86"/>
      <c r="V52" s="54"/>
      <c r="W52" s="86"/>
      <c r="X52" s="54"/>
      <c r="Y52" s="78"/>
      <c r="Z52" s="54"/>
      <c r="AA52" s="70"/>
      <c r="AB52" s="83"/>
      <c r="AC52" s="83"/>
      <c r="AD52" s="83"/>
      <c r="AE52" s="83"/>
      <c r="AF52" s="83" t="s">
        <v>165</v>
      </c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54" t="s">
        <v>1241</v>
      </c>
      <c r="AR52" s="83" t="s">
        <v>1242</v>
      </c>
      <c r="AS52" s="83" t="s">
        <v>1243</v>
      </c>
      <c r="AT52" s="93"/>
      <c r="AU52" s="93" t="s">
        <v>1228</v>
      </c>
      <c r="AV52" s="93" t="s">
        <v>1228</v>
      </c>
      <c r="AW52" s="83" t="s">
        <v>1244</v>
      </c>
      <c r="AX52" s="83">
        <v>2.0</v>
      </c>
      <c r="AY52" s="83">
        <v>1.0</v>
      </c>
      <c r="AZ52" s="83" t="s">
        <v>1245</v>
      </c>
      <c r="BA52" s="83" t="s">
        <v>1246</v>
      </c>
      <c r="BB52" s="83" t="s">
        <v>1247</v>
      </c>
      <c r="BC52" s="54" t="s">
        <v>41</v>
      </c>
      <c r="BD52" s="54" t="str">
        <f t="shared" si="1"/>
        <v>San Martín de Porres</v>
      </c>
      <c r="BE52" s="54" t="s">
        <v>140</v>
      </c>
      <c r="BF52" s="95" t="s">
        <v>144</v>
      </c>
      <c r="BG52" s="95" t="s">
        <v>142</v>
      </c>
      <c r="BH52" s="54"/>
      <c r="BI52" s="67"/>
      <c r="BJ52" s="67"/>
      <c r="BK52" s="54"/>
      <c r="BL52" s="54" t="s">
        <v>283</v>
      </c>
      <c r="BM52" s="54" t="s">
        <v>146</v>
      </c>
      <c r="BN52" s="104">
        <v>94.0</v>
      </c>
      <c r="BO52" s="83" t="s">
        <v>148</v>
      </c>
      <c r="BP52" s="54" t="s">
        <v>141</v>
      </c>
      <c r="BQ52" s="70" t="s">
        <v>144</v>
      </c>
      <c r="BR52" s="67" t="s">
        <v>149</v>
      </c>
      <c r="BS52" s="83">
        <v>1.0</v>
      </c>
      <c r="BT52" s="83"/>
      <c r="BU52" s="109">
        <f t="shared" si="2"/>
        <v>46203</v>
      </c>
      <c r="BV52" s="109">
        <f t="shared" si="3"/>
        <v>46205</v>
      </c>
      <c r="BW52" s="83" t="str">
        <f t="shared" si="4"/>
        <v>11</v>
      </c>
      <c r="BX52" s="106"/>
      <c r="BY52" s="107"/>
      <c r="BZ52" s="113">
        <f t="shared" si="5"/>
        <v>3</v>
      </c>
      <c r="CA52" s="113">
        <f t="array" ref="CA52">IF($A52&lt;&gt;"",INDEX(LISTA!$M$2:$N$27,MATCH($BC52,LISTA!$N$2:$N$27,0),1),"")</f>
        <v>1</v>
      </c>
      <c r="CB52" s="54">
        <f t="shared" si="6"/>
        <v>6</v>
      </c>
      <c r="CC52" s="86" t="str">
        <f t="shared" si="7"/>
        <v/>
      </c>
    </row>
    <row r="53" ht="15.0" customHeight="1" outlineLevel="1">
      <c r="A53" s="50">
        <v>46184.49452902778</v>
      </c>
      <c r="B53" s="53" t="s">
        <v>1276</v>
      </c>
      <c r="C53" s="54" t="s">
        <v>100</v>
      </c>
      <c r="D53" s="56" t="s">
        <v>150</v>
      </c>
      <c r="E53" s="57">
        <v>46186.458333333336</v>
      </c>
      <c r="F53" s="54" t="s">
        <v>1248</v>
      </c>
      <c r="G53" s="60" t="s">
        <v>1249</v>
      </c>
      <c r="H53" s="63" t="s">
        <v>1250</v>
      </c>
      <c r="I53" s="67" t="s">
        <v>150</v>
      </c>
      <c r="J53" s="70" t="s">
        <v>1251</v>
      </c>
      <c r="K53" s="54" t="s">
        <v>109</v>
      </c>
      <c r="L53" s="70" t="s">
        <v>1252</v>
      </c>
      <c r="M53" s="155" t="s">
        <v>1253</v>
      </c>
      <c r="N53" s="78">
        <v>35962.0</v>
      </c>
      <c r="O53" s="80" t="s">
        <v>37</v>
      </c>
      <c r="P53" s="70" t="s">
        <v>228</v>
      </c>
      <c r="Q53" s="54"/>
      <c r="R53" s="84"/>
      <c r="S53" s="84"/>
      <c r="T53" s="54"/>
      <c r="U53" s="86"/>
      <c r="V53" s="54"/>
      <c r="W53" s="86"/>
      <c r="X53" s="54"/>
      <c r="Y53" s="78"/>
      <c r="Z53" s="54"/>
      <c r="AA53" s="70"/>
      <c r="AB53" s="83"/>
      <c r="AC53" s="83"/>
      <c r="AD53" s="83"/>
      <c r="AE53" s="83"/>
      <c r="AF53" s="83" t="s">
        <v>165</v>
      </c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54" t="s">
        <v>1254</v>
      </c>
      <c r="AR53" s="83" t="s">
        <v>1255</v>
      </c>
      <c r="AS53" s="83" t="s">
        <v>1256</v>
      </c>
      <c r="AT53" s="93"/>
      <c r="AU53" s="93" t="s">
        <v>1251</v>
      </c>
      <c r="AV53" s="93" t="s">
        <v>1251</v>
      </c>
      <c r="AW53" s="83" t="s">
        <v>1257</v>
      </c>
      <c r="AX53" s="83">
        <v>4.0</v>
      </c>
      <c r="AY53" s="83">
        <v>1.0</v>
      </c>
      <c r="AZ53" s="83" t="s">
        <v>1258</v>
      </c>
      <c r="BA53" s="83" t="s">
        <v>1259</v>
      </c>
      <c r="BB53" s="83" t="s">
        <v>1260</v>
      </c>
      <c r="BC53" s="54" t="s">
        <v>41</v>
      </c>
      <c r="BD53" s="54" t="str">
        <f t="shared" si="1"/>
        <v>San Martín de Porres</v>
      </c>
      <c r="BE53" s="54" t="s">
        <v>143</v>
      </c>
      <c r="BF53" s="95" t="s">
        <v>144</v>
      </c>
      <c r="BG53" s="95" t="s">
        <v>142</v>
      </c>
      <c r="BH53" s="54"/>
      <c r="BI53" s="67"/>
      <c r="BJ53" s="67"/>
      <c r="BK53" s="54"/>
      <c r="BL53" s="54" t="s">
        <v>147</v>
      </c>
      <c r="BM53" s="54" t="s">
        <v>146</v>
      </c>
      <c r="BN53" s="104">
        <v>89.0</v>
      </c>
      <c r="BO53" s="83" t="s">
        <v>148</v>
      </c>
      <c r="BP53" s="54" t="s">
        <v>141</v>
      </c>
      <c r="BQ53" s="70" t="s">
        <v>141</v>
      </c>
      <c r="BR53" s="67" t="s">
        <v>149</v>
      </c>
      <c r="BS53" s="83" t="s">
        <v>149</v>
      </c>
      <c r="BT53" s="83"/>
      <c r="BU53" s="109">
        <f t="shared" si="2"/>
        <v>46184</v>
      </c>
      <c r="BV53" s="109">
        <f t="shared" si="3"/>
        <v>46186</v>
      </c>
      <c r="BW53" s="83" t="str">
        <f t="shared" si="4"/>
        <v>11</v>
      </c>
      <c r="BX53" s="106"/>
      <c r="BY53" s="107"/>
      <c r="BZ53" s="113">
        <f t="shared" si="5"/>
        <v>3</v>
      </c>
      <c r="CA53" s="113">
        <f t="array" ref="CA53">IF($A53&lt;&gt;"",INDEX(LISTA!$M$2:$N$27,MATCH($BC53,LISTA!$N$2:$N$27,0),1),"")</f>
        <v>1</v>
      </c>
      <c r="CB53" s="54">
        <f t="shared" si="6"/>
        <v>6</v>
      </c>
      <c r="CC53" s="86" t="str">
        <f t="shared" si="7"/>
        <v/>
      </c>
    </row>
    <row r="54" ht="15.0" customHeight="1" outlineLevel="1">
      <c r="A54" s="50">
        <v>46185.628424803246</v>
      </c>
      <c r="B54" s="53" t="s">
        <v>1276</v>
      </c>
      <c r="C54" s="54" t="s">
        <v>100</v>
      </c>
      <c r="D54" s="56" t="s">
        <v>150</v>
      </c>
      <c r="E54" s="57">
        <v>46187.458333333336</v>
      </c>
      <c r="F54" s="54" t="s">
        <v>1262</v>
      </c>
      <c r="G54" s="60" t="s">
        <v>1263</v>
      </c>
      <c r="H54" s="63" t="s">
        <v>1264</v>
      </c>
      <c r="I54" s="67" t="s">
        <v>107</v>
      </c>
      <c r="J54" s="70" t="s">
        <v>1265</v>
      </c>
      <c r="K54" s="54" t="s">
        <v>109</v>
      </c>
      <c r="L54" s="70" t="s">
        <v>1266</v>
      </c>
      <c r="M54" s="77" t="s">
        <v>1267</v>
      </c>
      <c r="N54" s="78">
        <v>38660.0</v>
      </c>
      <c r="O54" s="80" t="s">
        <v>42</v>
      </c>
      <c r="P54" s="70" t="s">
        <v>1268</v>
      </c>
      <c r="Q54" s="54"/>
      <c r="R54" s="84"/>
      <c r="S54" s="84"/>
      <c r="T54" s="54"/>
      <c r="U54" s="86"/>
      <c r="V54" s="54"/>
      <c r="W54" s="86"/>
      <c r="X54" s="54"/>
      <c r="Y54" s="78"/>
      <c r="Z54" s="54"/>
      <c r="AA54" s="70"/>
      <c r="AB54" s="83"/>
      <c r="AC54" s="83"/>
      <c r="AD54" s="83"/>
      <c r="AE54" s="83"/>
      <c r="AF54" s="83" t="s">
        <v>165</v>
      </c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54" t="s">
        <v>1269</v>
      </c>
      <c r="AR54" s="83" t="s">
        <v>1270</v>
      </c>
      <c r="AS54" s="83" t="s">
        <v>1271</v>
      </c>
      <c r="AT54" s="93"/>
      <c r="AU54" s="93" t="s">
        <v>1265</v>
      </c>
      <c r="AV54" s="93" t="s">
        <v>1265</v>
      </c>
      <c r="AW54" s="83" t="s">
        <v>1272</v>
      </c>
      <c r="AX54" s="83">
        <v>4.0</v>
      </c>
      <c r="AY54" s="83">
        <v>1.0</v>
      </c>
      <c r="AZ54" s="83" t="s">
        <v>1273</v>
      </c>
      <c r="BA54" s="83" t="s">
        <v>1274</v>
      </c>
      <c r="BB54" s="83" t="s">
        <v>1275</v>
      </c>
      <c r="BC54" s="54" t="s">
        <v>41</v>
      </c>
      <c r="BD54" s="54" t="str">
        <f t="shared" si="1"/>
        <v>San Martín de Porres</v>
      </c>
      <c r="BE54" s="54" t="s">
        <v>140</v>
      </c>
      <c r="BF54" s="95" t="s">
        <v>144</v>
      </c>
      <c r="BG54" s="95" t="s">
        <v>142</v>
      </c>
      <c r="BH54" s="54"/>
      <c r="BI54" s="67"/>
      <c r="BJ54" s="67"/>
      <c r="BK54" s="54"/>
      <c r="BL54" s="54" t="s">
        <v>147</v>
      </c>
      <c r="BM54" s="54" t="s">
        <v>146</v>
      </c>
      <c r="BN54" s="104">
        <v>89.0</v>
      </c>
      <c r="BO54" s="83" t="s">
        <v>148</v>
      </c>
      <c r="BP54" s="54" t="s">
        <v>141</v>
      </c>
      <c r="BQ54" s="70" t="s">
        <v>141</v>
      </c>
      <c r="BR54" s="67" t="s">
        <v>149</v>
      </c>
      <c r="BS54" s="83">
        <v>1.0</v>
      </c>
      <c r="BT54" s="83"/>
      <c r="BU54" s="109">
        <f t="shared" si="2"/>
        <v>46185</v>
      </c>
      <c r="BV54" s="109">
        <f t="shared" si="3"/>
        <v>46187</v>
      </c>
      <c r="BW54" s="83" t="str">
        <f t="shared" si="4"/>
        <v>11</v>
      </c>
      <c r="BX54" s="106"/>
      <c r="BY54" s="107"/>
      <c r="BZ54" s="113">
        <f t="shared" si="5"/>
        <v>3</v>
      </c>
      <c r="CA54" s="113">
        <f t="array" ref="CA54">IF($A54&lt;&gt;"",INDEX(LISTA!$M$2:$N$27,MATCH($BC54,LISTA!$N$2:$N$27,0),1),"")</f>
        <v>1</v>
      </c>
      <c r="CB54" s="54">
        <f t="shared" si="6"/>
        <v>6</v>
      </c>
      <c r="CC54" s="86" t="str">
        <f t="shared" si="7"/>
        <v/>
      </c>
    </row>
    <row r="55" ht="15.0" customHeight="1" outlineLevel="1">
      <c r="A55" s="50">
        <v>46185.75114432871</v>
      </c>
      <c r="B55" s="53" t="s">
        <v>1276</v>
      </c>
      <c r="C55" s="54" t="s">
        <v>100</v>
      </c>
      <c r="D55" s="56" t="s">
        <v>150</v>
      </c>
      <c r="E55" s="57">
        <v>46189.083333333336</v>
      </c>
      <c r="F55" s="54" t="s">
        <v>1277</v>
      </c>
      <c r="G55" s="60" t="s">
        <v>1278</v>
      </c>
      <c r="H55" s="63" t="s">
        <v>1279</v>
      </c>
      <c r="I55" s="67" t="s">
        <v>360</v>
      </c>
      <c r="J55" s="70" t="s">
        <v>1280</v>
      </c>
      <c r="K55" s="54" t="s">
        <v>109</v>
      </c>
      <c r="L55" s="70" t="s">
        <v>1281</v>
      </c>
      <c r="M55" s="77" t="s">
        <v>1282</v>
      </c>
      <c r="N55" s="78">
        <v>39000.0</v>
      </c>
      <c r="O55" s="80" t="s">
        <v>24</v>
      </c>
      <c r="P55" s="156" t="s">
        <v>1283</v>
      </c>
      <c r="Q55" s="54"/>
      <c r="R55" s="84" t="s">
        <v>1284</v>
      </c>
      <c r="S55" s="84"/>
      <c r="T55" s="54"/>
      <c r="U55" s="86"/>
      <c r="V55" s="54"/>
      <c r="W55" s="86"/>
      <c r="X55" s="54"/>
      <c r="Y55" s="78"/>
      <c r="Z55" s="54"/>
      <c r="AA55" s="70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54" t="s">
        <v>1285</v>
      </c>
      <c r="AR55" s="83" t="s">
        <v>1286</v>
      </c>
      <c r="AS55" s="83" t="s">
        <v>1287</v>
      </c>
      <c r="AT55" s="93"/>
      <c r="AU55" s="93" t="s">
        <v>1280</v>
      </c>
      <c r="AV55" s="93" t="s">
        <v>1280</v>
      </c>
      <c r="AW55" s="83" t="s">
        <v>1288</v>
      </c>
      <c r="AX55" s="83">
        <v>2.0</v>
      </c>
      <c r="AY55" s="83">
        <v>1.0</v>
      </c>
      <c r="AZ55" s="83" t="s">
        <v>1289</v>
      </c>
      <c r="BA55" s="83" t="s">
        <v>1290</v>
      </c>
      <c r="BB55" s="83" t="s">
        <v>1291</v>
      </c>
      <c r="BC55" s="54" t="s">
        <v>24</v>
      </c>
      <c r="BD55" s="54" t="str">
        <f t="shared" si="1"/>
        <v>Santa</v>
      </c>
      <c r="BE55" s="54" t="s">
        <v>140</v>
      </c>
      <c r="BF55" s="95" t="s">
        <v>141</v>
      </c>
      <c r="BG55" s="95" t="s">
        <v>142</v>
      </c>
      <c r="BH55" s="54"/>
      <c r="BI55" s="67"/>
      <c r="BJ55" s="67"/>
      <c r="BK55" s="54"/>
      <c r="BL55" s="54" t="s">
        <v>145</v>
      </c>
      <c r="BM55" s="54" t="s">
        <v>146</v>
      </c>
      <c r="BN55" s="104">
        <v>170.0</v>
      </c>
      <c r="BO55" s="83" t="s">
        <v>148</v>
      </c>
      <c r="BP55" s="54" t="s">
        <v>141</v>
      </c>
      <c r="BQ55" s="70" t="s">
        <v>141</v>
      </c>
      <c r="BR55" s="67">
        <v>1.0</v>
      </c>
      <c r="BS55" s="83" t="s">
        <v>149</v>
      </c>
      <c r="BT55" s="83"/>
      <c r="BU55" s="109">
        <f t="shared" si="2"/>
        <v>46185</v>
      </c>
      <c r="BV55" s="109">
        <f t="shared" si="3"/>
        <v>46189</v>
      </c>
      <c r="BW55" s="83" t="str">
        <f t="shared" si="4"/>
        <v>02</v>
      </c>
      <c r="BX55" s="106"/>
      <c r="BY55" s="107"/>
      <c r="BZ55" s="113">
        <f t="shared" si="5"/>
        <v>3</v>
      </c>
      <c r="CA55" s="113">
        <f t="array" ref="CA55">IF($A55&lt;&gt;"",INDEX(LISTA!$M$2:$N$27,MATCH($BC55,LISTA!$N$2:$N$27,0),1),"")</f>
        <v>5</v>
      </c>
      <c r="CB55" s="54">
        <f t="shared" si="6"/>
        <v>6</v>
      </c>
      <c r="CC55" s="86" t="str">
        <f t="shared" si="7"/>
        <v/>
      </c>
    </row>
    <row r="56" ht="15.0" customHeight="1" outlineLevel="1">
      <c r="A56" s="50">
        <v>46186.46572820602</v>
      </c>
      <c r="B56" s="53" t="s">
        <v>1276</v>
      </c>
      <c r="C56" s="54" t="s">
        <v>100</v>
      </c>
      <c r="D56" s="56" t="s">
        <v>101</v>
      </c>
      <c r="E56" s="57">
        <v>46201.666666666664</v>
      </c>
      <c r="F56" s="54" t="s">
        <v>1292</v>
      </c>
      <c r="G56" s="60" t="s">
        <v>1293</v>
      </c>
      <c r="H56" s="63" t="s">
        <v>1294</v>
      </c>
      <c r="I56" s="67" t="s">
        <v>150</v>
      </c>
      <c r="J56" s="70" t="s">
        <v>1295</v>
      </c>
      <c r="K56" s="54" t="s">
        <v>109</v>
      </c>
      <c r="L56" s="70" t="s">
        <v>1296</v>
      </c>
      <c r="M56" s="77" t="s">
        <v>1297</v>
      </c>
      <c r="N56" s="78">
        <v>37813.0</v>
      </c>
      <c r="O56" s="80" t="s">
        <v>37</v>
      </c>
      <c r="P56" s="70" t="s">
        <v>1298</v>
      </c>
      <c r="Q56" s="54"/>
      <c r="R56" s="84"/>
      <c r="S56" s="84"/>
      <c r="T56" s="54"/>
      <c r="U56" s="86"/>
      <c r="V56" s="54"/>
      <c r="W56" s="86"/>
      <c r="X56" s="54"/>
      <c r="Y56" s="78"/>
      <c r="Z56" s="54"/>
      <c r="AA56" s="70"/>
      <c r="AB56" s="83"/>
      <c r="AC56" s="83"/>
      <c r="AD56" s="83"/>
      <c r="AE56" s="83"/>
      <c r="AF56" s="83" t="s">
        <v>300</v>
      </c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54" t="s">
        <v>1299</v>
      </c>
      <c r="AR56" s="83" t="s">
        <v>1234</v>
      </c>
      <c r="AS56" s="83" t="s">
        <v>1300</v>
      </c>
      <c r="AT56" s="93"/>
      <c r="AU56" s="93" t="s">
        <v>1295</v>
      </c>
      <c r="AV56" s="93" t="s">
        <v>1295</v>
      </c>
      <c r="AW56" s="83" t="s">
        <v>1301</v>
      </c>
      <c r="AX56" s="83">
        <v>2.0</v>
      </c>
      <c r="AY56" s="83" t="s">
        <v>238</v>
      </c>
      <c r="AZ56" s="83" t="s">
        <v>1302</v>
      </c>
      <c r="BA56" s="83" t="s">
        <v>1303</v>
      </c>
      <c r="BB56" s="83" t="s">
        <v>1304</v>
      </c>
      <c r="BC56" s="54" t="s">
        <v>41</v>
      </c>
      <c r="BD56" s="54" t="str">
        <f t="shared" si="1"/>
        <v>Ate</v>
      </c>
      <c r="BE56" s="54" t="s">
        <v>140</v>
      </c>
      <c r="BF56" s="95" t="s">
        <v>141</v>
      </c>
      <c r="BG56" s="95" t="s">
        <v>142</v>
      </c>
      <c r="BH56" s="54"/>
      <c r="BI56" s="67"/>
      <c r="BJ56" s="67"/>
      <c r="BK56" s="54"/>
      <c r="BL56" s="54" t="s">
        <v>147</v>
      </c>
      <c r="BM56" s="54" t="s">
        <v>247</v>
      </c>
      <c r="BN56" s="104">
        <v>89.0</v>
      </c>
      <c r="BO56" s="83" t="s">
        <v>148</v>
      </c>
      <c r="BP56" s="54" t="s">
        <v>141</v>
      </c>
      <c r="BQ56" s="70" t="s">
        <v>141</v>
      </c>
      <c r="BR56" s="67" t="s">
        <v>149</v>
      </c>
      <c r="BS56" s="83">
        <v>1.0</v>
      </c>
      <c r="BT56" s="83"/>
      <c r="BU56" s="109">
        <f t="shared" si="2"/>
        <v>46186</v>
      </c>
      <c r="BV56" s="109">
        <f t="shared" si="3"/>
        <v>46201</v>
      </c>
      <c r="BW56" s="83" t="str">
        <f t="shared" si="4"/>
        <v>16</v>
      </c>
      <c r="BX56" s="106"/>
      <c r="BY56" s="107"/>
      <c r="BZ56" s="113">
        <f t="shared" si="5"/>
        <v>3</v>
      </c>
      <c r="CA56" s="113">
        <f t="array" ref="CA56">IF($A56&lt;&gt;"",INDEX(LISTA!$M$2:$N$27,MATCH($BC56,LISTA!$N$2:$N$27,0),1),"")</f>
        <v>1</v>
      </c>
      <c r="CB56" s="54">
        <f t="shared" si="6"/>
        <v>6</v>
      </c>
      <c r="CC56" s="86" t="str">
        <f t="shared" si="7"/>
        <v/>
      </c>
    </row>
    <row r="57" ht="15.0" customHeight="1" outlineLevel="1">
      <c r="A57" s="50">
        <v>46195.707695543984</v>
      </c>
      <c r="B57" s="53" t="s">
        <v>1276</v>
      </c>
      <c r="C57" s="54" t="s">
        <v>100</v>
      </c>
      <c r="D57" s="56" t="s">
        <v>101</v>
      </c>
      <c r="E57" s="57">
        <v>46201.666666666664</v>
      </c>
      <c r="F57" s="54" t="s">
        <v>1305</v>
      </c>
      <c r="G57" s="60" t="s">
        <v>1306</v>
      </c>
      <c r="H57" s="63" t="s">
        <v>1307</v>
      </c>
      <c r="I57" s="67" t="s">
        <v>365</v>
      </c>
      <c r="J57" s="70" t="s">
        <v>1308</v>
      </c>
      <c r="K57" s="54" t="s">
        <v>109</v>
      </c>
      <c r="L57" s="70" t="s">
        <v>1309</v>
      </c>
      <c r="M57" s="77" t="s">
        <v>1310</v>
      </c>
      <c r="N57" s="78">
        <v>37717.0</v>
      </c>
      <c r="O57" s="80" t="s">
        <v>37</v>
      </c>
      <c r="P57" s="70" t="s">
        <v>1039</v>
      </c>
      <c r="Q57" s="54"/>
      <c r="R57" s="84"/>
      <c r="S57" s="84"/>
      <c r="T57" s="54"/>
      <c r="U57" s="86"/>
      <c r="V57" s="54"/>
      <c r="W57" s="86"/>
      <c r="X57" s="54"/>
      <c r="Y57" s="78"/>
      <c r="Z57" s="54"/>
      <c r="AA57" s="70"/>
      <c r="AB57" s="83"/>
      <c r="AC57" s="83"/>
      <c r="AD57" s="83"/>
      <c r="AE57" s="83"/>
      <c r="AF57" s="83" t="s">
        <v>753</v>
      </c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54" t="s">
        <v>1311</v>
      </c>
      <c r="AR57" s="83" t="s">
        <v>1312</v>
      </c>
      <c r="AS57" s="83" t="s">
        <v>1313</v>
      </c>
      <c r="AT57" s="83"/>
      <c r="AU57" s="93" t="s">
        <v>1314</v>
      </c>
      <c r="AV57" s="93" t="s">
        <v>1315</v>
      </c>
      <c r="AW57" s="83" t="s">
        <v>1316</v>
      </c>
      <c r="AX57" s="83">
        <v>3.0</v>
      </c>
      <c r="AY57" s="83">
        <v>1.0</v>
      </c>
      <c r="AZ57" s="83" t="s">
        <v>1317</v>
      </c>
      <c r="BA57" s="83" t="s">
        <v>1318</v>
      </c>
      <c r="BB57" s="83" t="s">
        <v>1319</v>
      </c>
      <c r="BC57" s="54" t="s">
        <v>41</v>
      </c>
      <c r="BD57" s="54" t="str">
        <f t="shared" si="1"/>
        <v>Carabayllo</v>
      </c>
      <c r="BE57" s="54" t="s">
        <v>140</v>
      </c>
      <c r="BF57" s="95" t="s">
        <v>141</v>
      </c>
      <c r="BG57" s="95" t="s">
        <v>142</v>
      </c>
      <c r="BH57" s="54"/>
      <c r="BI57" s="67"/>
      <c r="BJ57" s="67"/>
      <c r="BK57" s="54"/>
      <c r="BL57" s="54" t="s">
        <v>213</v>
      </c>
      <c r="BM57" s="54" t="s">
        <v>146</v>
      </c>
      <c r="BN57" s="104">
        <v>110.0</v>
      </c>
      <c r="BO57" s="83" t="s">
        <v>182</v>
      </c>
      <c r="BP57" s="54" t="s">
        <v>144</v>
      </c>
      <c r="BQ57" s="70" t="s">
        <v>141</v>
      </c>
      <c r="BR57" s="67" t="s">
        <v>149</v>
      </c>
      <c r="BS57" s="83">
        <v>1.0</v>
      </c>
      <c r="BT57" s="83"/>
      <c r="BU57" s="109">
        <f t="shared" si="2"/>
        <v>46195</v>
      </c>
      <c r="BV57" s="109">
        <f t="shared" si="3"/>
        <v>46201</v>
      </c>
      <c r="BW57" s="83" t="str">
        <f t="shared" si="4"/>
        <v>16</v>
      </c>
      <c r="BX57" s="106"/>
      <c r="BY57" s="107"/>
      <c r="BZ57" s="113">
        <f t="shared" si="5"/>
        <v>3</v>
      </c>
      <c r="CA57" s="113">
        <f t="array" ref="CA57">IF($A57&lt;&gt;"",INDEX(LISTA!$M$2:$N$27,MATCH($BC57,LISTA!$N$2:$N$27,0),1),"")</f>
        <v>1</v>
      </c>
      <c r="CB57" s="54">
        <f t="shared" si="6"/>
        <v>6</v>
      </c>
      <c r="CC57" s="86" t="str">
        <f t="shared" si="7"/>
        <v/>
      </c>
    </row>
    <row r="58" ht="15.0" customHeight="1" outlineLevel="1">
      <c r="A58" s="50">
        <v>46196.4432015625</v>
      </c>
      <c r="B58" s="53" t="s">
        <v>1276</v>
      </c>
      <c r="C58" s="54" t="s">
        <v>100</v>
      </c>
      <c r="D58" s="56" t="s">
        <v>101</v>
      </c>
      <c r="E58" s="57">
        <v>46201.458333333336</v>
      </c>
      <c r="F58" s="54" t="s">
        <v>1320</v>
      </c>
      <c r="G58" s="60" t="s">
        <v>1321</v>
      </c>
      <c r="H58" s="63" t="s">
        <v>1322</v>
      </c>
      <c r="I58" s="67" t="s">
        <v>287</v>
      </c>
      <c r="J58" s="70" t="s">
        <v>1323</v>
      </c>
      <c r="K58" s="54" t="s">
        <v>109</v>
      </c>
      <c r="L58" s="70" t="s">
        <v>1324</v>
      </c>
      <c r="M58" s="77" t="s">
        <v>1325</v>
      </c>
      <c r="N58" s="78">
        <v>34628.0</v>
      </c>
      <c r="O58" s="80" t="s">
        <v>41</v>
      </c>
      <c r="P58" s="70" t="s">
        <v>1326</v>
      </c>
      <c r="Q58" s="54"/>
      <c r="R58" s="84"/>
      <c r="S58" s="84"/>
      <c r="T58" s="54"/>
      <c r="U58" s="86"/>
      <c r="V58" s="54"/>
      <c r="W58" s="86"/>
      <c r="X58" s="54"/>
      <c r="Y58" s="78"/>
      <c r="Z58" s="54"/>
      <c r="AA58" s="70"/>
      <c r="AB58" s="83"/>
      <c r="AC58" s="83"/>
      <c r="AD58" s="83"/>
      <c r="AE58" s="83"/>
      <c r="AF58" s="83" t="s">
        <v>300</v>
      </c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54" t="s">
        <v>1327</v>
      </c>
      <c r="AR58" s="83" t="s">
        <v>1328</v>
      </c>
      <c r="AS58" s="83" t="s">
        <v>1329</v>
      </c>
      <c r="AT58" s="93"/>
      <c r="AU58" s="93" t="s">
        <v>1323</v>
      </c>
      <c r="AV58" s="93" t="s">
        <v>1323</v>
      </c>
      <c r="AW58" s="83" t="s">
        <v>1330</v>
      </c>
      <c r="AX58" s="83">
        <v>4.0</v>
      </c>
      <c r="AY58" s="83">
        <v>1.0</v>
      </c>
      <c r="AZ58" s="83" t="s">
        <v>1331</v>
      </c>
      <c r="BA58" s="83" t="s">
        <v>1332</v>
      </c>
      <c r="BB58" s="83" t="s">
        <v>1333</v>
      </c>
      <c r="BC58" s="54" t="s">
        <v>41</v>
      </c>
      <c r="BD58" s="54" t="str">
        <f t="shared" si="1"/>
        <v>Ate</v>
      </c>
      <c r="BE58" s="54" t="s">
        <v>140</v>
      </c>
      <c r="BF58" s="95" t="s">
        <v>141</v>
      </c>
      <c r="BG58" s="95" t="s">
        <v>142</v>
      </c>
      <c r="BH58" s="54"/>
      <c r="BI58" s="67"/>
      <c r="BJ58" s="67"/>
      <c r="BK58" s="54"/>
      <c r="BL58" s="54" t="s">
        <v>147</v>
      </c>
      <c r="BM58" s="54" t="s">
        <v>146</v>
      </c>
      <c r="BN58" s="104">
        <v>110.0</v>
      </c>
      <c r="BO58" s="83" t="s">
        <v>182</v>
      </c>
      <c r="BP58" s="54" t="s">
        <v>141</v>
      </c>
      <c r="BQ58" s="70" t="s">
        <v>141</v>
      </c>
      <c r="BR58" s="67">
        <v>4.0</v>
      </c>
      <c r="BS58" s="83">
        <v>1.0</v>
      </c>
      <c r="BT58" s="83"/>
      <c r="BU58" s="109">
        <f t="shared" si="2"/>
        <v>46196</v>
      </c>
      <c r="BV58" s="109">
        <f t="shared" si="3"/>
        <v>46201</v>
      </c>
      <c r="BW58" s="83" t="str">
        <f t="shared" si="4"/>
        <v>11</v>
      </c>
      <c r="BX58" s="106"/>
      <c r="BY58" s="107"/>
      <c r="BZ58" s="113">
        <f t="shared" si="5"/>
        <v>3</v>
      </c>
      <c r="CA58" s="113">
        <f t="array" ref="CA58">IF($A58&lt;&gt;"",INDEX(LISTA!$M$2:$N$27,MATCH($BC58,LISTA!$N$2:$N$27,0),1),"")</f>
        <v>1</v>
      </c>
      <c r="CB58" s="54">
        <f t="shared" si="6"/>
        <v>6</v>
      </c>
      <c r="CC58" s="86" t="str">
        <f t="shared" si="7"/>
        <v/>
      </c>
    </row>
    <row r="59" ht="15.0" customHeight="1" outlineLevel="1">
      <c r="A59" s="50">
        <v>46197.46025025463</v>
      </c>
      <c r="B59" s="53" t="s">
        <v>1276</v>
      </c>
      <c r="C59" s="54" t="s">
        <v>100</v>
      </c>
      <c r="D59" s="56" t="s">
        <v>101</v>
      </c>
      <c r="E59" s="57">
        <v>46198.666666666664</v>
      </c>
      <c r="F59" s="54" t="s">
        <v>1334</v>
      </c>
      <c r="G59" s="60" t="s">
        <v>1335</v>
      </c>
      <c r="H59" s="63" t="s">
        <v>1336</v>
      </c>
      <c r="I59" s="67" t="s">
        <v>360</v>
      </c>
      <c r="J59" s="70" t="s">
        <v>1337</v>
      </c>
      <c r="K59" s="54" t="s">
        <v>109</v>
      </c>
      <c r="L59" s="70" t="s">
        <v>1338</v>
      </c>
      <c r="M59" s="77" t="s">
        <v>1339</v>
      </c>
      <c r="N59" s="78">
        <v>38309.0</v>
      </c>
      <c r="O59" s="80" t="s">
        <v>37</v>
      </c>
      <c r="P59" s="70" t="s">
        <v>1340</v>
      </c>
      <c r="Q59" s="54"/>
      <c r="R59" s="84"/>
      <c r="S59" s="84"/>
      <c r="T59" s="54"/>
      <c r="U59" s="86"/>
      <c r="V59" s="54"/>
      <c r="W59" s="86"/>
      <c r="X59" s="54"/>
      <c r="Y59" s="78"/>
      <c r="Z59" s="54"/>
      <c r="AA59" s="70"/>
      <c r="AB59" s="83"/>
      <c r="AC59" s="83"/>
      <c r="AD59" s="83"/>
      <c r="AE59" s="83"/>
      <c r="AF59" s="83" t="s">
        <v>165</v>
      </c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54" t="s">
        <v>1341</v>
      </c>
      <c r="AR59" s="83" t="s">
        <v>1342</v>
      </c>
      <c r="AS59" s="83" t="s">
        <v>1343</v>
      </c>
      <c r="AT59" s="93"/>
      <c r="AU59" s="93" t="s">
        <v>1337</v>
      </c>
      <c r="AV59" s="93" t="s">
        <v>1337</v>
      </c>
      <c r="AW59" s="83" t="s">
        <v>1344</v>
      </c>
      <c r="AX59" s="83">
        <v>1.0</v>
      </c>
      <c r="AY59" s="83" t="s">
        <v>1345</v>
      </c>
      <c r="AZ59" s="83" t="s">
        <v>1346</v>
      </c>
      <c r="BA59" s="83" t="s">
        <v>1347</v>
      </c>
      <c r="BB59" s="83" t="s">
        <v>1348</v>
      </c>
      <c r="BC59" s="54" t="s">
        <v>41</v>
      </c>
      <c r="BD59" s="54" t="str">
        <f t="shared" si="1"/>
        <v>San Martín de Porres</v>
      </c>
      <c r="BE59" s="54" t="s">
        <v>140</v>
      </c>
      <c r="BF59" s="95" t="s">
        <v>141</v>
      </c>
      <c r="BG59" s="95" t="s">
        <v>142</v>
      </c>
      <c r="BH59" s="54"/>
      <c r="BI59" s="67"/>
      <c r="BJ59" s="67"/>
      <c r="BK59" s="54"/>
      <c r="BL59" s="54" t="s">
        <v>145</v>
      </c>
      <c r="BM59" s="54" t="s">
        <v>146</v>
      </c>
      <c r="BN59" s="104">
        <v>170.0</v>
      </c>
      <c r="BO59" s="83" t="s">
        <v>148</v>
      </c>
      <c r="BP59" s="54" t="s">
        <v>144</v>
      </c>
      <c r="BQ59" s="70" t="s">
        <v>141</v>
      </c>
      <c r="BR59" s="67">
        <v>2.0</v>
      </c>
      <c r="BS59" s="83">
        <v>1.0</v>
      </c>
      <c r="BT59" s="83"/>
      <c r="BU59" s="109">
        <f t="shared" si="2"/>
        <v>46197</v>
      </c>
      <c r="BV59" s="109">
        <f t="shared" si="3"/>
        <v>46198</v>
      </c>
      <c r="BW59" s="83" t="str">
        <f t="shared" si="4"/>
        <v>16</v>
      </c>
      <c r="BX59" s="106"/>
      <c r="BY59" s="107"/>
      <c r="BZ59" s="113">
        <f t="shared" si="5"/>
        <v>3</v>
      </c>
      <c r="CA59" s="113">
        <f t="array" ref="CA59">IF($A59&lt;&gt;"",INDEX(LISTA!$M$2:$N$27,MATCH($BC59,LISTA!$N$2:$N$27,0),1),"")</f>
        <v>1</v>
      </c>
      <c r="CB59" s="54">
        <f t="shared" si="6"/>
        <v>6</v>
      </c>
      <c r="CC59" s="86" t="str">
        <f t="shared" si="7"/>
        <v/>
      </c>
    </row>
    <row r="60" ht="15.0" customHeight="1" outlineLevel="1">
      <c r="A60" s="50">
        <v>46198.807960509264</v>
      </c>
      <c r="B60" s="53" t="s">
        <v>1276</v>
      </c>
      <c r="C60" s="54" t="s">
        <v>100</v>
      </c>
      <c r="D60" s="56" t="s">
        <v>150</v>
      </c>
      <c r="E60" s="57">
        <v>46200.458333333336</v>
      </c>
      <c r="F60" s="54" t="s">
        <v>1305</v>
      </c>
      <c r="G60" s="60" t="s">
        <v>1349</v>
      </c>
      <c r="H60" s="63" t="s">
        <v>1350</v>
      </c>
      <c r="I60" s="67" t="s">
        <v>365</v>
      </c>
      <c r="J60" s="70" t="s">
        <v>1378</v>
      </c>
      <c r="K60" s="54" t="s">
        <v>1151</v>
      </c>
      <c r="L60" s="70" t="s">
        <v>1352</v>
      </c>
      <c r="M60" s="77" t="s">
        <v>1353</v>
      </c>
      <c r="N60" s="78">
        <v>35780.0</v>
      </c>
      <c r="O60" s="80" t="s">
        <v>37</v>
      </c>
      <c r="P60" s="70" t="s">
        <v>1354</v>
      </c>
      <c r="Q60" s="54"/>
      <c r="R60" s="84"/>
      <c r="S60" s="84"/>
      <c r="T60" s="54"/>
      <c r="U60" s="86"/>
      <c r="V60" s="54"/>
      <c r="W60" s="86"/>
      <c r="X60" s="54"/>
      <c r="Y60" s="78"/>
      <c r="Z60" s="54"/>
      <c r="AA60" s="70"/>
      <c r="AB60" s="83"/>
      <c r="AC60" s="83"/>
      <c r="AD60" s="83"/>
      <c r="AE60" s="83"/>
      <c r="AF60" s="83" t="s">
        <v>1355</v>
      </c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54" t="s">
        <v>1356</v>
      </c>
      <c r="AR60" s="83" t="s">
        <v>1357</v>
      </c>
      <c r="AS60" s="83" t="s">
        <v>1358</v>
      </c>
      <c r="AT60" s="93"/>
      <c r="AU60" s="93" t="s">
        <v>1351</v>
      </c>
      <c r="AV60" s="93" t="s">
        <v>1359</v>
      </c>
      <c r="AW60" s="83" t="s">
        <v>1360</v>
      </c>
      <c r="AX60" s="83">
        <v>2.0</v>
      </c>
      <c r="AY60" s="83">
        <v>1.0</v>
      </c>
      <c r="AZ60" s="83" t="s">
        <v>1361</v>
      </c>
      <c r="BA60" s="83" t="s">
        <v>1362</v>
      </c>
      <c r="BB60" s="83" t="s">
        <v>1363</v>
      </c>
      <c r="BC60" s="54" t="s">
        <v>41</v>
      </c>
      <c r="BD60" s="54" t="str">
        <f t="shared" si="1"/>
        <v>Villa María del Triunfo</v>
      </c>
      <c r="BE60" s="54" t="s">
        <v>140</v>
      </c>
      <c r="BF60" s="95" t="s">
        <v>141</v>
      </c>
      <c r="BG60" s="95" t="s">
        <v>142</v>
      </c>
      <c r="BH60" s="54"/>
      <c r="BI60" s="67"/>
      <c r="BJ60" s="67"/>
      <c r="BK60" s="54"/>
      <c r="BL60" s="54" t="s">
        <v>147</v>
      </c>
      <c r="BM60" s="54" t="s">
        <v>247</v>
      </c>
      <c r="BN60" s="104">
        <v>89.0</v>
      </c>
      <c r="BO60" s="83" t="s">
        <v>148</v>
      </c>
      <c r="BP60" s="54" t="s">
        <v>141</v>
      </c>
      <c r="BQ60" s="70" t="s">
        <v>141</v>
      </c>
      <c r="BR60" s="67" t="s">
        <v>149</v>
      </c>
      <c r="BS60" s="83">
        <v>1.0</v>
      </c>
      <c r="BT60" s="83"/>
      <c r="BU60" s="109">
        <f t="shared" si="2"/>
        <v>46198</v>
      </c>
      <c r="BV60" s="109">
        <f t="shared" si="3"/>
        <v>46200</v>
      </c>
      <c r="BW60" s="83" t="str">
        <f t="shared" si="4"/>
        <v>11</v>
      </c>
      <c r="BX60" s="106"/>
      <c r="BY60" s="107"/>
      <c r="BZ60" s="113">
        <f t="shared" si="5"/>
        <v>3</v>
      </c>
      <c r="CA60" s="113">
        <f t="array" ref="CA60">IF($A60&lt;&gt;"",INDEX(LISTA!$M$2:$N$27,MATCH($BC60,LISTA!$N$2:$N$27,0),1),"")</f>
        <v>1</v>
      </c>
      <c r="CB60" s="54">
        <f t="shared" si="6"/>
        <v>6</v>
      </c>
      <c r="CC60" s="86" t="str">
        <f t="shared" si="7"/>
        <v/>
      </c>
    </row>
    <row r="61" ht="15.0" customHeight="1" outlineLevel="1">
      <c r="A61" s="50">
        <v>46199.67541327546</v>
      </c>
      <c r="B61" s="53" t="s">
        <v>1276</v>
      </c>
      <c r="C61" s="54" t="s">
        <v>100</v>
      </c>
      <c r="D61" s="56" t="s">
        <v>101</v>
      </c>
      <c r="E61" s="57">
        <v>46202.5</v>
      </c>
      <c r="F61" s="54" t="s">
        <v>1305</v>
      </c>
      <c r="G61" s="60" t="s">
        <v>1364</v>
      </c>
      <c r="H61" s="63" t="s">
        <v>1365</v>
      </c>
      <c r="I61" s="67" t="s">
        <v>107</v>
      </c>
      <c r="J61" s="70" t="s">
        <v>1366</v>
      </c>
      <c r="K61" s="54" t="s">
        <v>109</v>
      </c>
      <c r="L61" s="70" t="s">
        <v>1367</v>
      </c>
      <c r="M61" s="77" t="s">
        <v>1368</v>
      </c>
      <c r="N61" s="78">
        <v>34098.0</v>
      </c>
      <c r="O61" s="80" t="s">
        <v>33</v>
      </c>
      <c r="P61" s="70" t="s">
        <v>1369</v>
      </c>
      <c r="Q61" s="54"/>
      <c r="R61" s="84"/>
      <c r="S61" s="84"/>
      <c r="T61" s="54"/>
      <c r="U61" s="86"/>
      <c r="V61" s="54"/>
      <c r="W61" s="86"/>
      <c r="X61" s="54"/>
      <c r="Y61" s="78"/>
      <c r="Z61" s="54" t="s">
        <v>267</v>
      </c>
      <c r="AA61" s="70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54" t="s">
        <v>867</v>
      </c>
      <c r="AR61" s="83" t="s">
        <v>1370</v>
      </c>
      <c r="AS61" s="83" t="s">
        <v>1371</v>
      </c>
      <c r="AT61" s="93"/>
      <c r="AU61" s="93" t="s">
        <v>1366</v>
      </c>
      <c r="AV61" s="93" t="s">
        <v>1372</v>
      </c>
      <c r="AW61" s="83" t="s">
        <v>1373</v>
      </c>
      <c r="AX61" s="83">
        <v>1.0</v>
      </c>
      <c r="AY61" s="83">
        <v>1.0</v>
      </c>
      <c r="AZ61" s="83" t="s">
        <v>1374</v>
      </c>
      <c r="BA61" s="83" t="s">
        <v>1375</v>
      </c>
      <c r="BB61" s="83" t="s">
        <v>1376</v>
      </c>
      <c r="BC61" s="54" t="s">
        <v>33</v>
      </c>
      <c r="BD61" s="54" t="str">
        <f t="shared" si="1"/>
        <v>Huánuco</v>
      </c>
      <c r="BE61" s="54" t="s">
        <v>140</v>
      </c>
      <c r="BF61" s="95" t="s">
        <v>141</v>
      </c>
      <c r="BG61" s="95" t="s">
        <v>142</v>
      </c>
      <c r="BH61" s="54"/>
      <c r="BI61" s="67"/>
      <c r="BJ61" s="67"/>
      <c r="BK61" s="54"/>
      <c r="BL61" s="54" t="s">
        <v>147</v>
      </c>
      <c r="BM61" s="54" t="s">
        <v>146</v>
      </c>
      <c r="BN61" s="104">
        <v>69.0</v>
      </c>
      <c r="BO61" s="83" t="s">
        <v>615</v>
      </c>
      <c r="BP61" s="54" t="s">
        <v>141</v>
      </c>
      <c r="BQ61" s="70" t="s">
        <v>141</v>
      </c>
      <c r="BR61" s="67" t="s">
        <v>149</v>
      </c>
      <c r="BS61" s="83" t="s">
        <v>149</v>
      </c>
      <c r="BT61" s="83"/>
      <c r="BU61" s="109">
        <f t="shared" si="2"/>
        <v>46199</v>
      </c>
      <c r="BV61" s="109">
        <f t="shared" si="3"/>
        <v>46202</v>
      </c>
      <c r="BW61" s="83" t="str">
        <f t="shared" si="4"/>
        <v>12</v>
      </c>
      <c r="BX61" s="106"/>
      <c r="BY61" s="107"/>
      <c r="BZ61" s="113">
        <f t="shared" si="5"/>
        <v>3</v>
      </c>
      <c r="CA61" s="113">
        <f t="array" ref="CA61">IF($A61&lt;&gt;"",INDEX(LISTA!$M$2:$N$27,MATCH($BC61,LISTA!$N$2:$N$27,0),1),"")</f>
        <v>12</v>
      </c>
      <c r="CB61" s="54">
        <f t="shared" si="6"/>
        <v>6</v>
      </c>
      <c r="CC61" s="86" t="str">
        <f t="shared" si="7"/>
        <v/>
      </c>
    </row>
    <row r="62" ht="15.0" customHeight="1" outlineLevel="1">
      <c r="A62" s="50">
        <v>46200.38424122686</v>
      </c>
      <c r="B62" s="53" t="s">
        <v>1276</v>
      </c>
      <c r="C62" s="54" t="s">
        <v>100</v>
      </c>
      <c r="D62" s="56" t="s">
        <v>101</v>
      </c>
      <c r="E62" s="57">
        <v>46202.666666666664</v>
      </c>
      <c r="F62" s="54" t="s">
        <v>853</v>
      </c>
      <c r="G62" s="60" t="s">
        <v>854</v>
      </c>
      <c r="H62" s="63" t="s">
        <v>855</v>
      </c>
      <c r="I62" s="67" t="s">
        <v>403</v>
      </c>
      <c r="J62" s="70" t="s">
        <v>856</v>
      </c>
      <c r="K62" s="54" t="s">
        <v>109</v>
      </c>
      <c r="L62" s="70" t="s">
        <v>575</v>
      </c>
      <c r="M62" s="77" t="s">
        <v>861</v>
      </c>
      <c r="N62" s="78">
        <v>22897.0</v>
      </c>
      <c r="O62" s="80" t="s">
        <v>37</v>
      </c>
      <c r="P62" s="70" t="s">
        <v>864</v>
      </c>
      <c r="Q62" s="54"/>
      <c r="R62" s="84"/>
      <c r="S62" s="84"/>
      <c r="T62" s="54"/>
      <c r="U62" s="86"/>
      <c r="V62" s="54"/>
      <c r="W62" s="86"/>
      <c r="X62" s="54"/>
      <c r="Y62" s="78"/>
      <c r="Z62" s="54"/>
      <c r="AA62" s="70"/>
      <c r="AB62" s="83"/>
      <c r="AC62" s="83"/>
      <c r="AD62" s="83"/>
      <c r="AE62" s="83"/>
      <c r="AF62" s="83" t="s">
        <v>792</v>
      </c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54" t="s">
        <v>874</v>
      </c>
      <c r="AR62" s="83" t="s">
        <v>875</v>
      </c>
      <c r="AS62" s="83" t="s">
        <v>876</v>
      </c>
      <c r="AT62" s="93"/>
      <c r="AU62" s="93" t="s">
        <v>877</v>
      </c>
      <c r="AV62" s="93" t="s">
        <v>879</v>
      </c>
      <c r="AW62" s="83" t="s">
        <v>880</v>
      </c>
      <c r="AX62" s="83">
        <v>2.0</v>
      </c>
      <c r="AY62" s="83">
        <v>0.0</v>
      </c>
      <c r="AZ62" s="83" t="s">
        <v>881</v>
      </c>
      <c r="BA62" s="83" t="s">
        <v>882</v>
      </c>
      <c r="BB62" s="83" t="s">
        <v>883</v>
      </c>
      <c r="BC62" s="54" t="s">
        <v>41</v>
      </c>
      <c r="BD62" s="54" t="str">
        <f t="shared" si="1"/>
        <v>Los Olivos</v>
      </c>
      <c r="BE62" s="54" t="s">
        <v>140</v>
      </c>
      <c r="BF62" s="95" t="s">
        <v>144</v>
      </c>
      <c r="BG62" s="95" t="s">
        <v>142</v>
      </c>
      <c r="BH62" s="54"/>
      <c r="BI62" s="67"/>
      <c r="BJ62" s="67"/>
      <c r="BK62" s="54"/>
      <c r="BL62" s="54" t="s">
        <v>147</v>
      </c>
      <c r="BM62" s="54" t="s">
        <v>247</v>
      </c>
      <c r="BN62" s="104">
        <v>89.0</v>
      </c>
      <c r="BO62" s="83" t="s">
        <v>148</v>
      </c>
      <c r="BP62" s="54" t="s">
        <v>141</v>
      </c>
      <c r="BQ62" s="70" t="s">
        <v>141</v>
      </c>
      <c r="BR62" s="67" t="s">
        <v>149</v>
      </c>
      <c r="BS62" s="83">
        <v>1.0</v>
      </c>
      <c r="BT62" s="83"/>
      <c r="BU62" s="109">
        <f t="shared" si="2"/>
        <v>46200</v>
      </c>
      <c r="BV62" s="109">
        <f t="shared" si="3"/>
        <v>46202</v>
      </c>
      <c r="BW62" s="83" t="str">
        <f t="shared" si="4"/>
        <v>16</v>
      </c>
      <c r="BX62" s="106"/>
      <c r="BY62" s="107"/>
      <c r="BZ62" s="113">
        <f t="shared" si="5"/>
        <v>3</v>
      </c>
      <c r="CA62" s="113">
        <f t="array" ref="CA62">IF($A62&lt;&gt;"",INDEX(LISTA!$M$2:$N$27,MATCH($BC62,LISTA!$N$2:$N$27,0),1),"")</f>
        <v>1</v>
      </c>
      <c r="CB62" s="54">
        <f t="shared" si="6"/>
        <v>6</v>
      </c>
      <c r="CC62" s="86" t="str">
        <f t="shared" si="7"/>
        <v/>
      </c>
    </row>
    <row r="63" ht="15.0" customHeight="1" outlineLevel="1">
      <c r="A63" s="50">
        <v>46191.475388287035</v>
      </c>
      <c r="B63" s="53" t="s">
        <v>1382</v>
      </c>
      <c r="C63" s="54" t="s">
        <v>100</v>
      </c>
      <c r="D63" s="56" t="s">
        <v>150</v>
      </c>
      <c r="E63" s="57">
        <v>46193.083333333336</v>
      </c>
      <c r="F63" s="54" t="s">
        <v>1097</v>
      </c>
      <c r="G63" s="60" t="s">
        <v>1098</v>
      </c>
      <c r="H63" s="63" t="s">
        <v>1099</v>
      </c>
      <c r="I63" s="67" t="s">
        <v>150</v>
      </c>
      <c r="J63" s="70" t="s">
        <v>1100</v>
      </c>
      <c r="K63" s="54" t="s">
        <v>109</v>
      </c>
      <c r="L63" s="70" t="s">
        <v>1101</v>
      </c>
      <c r="M63" s="77" t="s">
        <v>1102</v>
      </c>
      <c r="N63" s="78">
        <v>31043.0</v>
      </c>
      <c r="O63" s="80" t="s">
        <v>33</v>
      </c>
      <c r="P63" s="70" t="s">
        <v>1103</v>
      </c>
      <c r="Q63" s="54"/>
      <c r="R63" s="84"/>
      <c r="S63" s="84"/>
      <c r="T63" s="54"/>
      <c r="U63" s="86"/>
      <c r="V63" s="54"/>
      <c r="W63" s="86"/>
      <c r="X63" s="54"/>
      <c r="Y63" s="78"/>
      <c r="Z63" s="54"/>
      <c r="AA63" s="70"/>
      <c r="AB63" s="83"/>
      <c r="AC63" s="83"/>
      <c r="AD63" s="83"/>
      <c r="AE63" s="83"/>
      <c r="AF63" s="83" t="s">
        <v>972</v>
      </c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54" t="s">
        <v>1104</v>
      </c>
      <c r="AR63" s="83" t="s">
        <v>1105</v>
      </c>
      <c r="AS63" s="83" t="s">
        <v>1106</v>
      </c>
      <c r="AT63" s="83"/>
      <c r="AU63" s="93" t="s">
        <v>1107</v>
      </c>
      <c r="AV63" s="93" t="s">
        <v>1108</v>
      </c>
      <c r="AW63" s="83" t="s">
        <v>1109</v>
      </c>
      <c r="AX63" s="83">
        <v>1.0</v>
      </c>
      <c r="AY63" s="83" t="s">
        <v>238</v>
      </c>
      <c r="AZ63" s="83" t="s">
        <v>1110</v>
      </c>
      <c r="BA63" s="83" t="s">
        <v>1111</v>
      </c>
      <c r="BB63" s="83" t="s">
        <v>1112</v>
      </c>
      <c r="BC63" s="54" t="s">
        <v>41</v>
      </c>
      <c r="BD63" s="54" t="str">
        <f t="shared" si="1"/>
        <v>San Juan de Lurigancho</v>
      </c>
      <c r="BE63" s="54" t="s">
        <v>143</v>
      </c>
      <c r="BF63" s="95" t="s">
        <v>141</v>
      </c>
      <c r="BG63" s="95" t="s">
        <v>142</v>
      </c>
      <c r="BH63" s="54"/>
      <c r="BI63" s="67"/>
      <c r="BJ63" s="67"/>
      <c r="BK63" s="54"/>
      <c r="BL63" s="54" t="s">
        <v>145</v>
      </c>
      <c r="BM63" s="54" t="s">
        <v>146</v>
      </c>
      <c r="BN63" s="104">
        <v>170.0</v>
      </c>
      <c r="BO63" s="83" t="s">
        <v>148</v>
      </c>
      <c r="BP63" s="54" t="s">
        <v>144</v>
      </c>
      <c r="BQ63" s="70" t="s">
        <v>141</v>
      </c>
      <c r="BR63" s="67">
        <v>2.0</v>
      </c>
      <c r="BS63" s="83">
        <v>1.0</v>
      </c>
      <c r="BT63" s="83"/>
      <c r="BU63" s="109">
        <f t="shared" si="2"/>
        <v>46191</v>
      </c>
      <c r="BV63" s="109">
        <f t="shared" si="3"/>
        <v>46193</v>
      </c>
      <c r="BW63" s="83" t="str">
        <f t="shared" si="4"/>
        <v>02</v>
      </c>
      <c r="BX63" s="106"/>
      <c r="BY63" s="107"/>
      <c r="BZ63" s="113">
        <f t="shared" si="5"/>
        <v>2</v>
      </c>
      <c r="CA63" s="113">
        <f t="array" ref="CA63">IF($A63&lt;&gt;"",INDEX(LISTA!$M$2:$N$27,MATCH($BC63,LISTA!$N$2:$N$27,0),1),"")</f>
        <v>1</v>
      </c>
      <c r="CB63" s="54">
        <f t="shared" si="6"/>
        <v>6</v>
      </c>
      <c r="CC63" s="86" t="str">
        <f t="shared" si="7"/>
        <v/>
      </c>
    </row>
    <row r="64" ht="15.0" customHeight="1" outlineLevel="1">
      <c r="A64" s="50">
        <v>46191.550588784725</v>
      </c>
      <c r="B64" s="53" t="s">
        <v>1382</v>
      </c>
      <c r="C64" s="54" t="s">
        <v>100</v>
      </c>
      <c r="D64" s="56" t="s">
        <v>150</v>
      </c>
      <c r="E64" s="57">
        <v>46195.458333333336</v>
      </c>
      <c r="F64" s="54">
        <v>32.0</v>
      </c>
      <c r="G64" s="60" t="s">
        <v>1114</v>
      </c>
      <c r="H64" s="63" t="s">
        <v>1115</v>
      </c>
      <c r="I64" s="67" t="s">
        <v>192</v>
      </c>
      <c r="J64" s="70" t="s">
        <v>1116</v>
      </c>
      <c r="K64" s="54" t="s">
        <v>1117</v>
      </c>
      <c r="L64" s="70" t="s">
        <v>1118</v>
      </c>
      <c r="M64" s="77" t="s">
        <v>1119</v>
      </c>
      <c r="N64" s="78">
        <v>35994.0</v>
      </c>
      <c r="O64" s="80" t="s">
        <v>1120</v>
      </c>
      <c r="P64" s="70" t="s">
        <v>1121</v>
      </c>
      <c r="Q64" s="54"/>
      <c r="R64" s="84"/>
      <c r="S64" s="84"/>
      <c r="T64" s="54"/>
      <c r="U64" s="86"/>
      <c r="V64" s="54"/>
      <c r="W64" s="86"/>
      <c r="X64" s="54"/>
      <c r="Y64" s="78"/>
      <c r="Z64" s="54"/>
      <c r="AA64" s="70"/>
      <c r="AB64" s="83"/>
      <c r="AC64" s="83"/>
      <c r="AD64" s="83"/>
      <c r="AE64" s="83"/>
      <c r="AF64" s="83" t="s">
        <v>431</v>
      </c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54" t="s">
        <v>1122</v>
      </c>
      <c r="AR64" s="83" t="s">
        <v>1123</v>
      </c>
      <c r="AS64" s="83" t="s">
        <v>1124</v>
      </c>
      <c r="AT64" s="93"/>
      <c r="AU64" s="93" t="s">
        <v>1116</v>
      </c>
      <c r="AV64" s="93" t="s">
        <v>1116</v>
      </c>
      <c r="AW64" s="83" t="s">
        <v>1125</v>
      </c>
      <c r="AX64" s="83">
        <v>2.0</v>
      </c>
      <c r="AY64" s="83" t="s">
        <v>238</v>
      </c>
      <c r="AZ64" s="83" t="s">
        <v>1126</v>
      </c>
      <c r="BA64" s="83" t="s">
        <v>1127</v>
      </c>
      <c r="BB64" s="83" t="s">
        <v>1128</v>
      </c>
      <c r="BC64" s="54" t="s">
        <v>41</v>
      </c>
      <c r="BD64" s="54" t="str">
        <f t="shared" si="1"/>
        <v>La Victoria</v>
      </c>
      <c r="BE64" s="54" t="s">
        <v>140</v>
      </c>
      <c r="BF64" s="95" t="s">
        <v>141</v>
      </c>
      <c r="BG64" s="95" t="s">
        <v>142</v>
      </c>
      <c r="BH64" s="54"/>
      <c r="BI64" s="67"/>
      <c r="BJ64" s="67"/>
      <c r="BK64" s="54"/>
      <c r="BL64" s="54" t="s">
        <v>147</v>
      </c>
      <c r="BM64" s="54" t="s">
        <v>247</v>
      </c>
      <c r="BN64" s="104">
        <v>89.0</v>
      </c>
      <c r="BO64" s="83" t="s">
        <v>148</v>
      </c>
      <c r="BP64" s="54" t="s">
        <v>141</v>
      </c>
      <c r="BQ64" s="70" t="s">
        <v>141</v>
      </c>
      <c r="BR64" s="67" t="s">
        <v>149</v>
      </c>
      <c r="BS64" s="83">
        <v>1.0</v>
      </c>
      <c r="BT64" s="83"/>
      <c r="BU64" s="109">
        <f t="shared" si="2"/>
        <v>46191</v>
      </c>
      <c r="BV64" s="109">
        <f t="shared" si="3"/>
        <v>46195</v>
      </c>
      <c r="BW64" s="83" t="str">
        <f t="shared" si="4"/>
        <v>11</v>
      </c>
      <c r="BX64" s="106"/>
      <c r="BY64" s="107"/>
      <c r="BZ64" s="113">
        <f t="shared" si="5"/>
        <v>2</v>
      </c>
      <c r="CA64" s="113">
        <f t="array" ref="CA64">IF($A64&lt;&gt;"",INDEX(LISTA!$M$2:$N$27,MATCH($BC64,LISTA!$N$2:$N$27,0),1),"")</f>
        <v>1</v>
      </c>
      <c r="CB64" s="54">
        <f t="shared" si="6"/>
        <v>6</v>
      </c>
      <c r="CC64" s="86" t="str">
        <f t="shared" si="7"/>
        <v/>
      </c>
    </row>
    <row r="65" ht="15.0" customHeight="1" outlineLevel="1">
      <c r="A65" s="50">
        <v>46191.70013728009</v>
      </c>
      <c r="B65" s="53" t="s">
        <v>1382</v>
      </c>
      <c r="C65" s="54" t="s">
        <v>100</v>
      </c>
      <c r="D65" s="56" t="s">
        <v>150</v>
      </c>
      <c r="E65" s="57">
        <v>46193.458333333336</v>
      </c>
      <c r="F65" s="54" t="s">
        <v>1129</v>
      </c>
      <c r="G65" s="60" t="s">
        <v>1130</v>
      </c>
      <c r="H65" s="63" t="s">
        <v>1131</v>
      </c>
      <c r="I65" s="67" t="s">
        <v>403</v>
      </c>
      <c r="J65" s="70" t="s">
        <v>1132</v>
      </c>
      <c r="K65" s="54" t="s">
        <v>109</v>
      </c>
      <c r="L65" s="70" t="s">
        <v>1133</v>
      </c>
      <c r="M65" s="77" t="s">
        <v>1134</v>
      </c>
      <c r="N65" s="78">
        <v>29300.0</v>
      </c>
      <c r="O65" s="80" t="s">
        <v>37</v>
      </c>
      <c r="P65" s="70" t="s">
        <v>228</v>
      </c>
      <c r="Q65" s="54"/>
      <c r="R65" s="84"/>
      <c r="S65" s="84"/>
      <c r="T65" s="54"/>
      <c r="U65" s="86"/>
      <c r="V65" s="54"/>
      <c r="W65" s="86"/>
      <c r="X65" s="54"/>
      <c r="Y65" s="78"/>
      <c r="Z65" s="54"/>
      <c r="AA65" s="70"/>
      <c r="AB65" s="83"/>
      <c r="AC65" s="83"/>
      <c r="AD65" s="83"/>
      <c r="AE65" s="83"/>
      <c r="AF65" s="83" t="s">
        <v>165</v>
      </c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54" t="s">
        <v>1135</v>
      </c>
      <c r="AR65" s="83" t="s">
        <v>1136</v>
      </c>
      <c r="AS65" s="83" t="s">
        <v>1137</v>
      </c>
      <c r="AT65" s="93"/>
      <c r="AU65" s="93" t="s">
        <v>1132</v>
      </c>
      <c r="AV65" s="93" t="s">
        <v>1132</v>
      </c>
      <c r="AW65" s="83" t="s">
        <v>1138</v>
      </c>
      <c r="AX65" s="83">
        <v>3.0</v>
      </c>
      <c r="AY65" s="83">
        <v>1.0</v>
      </c>
      <c r="AZ65" s="83" t="s">
        <v>1139</v>
      </c>
      <c r="BA65" s="83" t="s">
        <v>1140</v>
      </c>
      <c r="BB65" s="83" t="s">
        <v>1141</v>
      </c>
      <c r="BC65" s="54" t="s">
        <v>41</v>
      </c>
      <c r="BD65" s="54" t="str">
        <f t="shared" si="1"/>
        <v>San Martín de Porres</v>
      </c>
      <c r="BE65" s="54" t="s">
        <v>140</v>
      </c>
      <c r="BF65" s="95" t="s">
        <v>141</v>
      </c>
      <c r="BG65" s="95" t="s">
        <v>142</v>
      </c>
      <c r="BH65" s="54"/>
      <c r="BI65" s="67"/>
      <c r="BJ65" s="67"/>
      <c r="BK65" s="54"/>
      <c r="BL65" s="54" t="s">
        <v>147</v>
      </c>
      <c r="BM65" s="54" t="s">
        <v>1142</v>
      </c>
      <c r="BN65" s="104">
        <v>89.0</v>
      </c>
      <c r="BO65" s="83" t="s">
        <v>148</v>
      </c>
      <c r="BP65" s="54" t="s">
        <v>141</v>
      </c>
      <c r="BQ65" s="70" t="s">
        <v>141</v>
      </c>
      <c r="BR65" s="67" t="s">
        <v>149</v>
      </c>
      <c r="BS65" s="83" t="s">
        <v>149</v>
      </c>
      <c r="BT65" s="83"/>
      <c r="BU65" s="109">
        <f t="shared" si="2"/>
        <v>46191</v>
      </c>
      <c r="BV65" s="109">
        <f t="shared" si="3"/>
        <v>46193</v>
      </c>
      <c r="BW65" s="83" t="str">
        <f t="shared" si="4"/>
        <v>11</v>
      </c>
      <c r="BX65" s="106"/>
      <c r="BY65" s="107"/>
      <c r="BZ65" s="113">
        <f t="shared" si="5"/>
        <v>2</v>
      </c>
      <c r="CA65" s="113">
        <f t="array" ref="CA65">IF($A65&lt;&gt;"",INDEX(LISTA!$M$2:$N$27,MATCH($BC65,LISTA!$N$2:$N$27,0),1),"")</f>
        <v>1</v>
      </c>
      <c r="CB65" s="54">
        <f t="shared" si="6"/>
        <v>6</v>
      </c>
      <c r="CC65" s="86" t="str">
        <f t="shared" si="7"/>
        <v/>
      </c>
    </row>
    <row r="66" ht="15.0" customHeight="1" outlineLevel="1">
      <c r="A66" s="50">
        <v>46191.82022863426</v>
      </c>
      <c r="B66" s="53" t="s">
        <v>1382</v>
      </c>
      <c r="C66" s="54" t="s">
        <v>100</v>
      </c>
      <c r="D66" s="56"/>
      <c r="E66" s="57"/>
      <c r="F66" s="54" t="s">
        <v>1149</v>
      </c>
      <c r="G66" s="60"/>
      <c r="H66" s="63"/>
      <c r="I66" s="67" t="s">
        <v>403</v>
      </c>
      <c r="J66" s="70" t="s">
        <v>1150</v>
      </c>
      <c r="K66" s="54" t="s">
        <v>1151</v>
      </c>
      <c r="L66" s="70" t="s">
        <v>1152</v>
      </c>
      <c r="M66" s="77" t="s">
        <v>1153</v>
      </c>
      <c r="N66" s="78">
        <v>26631.0</v>
      </c>
      <c r="O66" s="80" t="s">
        <v>24</v>
      </c>
      <c r="P66" s="70" t="s">
        <v>1154</v>
      </c>
      <c r="Q66" s="54"/>
      <c r="R66" s="84"/>
      <c r="S66" s="84"/>
      <c r="T66" s="54"/>
      <c r="U66" s="86"/>
      <c r="V66" s="54"/>
      <c r="W66" s="86"/>
      <c r="X66" s="54"/>
      <c r="Y66" s="78"/>
      <c r="Z66" s="54"/>
      <c r="AA66" s="70"/>
      <c r="AB66" s="83"/>
      <c r="AC66" s="83"/>
      <c r="AD66" s="83"/>
      <c r="AE66" s="83"/>
      <c r="AF66" s="83" t="s">
        <v>1159</v>
      </c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54" t="s">
        <v>1164</v>
      </c>
      <c r="AR66" s="83" t="s">
        <v>1165</v>
      </c>
      <c r="AS66" s="83" t="s">
        <v>1166</v>
      </c>
      <c r="AT66" s="83"/>
      <c r="AU66" s="93" t="s">
        <v>1167</v>
      </c>
      <c r="AV66" s="93" t="s">
        <v>1167</v>
      </c>
      <c r="AW66" s="83" t="s">
        <v>1168</v>
      </c>
      <c r="AX66" s="83">
        <v>3.0</v>
      </c>
      <c r="AY66" s="83">
        <v>1.0</v>
      </c>
      <c r="AZ66" s="83" t="s">
        <v>1169</v>
      </c>
      <c r="BA66" s="83" t="s">
        <v>1170</v>
      </c>
      <c r="BB66" s="83" t="s">
        <v>1171</v>
      </c>
      <c r="BC66" s="54" t="s">
        <v>41</v>
      </c>
      <c r="BD66" s="54" t="str">
        <f t="shared" si="1"/>
        <v>Cercado de Lima</v>
      </c>
      <c r="BE66" s="54" t="s">
        <v>140</v>
      </c>
      <c r="BF66" s="95" t="s">
        <v>141</v>
      </c>
      <c r="BG66" s="95" t="s">
        <v>142</v>
      </c>
      <c r="BH66" s="54"/>
      <c r="BI66" s="67"/>
      <c r="BJ66" s="67"/>
      <c r="BK66" s="54"/>
      <c r="BL66" s="54" t="s">
        <v>145</v>
      </c>
      <c r="BM66" s="54" t="s">
        <v>1172</v>
      </c>
      <c r="BN66" s="104">
        <v>170.0</v>
      </c>
      <c r="BO66" s="83" t="s">
        <v>148</v>
      </c>
      <c r="BP66" s="54" t="s">
        <v>144</v>
      </c>
      <c r="BQ66" s="70" t="s">
        <v>141</v>
      </c>
      <c r="BR66" s="67">
        <v>2.0</v>
      </c>
      <c r="BS66" s="83">
        <v>1.0</v>
      </c>
      <c r="BT66" s="83"/>
      <c r="BU66" s="109">
        <f t="shared" si="2"/>
        <v>46191</v>
      </c>
      <c r="BV66" s="109" t="str">
        <f t="shared" si="3"/>
        <v/>
      </c>
      <c r="BW66" s="83" t="str">
        <f t="shared" si="4"/>
        <v/>
      </c>
      <c r="BX66" s="106"/>
      <c r="BY66" s="107"/>
      <c r="BZ66" s="113">
        <f t="shared" si="5"/>
        <v>2</v>
      </c>
      <c r="CA66" s="113">
        <f t="array" ref="CA66">IF($A66&lt;&gt;"",INDEX(LISTA!$M$2:$N$27,MATCH($BC66,LISTA!$N$2:$N$27,0),1),"")</f>
        <v>1</v>
      </c>
      <c r="CB66" s="54">
        <f t="shared" si="6"/>
        <v>6</v>
      </c>
      <c r="CC66" s="86" t="str">
        <f t="shared" si="7"/>
        <v/>
      </c>
    </row>
    <row r="67" ht="15.0" customHeight="1" outlineLevel="1">
      <c r="A67" s="50">
        <v>46196.808990729165</v>
      </c>
      <c r="B67" s="53" t="s">
        <v>1382</v>
      </c>
      <c r="C67" s="54" t="s">
        <v>100</v>
      </c>
      <c r="D67" s="56" t="s">
        <v>101</v>
      </c>
      <c r="E67" s="57">
        <v>46197.583333333336</v>
      </c>
      <c r="F67" s="54" t="s">
        <v>1184</v>
      </c>
      <c r="G67" s="60" t="s">
        <v>1186</v>
      </c>
      <c r="H67" s="63" t="s">
        <v>1188</v>
      </c>
      <c r="I67" s="67" t="s">
        <v>107</v>
      </c>
      <c r="J67" s="70" t="s">
        <v>1190</v>
      </c>
      <c r="K67" s="54" t="s">
        <v>109</v>
      </c>
      <c r="L67" s="70" t="s">
        <v>1191</v>
      </c>
      <c r="M67" s="77" t="s">
        <v>1192</v>
      </c>
      <c r="N67" s="78">
        <v>27814.0</v>
      </c>
      <c r="O67" s="80" t="s">
        <v>41</v>
      </c>
      <c r="P67" s="70" t="s">
        <v>1193</v>
      </c>
      <c r="Q67" s="54"/>
      <c r="R67" s="84"/>
      <c r="S67" s="84"/>
      <c r="T67" s="54"/>
      <c r="U67" s="86" t="s">
        <v>1194</v>
      </c>
      <c r="V67" s="54"/>
      <c r="W67" s="86"/>
      <c r="X67" s="54"/>
      <c r="Y67" s="78"/>
      <c r="Z67" s="54"/>
      <c r="AA67" s="70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54" t="s">
        <v>1195</v>
      </c>
      <c r="AR67" s="83" t="s">
        <v>1196</v>
      </c>
      <c r="AS67" s="83" t="s">
        <v>1197</v>
      </c>
      <c r="AT67" s="93"/>
      <c r="AU67" s="93" t="s">
        <v>1190</v>
      </c>
      <c r="AV67" s="93" t="s">
        <v>1190</v>
      </c>
      <c r="AW67" s="83" t="s">
        <v>1198</v>
      </c>
      <c r="AX67" s="83">
        <v>1.0</v>
      </c>
      <c r="AY67" s="83">
        <v>1.0</v>
      </c>
      <c r="AZ67" s="83" t="s">
        <v>1199</v>
      </c>
      <c r="BA67" s="83" t="s">
        <v>1200</v>
      </c>
      <c r="BB67" s="83" t="s">
        <v>1201</v>
      </c>
      <c r="BC67" s="54" t="s">
        <v>28</v>
      </c>
      <c r="BD67" s="54" t="str">
        <f t="shared" si="1"/>
        <v>Huanta</v>
      </c>
      <c r="BE67" s="54" t="s">
        <v>140</v>
      </c>
      <c r="BF67" s="95" t="s">
        <v>141</v>
      </c>
      <c r="BG67" s="95" t="s">
        <v>142</v>
      </c>
      <c r="BH67" s="54"/>
      <c r="BI67" s="67"/>
      <c r="BJ67" s="67"/>
      <c r="BK67" s="54"/>
      <c r="BL67" s="54" t="s">
        <v>147</v>
      </c>
      <c r="BM67" s="54" t="s">
        <v>247</v>
      </c>
      <c r="BN67" s="104">
        <v>89.0</v>
      </c>
      <c r="BO67" s="83" t="s">
        <v>148</v>
      </c>
      <c r="BP67" s="54" t="s">
        <v>141</v>
      </c>
      <c r="BQ67" s="70" t="s">
        <v>141</v>
      </c>
      <c r="BR67" s="67" t="s">
        <v>149</v>
      </c>
      <c r="BS67" s="83">
        <v>1.0</v>
      </c>
      <c r="BT67" s="83"/>
      <c r="BU67" s="109">
        <f t="shared" si="2"/>
        <v>46196</v>
      </c>
      <c r="BV67" s="109">
        <f t="shared" si="3"/>
        <v>46197</v>
      </c>
      <c r="BW67" s="83" t="str">
        <f t="shared" si="4"/>
        <v>14</v>
      </c>
      <c r="BX67" s="106"/>
      <c r="BY67" s="107"/>
      <c r="BZ67" s="113">
        <f t="shared" si="5"/>
        <v>2</v>
      </c>
      <c r="CA67" s="113">
        <f t="array" ref="CA67">IF($A67&lt;&gt;"",INDEX(LISTA!$M$2:$N$27,MATCH($BC67,LISTA!$N$2:$N$27,0),1),"")</f>
        <v>8</v>
      </c>
      <c r="CB67" s="54">
        <f t="shared" si="6"/>
        <v>6</v>
      </c>
      <c r="CC67" s="86" t="str">
        <f t="shared" si="7"/>
        <v/>
      </c>
    </row>
    <row r="68" ht="15.0" customHeight="1" outlineLevel="1">
      <c r="A68" s="50">
        <v>46197.765178518515</v>
      </c>
      <c r="B68" s="53" t="s">
        <v>1382</v>
      </c>
      <c r="C68" s="54" t="s">
        <v>100</v>
      </c>
      <c r="D68" s="56" t="s">
        <v>101</v>
      </c>
      <c r="E68" s="57">
        <v>46199.375</v>
      </c>
      <c r="F68" s="54" t="s">
        <v>1184</v>
      </c>
      <c r="G68" s="60" t="s">
        <v>1202</v>
      </c>
      <c r="H68" s="63" t="s">
        <v>1203</v>
      </c>
      <c r="I68" s="67" t="s">
        <v>365</v>
      </c>
      <c r="J68" s="70" t="s">
        <v>1204</v>
      </c>
      <c r="K68" s="54" t="s">
        <v>109</v>
      </c>
      <c r="L68" s="70" t="s">
        <v>1205</v>
      </c>
      <c r="M68" s="77" t="s">
        <v>1206</v>
      </c>
      <c r="N68" s="78">
        <v>31113.0</v>
      </c>
      <c r="O68" s="80" t="s">
        <v>51</v>
      </c>
      <c r="P68" s="70" t="s">
        <v>1179</v>
      </c>
      <c r="Q68" s="54"/>
      <c r="R68" s="84"/>
      <c r="S68" s="84"/>
      <c r="T68" s="54"/>
      <c r="U68" s="86"/>
      <c r="V68" s="54"/>
      <c r="W68" s="86"/>
      <c r="X68" s="54"/>
      <c r="Y68" s="78"/>
      <c r="Z68" s="54"/>
      <c r="AA68" s="70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 t="s">
        <v>1207</v>
      </c>
      <c r="AP68" s="83"/>
      <c r="AQ68" s="54" t="s">
        <v>1208</v>
      </c>
      <c r="AR68" s="83" t="s">
        <v>1209</v>
      </c>
      <c r="AS68" s="83" t="s">
        <v>1210</v>
      </c>
      <c r="AT68" s="83"/>
      <c r="AU68" s="93" t="s">
        <v>1212</v>
      </c>
      <c r="AV68" s="93" t="s">
        <v>1212</v>
      </c>
      <c r="AW68" s="83" t="s">
        <v>1214</v>
      </c>
      <c r="AX68" s="83">
        <v>1.0</v>
      </c>
      <c r="AY68" s="83">
        <v>1.0</v>
      </c>
      <c r="AZ68" s="83" t="s">
        <v>1215</v>
      </c>
      <c r="BA68" s="83" t="s">
        <v>1216</v>
      </c>
      <c r="BB68" s="83" t="s">
        <v>1217</v>
      </c>
      <c r="BC68" s="54" t="s">
        <v>51</v>
      </c>
      <c r="BD68" s="54" t="str">
        <f t="shared" si="1"/>
        <v>Tumbes</v>
      </c>
      <c r="BE68" s="54" t="s">
        <v>140</v>
      </c>
      <c r="BF68" s="95" t="s">
        <v>141</v>
      </c>
      <c r="BG68" s="95" t="s">
        <v>142</v>
      </c>
      <c r="BH68" s="54"/>
      <c r="BI68" s="67"/>
      <c r="BJ68" s="67"/>
      <c r="BK68" s="54"/>
      <c r="BL68" s="54" t="s">
        <v>145</v>
      </c>
      <c r="BM68" s="54" t="s">
        <v>146</v>
      </c>
      <c r="BN68" s="104">
        <v>170.0</v>
      </c>
      <c r="BO68" s="83" t="s">
        <v>148</v>
      </c>
      <c r="BP68" s="54" t="s">
        <v>144</v>
      </c>
      <c r="BQ68" s="70" t="s">
        <v>141</v>
      </c>
      <c r="BR68" s="67">
        <v>2.0</v>
      </c>
      <c r="BS68" s="83">
        <v>1.0</v>
      </c>
      <c r="BT68" s="83"/>
      <c r="BU68" s="109">
        <f t="shared" si="2"/>
        <v>46197</v>
      </c>
      <c r="BV68" s="109">
        <f t="shared" si="3"/>
        <v>46199</v>
      </c>
      <c r="BW68" s="83" t="str">
        <f t="shared" si="4"/>
        <v>09</v>
      </c>
      <c r="BX68" s="106"/>
      <c r="BY68" s="107"/>
      <c r="BZ68" s="113">
        <f t="shared" si="5"/>
        <v>2</v>
      </c>
      <c r="CA68" s="113">
        <f t="array" ref="CA68">IF($A68&lt;&gt;"",INDEX(LISTA!$M$2:$N$27,MATCH($BC68,LISTA!$N$2:$N$27,0),1),"")</f>
        <v>25</v>
      </c>
      <c r="CB68" s="54">
        <f t="shared" si="6"/>
        <v>6</v>
      </c>
      <c r="CC68" s="86" t="str">
        <f t="shared" si="7"/>
        <v/>
      </c>
    </row>
    <row r="69" ht="15.0" customHeight="1" outlineLevel="1">
      <c r="A69" s="50">
        <v>46200.74278425926</v>
      </c>
      <c r="B69" s="53" t="s">
        <v>1408</v>
      </c>
      <c r="C69" s="54" t="s">
        <v>100</v>
      </c>
      <c r="D69" s="56" t="s">
        <v>150</v>
      </c>
      <c r="E69" s="57">
        <v>46203.375</v>
      </c>
      <c r="F69" s="54" t="s">
        <v>761</v>
      </c>
      <c r="G69" s="60" t="s">
        <v>762</v>
      </c>
      <c r="H69" s="63" t="s">
        <v>763</v>
      </c>
      <c r="I69" s="67" t="s">
        <v>192</v>
      </c>
      <c r="J69" s="70" t="s">
        <v>764</v>
      </c>
      <c r="K69" s="54" t="s">
        <v>109</v>
      </c>
      <c r="L69" s="70" t="s">
        <v>532</v>
      </c>
      <c r="M69" s="77" t="s">
        <v>533</v>
      </c>
      <c r="N69" s="78">
        <v>27949.0</v>
      </c>
      <c r="O69" s="80" t="s">
        <v>32</v>
      </c>
      <c r="P69" s="70" t="s">
        <v>765</v>
      </c>
      <c r="Q69" s="54"/>
      <c r="R69" s="84"/>
      <c r="S69" s="84"/>
      <c r="T69" s="54"/>
      <c r="U69" s="86"/>
      <c r="V69" s="54"/>
      <c r="W69" s="86"/>
      <c r="X69" s="54"/>
      <c r="Y69" s="78"/>
      <c r="Z69" s="54"/>
      <c r="AA69" s="70"/>
      <c r="AB69" s="83" t="s">
        <v>766</v>
      </c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54" t="s">
        <v>767</v>
      </c>
      <c r="AR69" s="83" t="s">
        <v>768</v>
      </c>
      <c r="AS69" s="83" t="s">
        <v>769</v>
      </c>
      <c r="AT69" s="93"/>
      <c r="AU69" s="93" t="s">
        <v>764</v>
      </c>
      <c r="AV69" s="93" t="s">
        <v>764</v>
      </c>
      <c r="AW69" s="83" t="s">
        <v>770</v>
      </c>
      <c r="AX69" s="83">
        <v>2.0</v>
      </c>
      <c r="AY69" s="83" t="s">
        <v>238</v>
      </c>
      <c r="AZ69" s="83" t="s">
        <v>771</v>
      </c>
      <c r="BA69" s="83" t="s">
        <v>772</v>
      </c>
      <c r="BB69" s="83" t="s">
        <v>773</v>
      </c>
      <c r="BC69" s="54" t="s">
        <v>36</v>
      </c>
      <c r="BD69" s="54" t="str">
        <f t="shared" si="1"/>
        <v>Huancayo</v>
      </c>
      <c r="BE69" s="54" t="s">
        <v>140</v>
      </c>
      <c r="BF69" s="95" t="s">
        <v>144</v>
      </c>
      <c r="BG69" s="95" t="s">
        <v>142</v>
      </c>
      <c r="BH69" s="54"/>
      <c r="BI69" s="67"/>
      <c r="BJ69" s="67"/>
      <c r="BK69" s="54"/>
      <c r="BL69" s="54" t="s">
        <v>213</v>
      </c>
      <c r="BM69" s="54" t="s">
        <v>214</v>
      </c>
      <c r="BN69" s="104">
        <v>110.0</v>
      </c>
      <c r="BO69" s="83" t="s">
        <v>182</v>
      </c>
      <c r="BP69" s="54" t="s">
        <v>144</v>
      </c>
      <c r="BQ69" s="70" t="s">
        <v>141</v>
      </c>
      <c r="BR69" s="67" t="s">
        <v>149</v>
      </c>
      <c r="BS69" s="83">
        <v>1.0</v>
      </c>
      <c r="BT69" s="83"/>
      <c r="BU69" s="109">
        <f t="shared" si="2"/>
        <v>46200</v>
      </c>
      <c r="BV69" s="109">
        <f t="shared" si="3"/>
        <v>46203</v>
      </c>
      <c r="BW69" s="83" t="str">
        <f t="shared" si="4"/>
        <v>09</v>
      </c>
      <c r="BX69" s="106"/>
      <c r="BY69" s="107"/>
      <c r="BZ69" s="113">
        <f t="shared" si="5"/>
        <v>2</v>
      </c>
      <c r="CA69" s="113">
        <f t="array" ref="CA69">IF($A69&lt;&gt;"",INDEX(LISTA!$M$2:$N$27,MATCH($BC69,LISTA!$N$2:$N$27,0),1),"")</f>
        <v>14</v>
      </c>
      <c r="CB69" s="54">
        <f t="shared" si="6"/>
        <v>6</v>
      </c>
      <c r="CC69" s="86" t="str">
        <f t="shared" si="7"/>
        <v/>
      </c>
    </row>
    <row r="70" ht="15.0" customHeight="1" outlineLevel="1">
      <c r="A70" s="50">
        <v>46185.77748748843</v>
      </c>
      <c r="B70" s="53" t="s">
        <v>1423</v>
      </c>
      <c r="C70" s="54" t="s">
        <v>100</v>
      </c>
      <c r="D70" s="56"/>
      <c r="E70" s="57"/>
      <c r="F70" s="54" t="s">
        <v>1424</v>
      </c>
      <c r="G70" s="60" t="s">
        <v>1425</v>
      </c>
      <c r="H70" s="63"/>
      <c r="I70" s="67" t="s">
        <v>107</v>
      </c>
      <c r="J70" s="70" t="s">
        <v>1426</v>
      </c>
      <c r="K70" s="54" t="s">
        <v>109</v>
      </c>
      <c r="L70" s="70" t="s">
        <v>1427</v>
      </c>
      <c r="M70" s="77" t="s">
        <v>1428</v>
      </c>
      <c r="N70" s="78">
        <v>30726.0</v>
      </c>
      <c r="O70" s="80" t="s">
        <v>37</v>
      </c>
      <c r="P70" s="70" t="s">
        <v>550</v>
      </c>
      <c r="Q70" s="54"/>
      <c r="R70" s="84"/>
      <c r="S70" s="84"/>
      <c r="T70" s="54"/>
      <c r="U70" s="86"/>
      <c r="V70" s="54"/>
      <c r="W70" s="86"/>
      <c r="X70" s="54"/>
      <c r="Y70" s="78"/>
      <c r="Z70" s="54"/>
      <c r="AA70" s="70"/>
      <c r="AB70" s="83"/>
      <c r="AC70" s="83"/>
      <c r="AD70" s="83"/>
      <c r="AE70" s="83"/>
      <c r="AF70" s="83" t="s">
        <v>1433</v>
      </c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54" t="s">
        <v>837</v>
      </c>
      <c r="AR70" s="83" t="s">
        <v>1434</v>
      </c>
      <c r="AS70" s="83" t="s">
        <v>1435</v>
      </c>
      <c r="AT70" s="93"/>
      <c r="AU70" s="93" t="s">
        <v>1426</v>
      </c>
      <c r="AV70" s="93" t="s">
        <v>1426</v>
      </c>
      <c r="AW70" s="83" t="s">
        <v>1436</v>
      </c>
      <c r="AX70" s="83">
        <v>16.0</v>
      </c>
      <c r="AY70" s="83">
        <v>1606.0</v>
      </c>
      <c r="AZ70" s="83" t="s">
        <v>1437</v>
      </c>
      <c r="BA70" s="83" t="s">
        <v>1438</v>
      </c>
      <c r="BB70" s="83" t="s">
        <v>1439</v>
      </c>
      <c r="BC70" s="54" t="s">
        <v>41</v>
      </c>
      <c r="BD70" s="54" t="str">
        <f t="shared" si="1"/>
        <v>Independencia</v>
      </c>
      <c r="BE70" s="54" t="s">
        <v>140</v>
      </c>
      <c r="BF70" s="95" t="s">
        <v>144</v>
      </c>
      <c r="BG70" s="95" t="s">
        <v>142</v>
      </c>
      <c r="BH70" s="54"/>
      <c r="BI70" s="67"/>
      <c r="BJ70" s="67"/>
      <c r="BK70" s="54"/>
      <c r="BL70" s="54" t="s">
        <v>1444</v>
      </c>
      <c r="BM70" s="54" t="s">
        <v>214</v>
      </c>
      <c r="BN70" s="104">
        <v>225.0</v>
      </c>
      <c r="BO70" s="83" t="s">
        <v>330</v>
      </c>
      <c r="BP70" s="54" t="s">
        <v>144</v>
      </c>
      <c r="BQ70" s="70" t="s">
        <v>141</v>
      </c>
      <c r="BR70" s="67">
        <v>1.0</v>
      </c>
      <c r="BS70" s="83">
        <v>2.0</v>
      </c>
      <c r="BT70" s="83"/>
      <c r="BU70" s="109">
        <f t="shared" si="2"/>
        <v>46185</v>
      </c>
      <c r="BV70" s="109" t="str">
        <f t="shared" si="3"/>
        <v/>
      </c>
      <c r="BW70" s="83" t="str">
        <f t="shared" si="4"/>
        <v/>
      </c>
      <c r="BX70" s="106"/>
      <c r="BY70" s="107"/>
      <c r="BZ70" s="113">
        <f t="shared" si="5"/>
        <v>1</v>
      </c>
      <c r="CA70" s="113">
        <f t="array" ref="CA70">IF($A70&lt;&gt;"",INDEX(LISTA!$M$2:$N$27,MATCH($BC70,LISTA!$N$2:$N$27,0),1),"")</f>
        <v>1</v>
      </c>
      <c r="CB70" s="54">
        <f t="shared" si="6"/>
        <v>6</v>
      </c>
      <c r="CC70" s="86" t="str">
        <f t="shared" si="7"/>
        <v/>
      </c>
    </row>
    <row r="71" ht="15.0" customHeight="1" outlineLevel="1">
      <c r="A71" s="50">
        <v>46188.531708194445</v>
      </c>
      <c r="B71" s="53" t="s">
        <v>1448</v>
      </c>
      <c r="C71" s="54" t="s">
        <v>100</v>
      </c>
      <c r="D71" s="56"/>
      <c r="E71" s="57"/>
      <c r="F71" s="54" t="s">
        <v>1449</v>
      </c>
      <c r="G71" s="60" t="s">
        <v>1450</v>
      </c>
      <c r="H71" s="63"/>
      <c r="I71" s="67" t="s">
        <v>114</v>
      </c>
      <c r="J71" s="70" t="s">
        <v>1451</v>
      </c>
      <c r="K71" s="54" t="s">
        <v>109</v>
      </c>
      <c r="L71" s="70" t="s">
        <v>1452</v>
      </c>
      <c r="M71" s="77" t="s">
        <v>1453</v>
      </c>
      <c r="N71" s="78">
        <v>31003.0</v>
      </c>
      <c r="O71" s="80" t="s">
        <v>40</v>
      </c>
      <c r="P71" s="70" t="s">
        <v>1454</v>
      </c>
      <c r="Q71" s="54"/>
      <c r="R71" s="84"/>
      <c r="S71" s="84"/>
      <c r="T71" s="54"/>
      <c r="U71" s="86"/>
      <c r="V71" s="54"/>
      <c r="W71" s="86"/>
      <c r="X71" s="54"/>
      <c r="Y71" s="78"/>
      <c r="Z71" s="54"/>
      <c r="AA71" s="70"/>
      <c r="AB71" s="83"/>
      <c r="AC71" s="83"/>
      <c r="AD71" s="83"/>
      <c r="AE71" s="83"/>
      <c r="AF71" s="83" t="s">
        <v>1458</v>
      </c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54" t="s">
        <v>1459</v>
      </c>
      <c r="AR71" s="83" t="s">
        <v>1460</v>
      </c>
      <c r="AS71" s="83" t="s">
        <v>1461</v>
      </c>
      <c r="AT71" s="93"/>
      <c r="AU71" s="93" t="s">
        <v>1451</v>
      </c>
      <c r="AV71" s="93" t="s">
        <v>1451</v>
      </c>
      <c r="AW71" s="83" t="s">
        <v>1462</v>
      </c>
      <c r="AX71" s="83">
        <v>5.0</v>
      </c>
      <c r="AY71" s="83">
        <v>501.0</v>
      </c>
      <c r="AZ71" s="83" t="s">
        <v>1463</v>
      </c>
      <c r="BA71" s="83" t="s">
        <v>1464</v>
      </c>
      <c r="BB71" s="83" t="s">
        <v>1465</v>
      </c>
      <c r="BC71" s="54" t="s">
        <v>41</v>
      </c>
      <c r="BD71" s="54" t="str">
        <f t="shared" si="1"/>
        <v>Pueblo Libre</v>
      </c>
      <c r="BE71" s="54" t="s">
        <v>140</v>
      </c>
      <c r="BF71" s="95" t="s">
        <v>141</v>
      </c>
      <c r="BG71" s="95" t="s">
        <v>142</v>
      </c>
      <c r="BH71" s="54"/>
      <c r="BI71" s="67"/>
      <c r="BJ71" s="67"/>
      <c r="BK71" s="54"/>
      <c r="BL71" s="54" t="s">
        <v>145</v>
      </c>
      <c r="BM71" s="54" t="s">
        <v>146</v>
      </c>
      <c r="BN71" s="104">
        <v>170.0</v>
      </c>
      <c r="BO71" s="83" t="s">
        <v>148</v>
      </c>
      <c r="BP71" s="54" t="s">
        <v>144</v>
      </c>
      <c r="BQ71" s="70" t="s">
        <v>141</v>
      </c>
      <c r="BR71" s="67">
        <v>2.0</v>
      </c>
      <c r="BS71" s="83">
        <v>1.0</v>
      </c>
      <c r="BT71" s="83"/>
      <c r="BU71" s="109">
        <f t="shared" si="2"/>
        <v>46188</v>
      </c>
      <c r="BV71" s="109" t="str">
        <f t="shared" si="3"/>
        <v/>
      </c>
      <c r="BW71" s="83" t="str">
        <f t="shared" si="4"/>
        <v/>
      </c>
      <c r="BX71" s="106"/>
      <c r="BY71" s="107"/>
      <c r="BZ71" s="113">
        <f t="shared" si="5"/>
        <v>1</v>
      </c>
      <c r="CA71" s="113">
        <f t="array" ref="CA71">IF($A71&lt;&gt;"",INDEX(LISTA!$M$2:$N$27,MATCH($BC71,LISTA!$N$2:$N$27,0),1),"")</f>
        <v>1</v>
      </c>
      <c r="CB71" s="54">
        <f t="shared" si="6"/>
        <v>6</v>
      </c>
      <c r="CC71" s="86" t="str">
        <f t="shared" si="7"/>
        <v/>
      </c>
    </row>
    <row r="72" ht="15.0" customHeight="1" outlineLevel="1">
      <c r="A72" s="50">
        <v>46189.71136238426</v>
      </c>
      <c r="B72" s="53" t="s">
        <v>1448</v>
      </c>
      <c r="C72" s="54" t="s">
        <v>100</v>
      </c>
      <c r="D72" s="56"/>
      <c r="E72" s="57"/>
      <c r="F72" s="54" t="s">
        <v>1473</v>
      </c>
      <c r="G72" s="60" t="s">
        <v>1474</v>
      </c>
      <c r="H72" s="63"/>
      <c r="I72" s="67" t="s">
        <v>150</v>
      </c>
      <c r="J72" s="70" t="s">
        <v>1475</v>
      </c>
      <c r="K72" s="54" t="s">
        <v>1117</v>
      </c>
      <c r="L72" s="70" t="s">
        <v>1476</v>
      </c>
      <c r="M72" s="77" t="s">
        <v>1477</v>
      </c>
      <c r="N72" s="78">
        <v>26760.0</v>
      </c>
      <c r="O72" s="80" t="s">
        <v>1120</v>
      </c>
      <c r="P72" s="70" t="s">
        <v>1478</v>
      </c>
      <c r="Q72" s="54"/>
      <c r="R72" s="84"/>
      <c r="S72" s="84"/>
      <c r="T72" s="54"/>
      <c r="U72" s="86"/>
      <c r="V72" s="54"/>
      <c r="W72" s="86"/>
      <c r="X72" s="54"/>
      <c r="Y72" s="78"/>
      <c r="Z72" s="54"/>
      <c r="AA72" s="70"/>
      <c r="AB72" s="83"/>
      <c r="AC72" s="83"/>
      <c r="AD72" s="83"/>
      <c r="AE72" s="83"/>
      <c r="AF72" s="83" t="s">
        <v>467</v>
      </c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54" t="s">
        <v>1484</v>
      </c>
      <c r="AR72" s="83" t="s">
        <v>125</v>
      </c>
      <c r="AS72" s="83" t="s">
        <v>1485</v>
      </c>
      <c r="AT72" s="93"/>
      <c r="AU72" s="93" t="s">
        <v>1475</v>
      </c>
      <c r="AV72" s="93" t="s">
        <v>1475</v>
      </c>
      <c r="AW72" s="83" t="s">
        <v>1486</v>
      </c>
      <c r="AX72" s="83">
        <v>1.0</v>
      </c>
      <c r="AY72" s="83" t="s">
        <v>238</v>
      </c>
      <c r="AZ72" s="83" t="s">
        <v>1487</v>
      </c>
      <c r="BA72" s="83" t="s">
        <v>1488</v>
      </c>
      <c r="BB72" s="83" t="s">
        <v>1489</v>
      </c>
      <c r="BC72" s="54" t="s">
        <v>41</v>
      </c>
      <c r="BD72" s="54" t="str">
        <f t="shared" si="1"/>
        <v>Surquillo</v>
      </c>
      <c r="BE72" s="54" t="s">
        <v>140</v>
      </c>
      <c r="BF72" s="95" t="s">
        <v>144</v>
      </c>
      <c r="BG72" s="95" t="s">
        <v>142</v>
      </c>
      <c r="BH72" s="54"/>
      <c r="BI72" s="67"/>
      <c r="BJ72" s="67"/>
      <c r="BK72" s="54"/>
      <c r="BL72" s="54" t="s">
        <v>147</v>
      </c>
      <c r="BM72" s="54" t="s">
        <v>146</v>
      </c>
      <c r="BN72" s="104">
        <v>89.0</v>
      </c>
      <c r="BO72" s="83" t="s">
        <v>148</v>
      </c>
      <c r="BP72" s="54" t="s">
        <v>141</v>
      </c>
      <c r="BQ72" s="70" t="s">
        <v>141</v>
      </c>
      <c r="BR72" s="67" t="s">
        <v>149</v>
      </c>
      <c r="BS72" s="83">
        <v>1.0</v>
      </c>
      <c r="BT72" s="83"/>
      <c r="BU72" s="109">
        <f t="shared" si="2"/>
        <v>46189</v>
      </c>
      <c r="BV72" s="109" t="str">
        <f t="shared" si="3"/>
        <v/>
      </c>
      <c r="BW72" s="83" t="str">
        <f t="shared" si="4"/>
        <v/>
      </c>
      <c r="BX72" s="106"/>
      <c r="BY72" s="107"/>
      <c r="BZ72" s="113">
        <f t="shared" si="5"/>
        <v>1</v>
      </c>
      <c r="CA72" s="113">
        <f t="array" ref="CA72">IF($A72&lt;&gt;"",INDEX(LISTA!$M$2:$N$27,MATCH($BC72,LISTA!$N$2:$N$27,0),1),"")</f>
        <v>1</v>
      </c>
      <c r="CB72" s="54">
        <f t="shared" si="6"/>
        <v>6</v>
      </c>
      <c r="CC72" s="86" t="str">
        <f t="shared" si="7"/>
        <v/>
      </c>
    </row>
    <row r="73" ht="15.0" customHeight="1" outlineLevel="1">
      <c r="A73" s="50">
        <v>46196.771452430556</v>
      </c>
      <c r="B73" s="53" t="s">
        <v>1448</v>
      </c>
      <c r="C73" s="54" t="s">
        <v>1495</v>
      </c>
      <c r="D73" s="56"/>
      <c r="E73" s="57"/>
      <c r="F73" s="54" t="s">
        <v>1496</v>
      </c>
      <c r="G73" s="60"/>
      <c r="H73" s="63"/>
      <c r="I73" s="67" t="s">
        <v>107</v>
      </c>
      <c r="J73" s="70" t="s">
        <v>1497</v>
      </c>
      <c r="K73" s="54" t="s">
        <v>1151</v>
      </c>
      <c r="L73" s="70" t="s">
        <v>1498</v>
      </c>
      <c r="M73" s="77" t="s">
        <v>1499</v>
      </c>
      <c r="N73" s="78">
        <v>33730.0</v>
      </c>
      <c r="O73" s="80" t="s">
        <v>37</v>
      </c>
      <c r="P73" s="70" t="s">
        <v>228</v>
      </c>
      <c r="Q73" s="54"/>
      <c r="R73" s="84"/>
      <c r="S73" s="84"/>
      <c r="T73" s="54"/>
      <c r="U73" s="86"/>
      <c r="V73" s="54"/>
      <c r="W73" s="86"/>
      <c r="X73" s="54"/>
      <c r="Y73" s="78"/>
      <c r="Z73" s="54"/>
      <c r="AA73" s="70"/>
      <c r="AB73" s="83"/>
      <c r="AC73" s="83"/>
      <c r="AD73" s="83"/>
      <c r="AE73" s="83"/>
      <c r="AF73" s="83" t="s">
        <v>691</v>
      </c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54" t="s">
        <v>124</v>
      </c>
      <c r="AR73" s="83" t="s">
        <v>1504</v>
      </c>
      <c r="AS73" s="83" t="s">
        <v>1505</v>
      </c>
      <c r="AT73" s="93"/>
      <c r="AU73" s="93" t="s">
        <v>1497</v>
      </c>
      <c r="AV73" s="93" t="s">
        <v>1497</v>
      </c>
      <c r="AW73" s="83" t="s">
        <v>1506</v>
      </c>
      <c r="AX73" s="83">
        <v>2.0</v>
      </c>
      <c r="AY73" s="83">
        <v>1.0</v>
      </c>
      <c r="AZ73" s="83" t="s">
        <v>1507</v>
      </c>
      <c r="BA73" s="83" t="s">
        <v>1508</v>
      </c>
      <c r="BB73" s="83" t="s">
        <v>1509</v>
      </c>
      <c r="BC73" s="54" t="s">
        <v>41</v>
      </c>
      <c r="BD73" s="54" t="str">
        <f t="shared" si="1"/>
        <v>Comas</v>
      </c>
      <c r="BE73" s="54" t="s">
        <v>140</v>
      </c>
      <c r="BF73" s="95" t="s">
        <v>141</v>
      </c>
      <c r="BG73" s="95" t="s">
        <v>142</v>
      </c>
      <c r="BH73" s="54"/>
      <c r="BI73" s="67"/>
      <c r="BJ73" s="67"/>
      <c r="BK73" s="54"/>
      <c r="BL73" s="54" t="s">
        <v>145</v>
      </c>
      <c r="BM73" s="54" t="s">
        <v>146</v>
      </c>
      <c r="BN73" s="104">
        <v>170.0</v>
      </c>
      <c r="BO73" s="83" t="s">
        <v>148</v>
      </c>
      <c r="BP73" s="54" t="s">
        <v>144</v>
      </c>
      <c r="BQ73" s="70" t="s">
        <v>141</v>
      </c>
      <c r="BR73" s="67">
        <v>2.0</v>
      </c>
      <c r="BS73" s="83">
        <v>1.0</v>
      </c>
      <c r="BT73" s="83"/>
      <c r="BU73" s="109">
        <f t="shared" si="2"/>
        <v>46196</v>
      </c>
      <c r="BV73" s="109" t="str">
        <f t="shared" si="3"/>
        <v/>
      </c>
      <c r="BW73" s="83" t="str">
        <f t="shared" si="4"/>
        <v/>
      </c>
      <c r="BX73" s="106"/>
      <c r="BY73" s="107"/>
      <c r="BZ73" s="113">
        <f t="shared" si="5"/>
        <v>1</v>
      </c>
      <c r="CA73" s="113">
        <f t="array" ref="CA73">IF($A73&lt;&gt;"",INDEX(LISTA!$M$2:$N$27,MATCH($BC73,LISTA!$N$2:$N$27,0),1),"")</f>
        <v>1</v>
      </c>
      <c r="CB73" s="54">
        <f t="shared" si="6"/>
        <v>6</v>
      </c>
      <c r="CC73" s="86" t="str">
        <f t="shared" si="7"/>
        <v/>
      </c>
    </row>
    <row r="74" ht="15.0" customHeight="1" outlineLevel="1">
      <c r="A74" s="50">
        <v>46198.85074146991</v>
      </c>
      <c r="B74" s="53" t="s">
        <v>1448</v>
      </c>
      <c r="C74" s="54" t="s">
        <v>100</v>
      </c>
      <c r="D74" s="56"/>
      <c r="E74" s="57"/>
      <c r="F74" s="54" t="s">
        <v>1517</v>
      </c>
      <c r="G74" s="60" t="s">
        <v>1518</v>
      </c>
      <c r="H74" s="63"/>
      <c r="I74" s="67" t="s">
        <v>350</v>
      </c>
      <c r="J74" s="70" t="s">
        <v>1519</v>
      </c>
      <c r="K74" s="54" t="s">
        <v>109</v>
      </c>
      <c r="L74" s="70" t="s">
        <v>1520</v>
      </c>
      <c r="M74" s="77" t="s">
        <v>1521</v>
      </c>
      <c r="N74" s="78">
        <v>38910.0</v>
      </c>
      <c r="O74" s="80" t="s">
        <v>40</v>
      </c>
      <c r="P74" s="70" t="s">
        <v>228</v>
      </c>
      <c r="Q74" s="54"/>
      <c r="R74" s="84"/>
      <c r="S74" s="84"/>
      <c r="T74" s="54"/>
      <c r="U74" s="86"/>
      <c r="V74" s="54"/>
      <c r="W74" s="86"/>
      <c r="X74" s="54"/>
      <c r="Y74" s="78"/>
      <c r="Z74" s="54"/>
      <c r="AA74" s="70"/>
      <c r="AB74" s="83"/>
      <c r="AC74" s="83"/>
      <c r="AD74" s="83"/>
      <c r="AE74" s="83"/>
      <c r="AF74" s="83" t="s">
        <v>753</v>
      </c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54" t="s">
        <v>1528</v>
      </c>
      <c r="AR74" s="83" t="s">
        <v>1529</v>
      </c>
      <c r="AS74" s="83" t="s">
        <v>1530</v>
      </c>
      <c r="AT74" s="93"/>
      <c r="AU74" s="93" t="s">
        <v>1519</v>
      </c>
      <c r="AV74" s="93" t="s">
        <v>1519</v>
      </c>
      <c r="AW74" s="83" t="s">
        <v>1531</v>
      </c>
      <c r="AX74" s="83">
        <v>7.0</v>
      </c>
      <c r="AY74" s="83">
        <v>703.0</v>
      </c>
      <c r="AZ74" s="83" t="s">
        <v>1532</v>
      </c>
      <c r="BA74" s="83" t="s">
        <v>1533</v>
      </c>
      <c r="BB74" s="83" t="s">
        <v>1534</v>
      </c>
      <c r="BC74" s="54" t="s">
        <v>41</v>
      </c>
      <c r="BD74" s="54" t="str">
        <f t="shared" si="1"/>
        <v>Carabayllo</v>
      </c>
      <c r="BE74" s="54" t="s">
        <v>143</v>
      </c>
      <c r="BF74" s="95" t="s">
        <v>141</v>
      </c>
      <c r="BG74" s="95" t="s">
        <v>142</v>
      </c>
      <c r="BH74" s="54"/>
      <c r="BI74" s="67"/>
      <c r="BJ74" s="67"/>
      <c r="BK74" s="54"/>
      <c r="BL74" s="54" t="s">
        <v>147</v>
      </c>
      <c r="BM74" s="54" t="s">
        <v>247</v>
      </c>
      <c r="BN74" s="104">
        <v>89.0</v>
      </c>
      <c r="BO74" s="83" t="s">
        <v>148</v>
      </c>
      <c r="BP74" s="54" t="s">
        <v>141</v>
      </c>
      <c r="BQ74" s="70" t="s">
        <v>141</v>
      </c>
      <c r="BR74" s="67" t="s">
        <v>149</v>
      </c>
      <c r="BS74" s="83" t="s">
        <v>149</v>
      </c>
      <c r="BT74" s="83"/>
      <c r="BU74" s="109">
        <f t="shared" si="2"/>
        <v>46198</v>
      </c>
      <c r="BV74" s="109" t="str">
        <f t="shared" si="3"/>
        <v/>
      </c>
      <c r="BW74" s="83" t="str">
        <f t="shared" si="4"/>
        <v/>
      </c>
      <c r="BX74" s="106"/>
      <c r="BY74" s="107"/>
      <c r="BZ74" s="113">
        <f t="shared" si="5"/>
        <v>1</v>
      </c>
      <c r="CA74" s="113">
        <f t="array" ref="CA74">IF($A74&lt;&gt;"",INDEX(LISTA!$M$2:$N$27,MATCH($BC74,LISTA!$N$2:$N$27,0),1),"")</f>
        <v>1</v>
      </c>
      <c r="CB74" s="54">
        <f t="shared" si="6"/>
        <v>6</v>
      </c>
      <c r="CC74" s="86" t="str">
        <f t="shared" si="7"/>
        <v/>
      </c>
    </row>
    <row r="75" ht="15.0" customHeight="1" outlineLevel="1">
      <c r="A75" s="50">
        <v>46197.708171493054</v>
      </c>
      <c r="B75" s="53" t="s">
        <v>1542</v>
      </c>
      <c r="C75" s="54" t="s">
        <v>100</v>
      </c>
      <c r="D75" s="56" t="s">
        <v>101</v>
      </c>
      <c r="E75" s="57">
        <v>46199.458333333336</v>
      </c>
      <c r="F75" s="54" t="s">
        <v>1543</v>
      </c>
      <c r="G75" s="60" t="s">
        <v>1544</v>
      </c>
      <c r="H75" s="63" t="s">
        <v>1545</v>
      </c>
      <c r="I75" s="67" t="s">
        <v>260</v>
      </c>
      <c r="J75" s="70" t="s">
        <v>1546</v>
      </c>
      <c r="K75" s="54" t="s">
        <v>109</v>
      </c>
      <c r="L75" s="70" t="s">
        <v>1547</v>
      </c>
      <c r="M75" s="77" t="s">
        <v>1549</v>
      </c>
      <c r="N75" s="78">
        <v>25062.0</v>
      </c>
      <c r="O75" s="80" t="s">
        <v>24</v>
      </c>
      <c r="P75" s="70" t="s">
        <v>1283</v>
      </c>
      <c r="Q75" s="54"/>
      <c r="R75" s="84"/>
      <c r="S75" s="84"/>
      <c r="T75" s="54"/>
      <c r="U75" s="86"/>
      <c r="V75" s="54"/>
      <c r="W75" s="86"/>
      <c r="X75" s="54"/>
      <c r="Y75" s="78"/>
      <c r="Z75" s="54"/>
      <c r="AA75" s="70"/>
      <c r="AB75" s="83"/>
      <c r="AC75" s="83"/>
      <c r="AD75" s="83"/>
      <c r="AE75" s="83"/>
      <c r="AF75" s="83" t="s">
        <v>198</v>
      </c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54" t="s">
        <v>1550</v>
      </c>
      <c r="AR75" s="83" t="s">
        <v>1551</v>
      </c>
      <c r="AS75" s="83" t="s">
        <v>1552</v>
      </c>
      <c r="AT75" s="93"/>
      <c r="AU75" s="93" t="s">
        <v>1548</v>
      </c>
      <c r="AV75" s="93" t="s">
        <v>1548</v>
      </c>
      <c r="AW75" s="83" t="s">
        <v>1553</v>
      </c>
      <c r="AX75" s="83">
        <v>1.0</v>
      </c>
      <c r="AY75" s="83">
        <v>1.0</v>
      </c>
      <c r="AZ75" s="83" t="s">
        <v>1554</v>
      </c>
      <c r="BA75" s="83" t="s">
        <v>1555</v>
      </c>
      <c r="BB75" s="83" t="s">
        <v>1556</v>
      </c>
      <c r="BC75" s="54" t="s">
        <v>41</v>
      </c>
      <c r="BD75" s="54" t="str">
        <f t="shared" si="1"/>
        <v>Miraflores</v>
      </c>
      <c r="BE75" s="54" t="s">
        <v>143</v>
      </c>
      <c r="BF75" s="95" t="s">
        <v>141</v>
      </c>
      <c r="BG75" s="95" t="s">
        <v>142</v>
      </c>
      <c r="BH75" s="54"/>
      <c r="BI75" s="67"/>
      <c r="BJ75" s="67"/>
      <c r="BK75" s="54"/>
      <c r="BL75" s="54" t="s">
        <v>147</v>
      </c>
      <c r="BM75" s="54" t="s">
        <v>1142</v>
      </c>
      <c r="BN75" s="104">
        <v>89.0</v>
      </c>
      <c r="BO75" s="83" t="s">
        <v>148</v>
      </c>
      <c r="BP75" s="54" t="s">
        <v>141</v>
      </c>
      <c r="BQ75" s="70" t="s">
        <v>141</v>
      </c>
      <c r="BR75" s="67" t="s">
        <v>149</v>
      </c>
      <c r="BS75" s="83" t="s">
        <v>149</v>
      </c>
      <c r="BT75" s="83"/>
      <c r="BU75" s="109">
        <f t="shared" si="2"/>
        <v>46197</v>
      </c>
      <c r="BV75" s="109">
        <f t="shared" si="3"/>
        <v>46199</v>
      </c>
      <c r="BW75" s="83" t="str">
        <f t="shared" si="4"/>
        <v>11</v>
      </c>
      <c r="BX75" s="106"/>
      <c r="BY75" s="107"/>
      <c r="BZ75" s="113">
        <f t="shared" si="5"/>
        <v>0</v>
      </c>
      <c r="CA75" s="113">
        <f t="array" ref="CA75">IF($A75&lt;&gt;"",INDEX(LISTA!$M$2:$N$27,MATCH($BC75,LISTA!$N$2:$N$27,0),1),"")</f>
        <v>1</v>
      </c>
      <c r="CB75" s="54">
        <f t="shared" si="6"/>
        <v>6</v>
      </c>
      <c r="CC75" s="86" t="str">
        <f t="shared" si="7"/>
        <v/>
      </c>
    </row>
    <row r="76" ht="15.0" customHeight="1" outlineLevel="1">
      <c r="A76" s="50">
        <v>46190.5583380787</v>
      </c>
      <c r="B76" s="53" t="s">
        <v>1557</v>
      </c>
      <c r="C76" s="54" t="s">
        <v>100</v>
      </c>
      <c r="D76" s="56"/>
      <c r="E76" s="57"/>
      <c r="F76" s="54" t="s">
        <v>1558</v>
      </c>
      <c r="G76" s="60"/>
      <c r="H76" s="63"/>
      <c r="I76" s="67" t="s">
        <v>403</v>
      </c>
      <c r="J76" s="70" t="s">
        <v>1559</v>
      </c>
      <c r="K76" s="54" t="s">
        <v>109</v>
      </c>
      <c r="L76" s="70" t="s">
        <v>1560</v>
      </c>
      <c r="M76" s="77" t="s">
        <v>1561</v>
      </c>
      <c r="N76" s="78">
        <v>33829.0</v>
      </c>
      <c r="O76" s="80" t="s">
        <v>33</v>
      </c>
      <c r="P76" s="70" t="s">
        <v>1562</v>
      </c>
      <c r="Q76" s="54"/>
      <c r="R76" s="84"/>
      <c r="S76" s="84"/>
      <c r="T76" s="54"/>
      <c r="U76" s="86"/>
      <c r="V76" s="54"/>
      <c r="W76" s="86"/>
      <c r="X76" s="54"/>
      <c r="Y76" s="78"/>
      <c r="Z76" s="54"/>
      <c r="AA76" s="70"/>
      <c r="AB76" s="83"/>
      <c r="AC76" s="83"/>
      <c r="AD76" s="83"/>
      <c r="AE76" s="83"/>
      <c r="AF76" s="83" t="s">
        <v>507</v>
      </c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54" t="s">
        <v>1563</v>
      </c>
      <c r="AR76" s="83" t="s">
        <v>1564</v>
      </c>
      <c r="AS76" s="157" t="s">
        <v>1565</v>
      </c>
      <c r="AT76" s="93"/>
      <c r="AU76" s="93" t="s">
        <v>1559</v>
      </c>
      <c r="AV76" s="93" t="s">
        <v>1559</v>
      </c>
      <c r="AW76" s="83" t="s">
        <v>1566</v>
      </c>
      <c r="AX76" s="83">
        <v>1.0</v>
      </c>
      <c r="AY76" s="83" t="s">
        <v>1567</v>
      </c>
      <c r="AZ76" s="83" t="s">
        <v>1568</v>
      </c>
      <c r="BA76" s="83" t="s">
        <v>1569</v>
      </c>
      <c r="BB76" s="83" t="s">
        <v>1570</v>
      </c>
      <c r="BC76" s="54" t="s">
        <v>41</v>
      </c>
      <c r="BD76" s="54" t="str">
        <f t="shared" si="1"/>
        <v>San Juan de Miraflores</v>
      </c>
      <c r="BE76" s="54" t="s">
        <v>140</v>
      </c>
      <c r="BF76" s="95" t="s">
        <v>144</v>
      </c>
      <c r="BG76" s="95" t="s">
        <v>142</v>
      </c>
      <c r="BH76" s="54"/>
      <c r="BI76" s="67"/>
      <c r="BJ76" s="67"/>
      <c r="BK76" s="54"/>
      <c r="BL76" s="54" t="s">
        <v>147</v>
      </c>
      <c r="BM76" s="54" t="s">
        <v>214</v>
      </c>
      <c r="BN76" s="104">
        <v>110.0</v>
      </c>
      <c r="BO76" s="83" t="s">
        <v>182</v>
      </c>
      <c r="BP76" s="54" t="s">
        <v>144</v>
      </c>
      <c r="BQ76" s="70" t="s">
        <v>141</v>
      </c>
      <c r="BR76" s="67" t="s">
        <v>149</v>
      </c>
      <c r="BS76" s="83">
        <v>1.0</v>
      </c>
      <c r="BT76" s="83"/>
      <c r="BU76" s="109">
        <f t="shared" si="2"/>
        <v>46190</v>
      </c>
      <c r="BV76" s="109" t="str">
        <f t="shared" si="3"/>
        <v/>
      </c>
      <c r="BW76" s="83" t="str">
        <f t="shared" si="4"/>
        <v/>
      </c>
      <c r="BX76" s="106"/>
      <c r="BY76" s="107"/>
      <c r="BZ76" s="113">
        <f t="shared" si="5"/>
        <v>0</v>
      </c>
      <c r="CA76" s="113">
        <f t="array" ref="CA76">IF($A76&lt;&gt;"",INDEX(LISTA!$M$2:$N$27,MATCH($BC76,LISTA!$N$2:$N$27,0),1),"")</f>
        <v>1</v>
      </c>
      <c r="CB76" s="54">
        <f t="shared" si="6"/>
        <v>6</v>
      </c>
      <c r="CC76" s="86" t="str">
        <f t="shared" si="7"/>
        <v/>
      </c>
    </row>
    <row r="77" ht="15.0" customHeight="1" outlineLevel="1">
      <c r="A77" s="50">
        <v>46191.749567280094</v>
      </c>
      <c r="B77" s="53" t="s">
        <v>1557</v>
      </c>
      <c r="C77" s="54" t="s">
        <v>100</v>
      </c>
      <c r="D77" s="56"/>
      <c r="E77" s="57"/>
      <c r="F77" s="54" t="s">
        <v>1571</v>
      </c>
      <c r="G77" s="60" t="s">
        <v>1572</v>
      </c>
      <c r="H77" s="63"/>
      <c r="I77" s="67" t="s">
        <v>107</v>
      </c>
      <c r="J77" s="70" t="s">
        <v>1573</v>
      </c>
      <c r="K77" s="54" t="s">
        <v>109</v>
      </c>
      <c r="L77" s="70" t="s">
        <v>1574</v>
      </c>
      <c r="M77" s="77" t="s">
        <v>1575</v>
      </c>
      <c r="N77" s="78">
        <v>25606.0</v>
      </c>
      <c r="O77" s="80" t="s">
        <v>27</v>
      </c>
      <c r="P77" s="70" t="s">
        <v>1576</v>
      </c>
      <c r="Q77" s="54"/>
      <c r="R77" s="84"/>
      <c r="S77" s="84"/>
      <c r="T77" s="54" t="s">
        <v>122</v>
      </c>
      <c r="U77" s="86"/>
      <c r="V77" s="54"/>
      <c r="W77" s="86"/>
      <c r="X77" s="54"/>
      <c r="Y77" s="78"/>
      <c r="Z77" s="54"/>
      <c r="AA77" s="70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54" t="s">
        <v>167</v>
      </c>
      <c r="AR77" s="83" t="s">
        <v>1577</v>
      </c>
      <c r="AS77" s="83" t="s">
        <v>1578</v>
      </c>
      <c r="AT77" s="93"/>
      <c r="AU77" s="93" t="s">
        <v>1573</v>
      </c>
      <c r="AV77" s="93" t="s">
        <v>1573</v>
      </c>
      <c r="AW77" s="83" t="s">
        <v>1579</v>
      </c>
      <c r="AX77" s="83">
        <v>2.0</v>
      </c>
      <c r="AY77" s="83">
        <v>1.0</v>
      </c>
      <c r="AZ77" s="83" t="s">
        <v>1580</v>
      </c>
      <c r="BA77" s="83" t="s">
        <v>1581</v>
      </c>
      <c r="BB77" s="83" t="s">
        <v>1582</v>
      </c>
      <c r="BC77" s="54" t="s">
        <v>27</v>
      </c>
      <c r="BD77" s="54" t="str">
        <f t="shared" si="1"/>
        <v>Arequipa</v>
      </c>
      <c r="BE77" s="54" t="s">
        <v>140</v>
      </c>
      <c r="BF77" s="95" t="s">
        <v>144</v>
      </c>
      <c r="BG77" s="95" t="s">
        <v>142</v>
      </c>
      <c r="BH77" s="54"/>
      <c r="BI77" s="67"/>
      <c r="BJ77" s="67"/>
      <c r="BK77" s="54"/>
      <c r="BL77" s="54" t="s">
        <v>145</v>
      </c>
      <c r="BM77" s="54" t="s">
        <v>146</v>
      </c>
      <c r="BN77" s="104">
        <v>170.0</v>
      </c>
      <c r="BO77" s="83" t="s">
        <v>148</v>
      </c>
      <c r="BP77" s="54" t="s">
        <v>144</v>
      </c>
      <c r="BQ77" s="70" t="s">
        <v>141</v>
      </c>
      <c r="BR77" s="67">
        <v>2.0</v>
      </c>
      <c r="BS77" s="83">
        <v>1.0</v>
      </c>
      <c r="BT77" s="83"/>
      <c r="BU77" s="109">
        <f t="shared" si="2"/>
        <v>46191</v>
      </c>
      <c r="BV77" s="109" t="str">
        <f t="shared" si="3"/>
        <v/>
      </c>
      <c r="BW77" s="83" t="str">
        <f t="shared" si="4"/>
        <v/>
      </c>
      <c r="BX77" s="106"/>
      <c r="BY77" s="107"/>
      <c r="BZ77" s="113">
        <f t="shared" si="5"/>
        <v>0</v>
      </c>
      <c r="CA77" s="113">
        <f t="array" ref="CA77">IF($A77&lt;&gt;"",INDEX(LISTA!$M$2:$N$27,MATCH($BC77,LISTA!$N$2:$N$27,0),1),"")</f>
        <v>7</v>
      </c>
      <c r="CB77" s="54">
        <f t="shared" si="6"/>
        <v>6</v>
      </c>
      <c r="CC77" s="86" t="str">
        <f t="shared" si="7"/>
        <v/>
      </c>
    </row>
    <row r="78" ht="15.0" customHeight="1" outlineLevel="1">
      <c r="A78" s="50">
        <v>46197.64004986111</v>
      </c>
      <c r="B78" s="53" t="s">
        <v>1591</v>
      </c>
      <c r="C78" s="54" t="s">
        <v>100</v>
      </c>
      <c r="D78" s="56" t="s">
        <v>101</v>
      </c>
      <c r="E78" s="57">
        <v>46201.375</v>
      </c>
      <c r="F78" s="54" t="s">
        <v>1593</v>
      </c>
      <c r="G78" s="60" t="s">
        <v>1594</v>
      </c>
      <c r="H78" s="63" t="s">
        <v>1595</v>
      </c>
      <c r="I78" s="67" t="s">
        <v>355</v>
      </c>
      <c r="J78" s="70" t="s">
        <v>1597</v>
      </c>
      <c r="K78" s="54" t="s">
        <v>109</v>
      </c>
      <c r="L78" s="70" t="s">
        <v>1599</v>
      </c>
      <c r="M78" s="77" t="s">
        <v>1601</v>
      </c>
      <c r="N78" s="78">
        <v>28755.0</v>
      </c>
      <c r="O78" s="80" t="s">
        <v>41</v>
      </c>
      <c r="P78" s="70" t="s">
        <v>1602</v>
      </c>
      <c r="Q78" s="54"/>
      <c r="R78" s="84"/>
      <c r="S78" s="84"/>
      <c r="T78" s="54"/>
      <c r="U78" s="86"/>
      <c r="V78" s="54"/>
      <c r="W78" s="86"/>
      <c r="X78" s="54"/>
      <c r="Y78" s="78"/>
      <c r="Z78" s="54"/>
      <c r="AA78" s="70"/>
      <c r="AB78" s="83"/>
      <c r="AC78" s="83"/>
      <c r="AD78" s="83"/>
      <c r="AE78" s="83"/>
      <c r="AF78" s="83" t="s">
        <v>1603</v>
      </c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54" t="s">
        <v>432</v>
      </c>
      <c r="AR78" s="83" t="s">
        <v>1604</v>
      </c>
      <c r="AS78" s="83" t="s">
        <v>1605</v>
      </c>
      <c r="AT78" s="93"/>
      <c r="AU78" s="93" t="s">
        <v>1597</v>
      </c>
      <c r="AV78" s="93" t="s">
        <v>1597</v>
      </c>
      <c r="AW78" s="83" t="s">
        <v>1606</v>
      </c>
      <c r="AX78" s="83">
        <v>2.0</v>
      </c>
      <c r="AY78" s="83">
        <v>202.0</v>
      </c>
      <c r="AZ78" s="83" t="s">
        <v>1607</v>
      </c>
      <c r="BA78" s="83" t="s">
        <v>1608</v>
      </c>
      <c r="BB78" s="83" t="s">
        <v>1609</v>
      </c>
      <c r="BC78" s="54" t="s">
        <v>41</v>
      </c>
      <c r="BD78" s="54" t="str">
        <f t="shared" si="1"/>
        <v>Santa Anita</v>
      </c>
      <c r="BE78" s="54" t="s">
        <v>143</v>
      </c>
      <c r="BF78" s="95" t="s">
        <v>141</v>
      </c>
      <c r="BG78" s="95" t="s">
        <v>142</v>
      </c>
      <c r="BH78" s="54"/>
      <c r="BI78" s="67"/>
      <c r="BJ78" s="67"/>
      <c r="BK78" s="54"/>
      <c r="BL78" s="54" t="s">
        <v>147</v>
      </c>
      <c r="BM78" s="54" t="s">
        <v>247</v>
      </c>
      <c r="BN78" s="104">
        <v>89.0</v>
      </c>
      <c r="BO78" s="83" t="s">
        <v>148</v>
      </c>
      <c r="BP78" s="54" t="s">
        <v>141</v>
      </c>
      <c r="BQ78" s="70" t="s">
        <v>141</v>
      </c>
      <c r="BR78" s="67" t="s">
        <v>149</v>
      </c>
      <c r="BS78" s="83" t="s">
        <v>149</v>
      </c>
      <c r="BT78" s="83"/>
      <c r="BU78" s="109">
        <f t="shared" si="2"/>
        <v>46197</v>
      </c>
      <c r="BV78" s="109">
        <f t="shared" si="3"/>
        <v>46201</v>
      </c>
      <c r="BW78" s="83" t="str">
        <f t="shared" si="4"/>
        <v>09</v>
      </c>
      <c r="BX78" s="106"/>
      <c r="BY78" s="107"/>
      <c r="BZ78" s="113">
        <f t="shared" si="5"/>
        <v>0</v>
      </c>
      <c r="CA78" s="113">
        <f t="array" ref="CA78">IF($A78&lt;&gt;"",INDEX(LISTA!$M$2:$N$27,MATCH($BC78,LISTA!$N$2:$N$27,0),1),"")</f>
        <v>1</v>
      </c>
      <c r="CB78" s="54">
        <f t="shared" si="6"/>
        <v>6</v>
      </c>
      <c r="CC78" s="86" t="str">
        <f t="shared" si="7"/>
        <v/>
      </c>
    </row>
    <row r="79" ht="15.0" customHeight="1" outlineLevel="1">
      <c r="A79" s="50">
        <v>46188.667395729164</v>
      </c>
      <c r="B79" s="53" t="s">
        <v>1610</v>
      </c>
      <c r="C79" s="54" t="s">
        <v>100</v>
      </c>
      <c r="D79" s="56"/>
      <c r="E79" s="57"/>
      <c r="F79" s="54" t="s">
        <v>1583</v>
      </c>
      <c r="G79" s="60"/>
      <c r="H79" s="63"/>
      <c r="I79" s="67" t="s">
        <v>365</v>
      </c>
      <c r="J79" s="70" t="s">
        <v>1584</v>
      </c>
      <c r="K79" s="54" t="s">
        <v>1117</v>
      </c>
      <c r="L79" s="70" t="s">
        <v>1585</v>
      </c>
      <c r="M79" s="77" t="s">
        <v>1586</v>
      </c>
      <c r="N79" s="78">
        <v>36054.0</v>
      </c>
      <c r="O79" s="80" t="s">
        <v>1120</v>
      </c>
      <c r="P79" s="70" t="s">
        <v>1587</v>
      </c>
      <c r="Q79" s="54"/>
      <c r="R79" s="84"/>
      <c r="S79" s="84"/>
      <c r="T79" s="54"/>
      <c r="U79" s="86"/>
      <c r="V79" s="54"/>
      <c r="W79" s="86"/>
      <c r="X79" s="54"/>
      <c r="Y79" s="78"/>
      <c r="Z79" s="54"/>
      <c r="AA79" s="70"/>
      <c r="AB79" s="83"/>
      <c r="AC79" s="83"/>
      <c r="AD79" s="83"/>
      <c r="AE79" s="83"/>
      <c r="AF79" s="83" t="s">
        <v>577</v>
      </c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54" t="s">
        <v>1588</v>
      </c>
      <c r="AR79" s="83" t="s">
        <v>1589</v>
      </c>
      <c r="AS79" s="83" t="s">
        <v>1590</v>
      </c>
      <c r="AT79" s="93"/>
      <c r="AU79" s="93" t="s">
        <v>1584</v>
      </c>
      <c r="AV79" s="93" t="s">
        <v>1584</v>
      </c>
      <c r="AW79" s="83" t="s">
        <v>1592</v>
      </c>
      <c r="AX79" s="83">
        <v>2.0</v>
      </c>
      <c r="AY79" s="83">
        <v>1.0</v>
      </c>
      <c r="AZ79" s="83" t="s">
        <v>1596</v>
      </c>
      <c r="BA79" s="83" t="s">
        <v>1598</v>
      </c>
      <c r="BB79" s="83" t="s">
        <v>1600</v>
      </c>
      <c r="BC79" s="54" t="s">
        <v>41</v>
      </c>
      <c r="BD79" s="54" t="str">
        <f t="shared" si="1"/>
        <v>Rimac</v>
      </c>
      <c r="BE79" s="54" t="s">
        <v>140</v>
      </c>
      <c r="BF79" s="95" t="s">
        <v>141</v>
      </c>
      <c r="BG79" s="95" t="s">
        <v>142</v>
      </c>
      <c r="BH79" s="54"/>
      <c r="BI79" s="67"/>
      <c r="BJ79" s="67"/>
      <c r="BK79" s="54"/>
      <c r="BL79" s="54" t="s">
        <v>213</v>
      </c>
      <c r="BM79" s="54" t="s">
        <v>214</v>
      </c>
      <c r="BN79" s="104">
        <v>110.0</v>
      </c>
      <c r="BO79" s="83" t="s">
        <v>182</v>
      </c>
      <c r="BP79" s="54" t="s">
        <v>144</v>
      </c>
      <c r="BQ79" s="70" t="s">
        <v>141</v>
      </c>
      <c r="BR79" s="67" t="s">
        <v>149</v>
      </c>
      <c r="BS79" s="83">
        <v>1.0</v>
      </c>
      <c r="BT79" s="83"/>
      <c r="BU79" s="109">
        <f t="shared" si="2"/>
        <v>46188</v>
      </c>
      <c r="BV79" s="109" t="str">
        <f t="shared" si="3"/>
        <v/>
      </c>
      <c r="BW79" s="83" t="str">
        <f t="shared" si="4"/>
        <v/>
      </c>
      <c r="BX79" s="106"/>
      <c r="BY79" s="107"/>
      <c r="BZ79" s="113">
        <f t="shared" si="5"/>
        <v>0</v>
      </c>
      <c r="CA79" s="113">
        <f t="array" ref="CA79">IF($A79&lt;&gt;"",INDEX(LISTA!$M$2:$N$27,MATCH($BC79,LISTA!$N$2:$N$27,0),1),"")</f>
        <v>1</v>
      </c>
      <c r="CB79" s="54">
        <f t="shared" si="6"/>
        <v>6</v>
      </c>
      <c r="CC79" s="86" t="str">
        <f t="shared" si="7"/>
        <v/>
      </c>
    </row>
    <row r="80" ht="15.0" customHeight="1" outlineLevel="1">
      <c r="A80" s="50">
        <v>46203.60131333333</v>
      </c>
      <c r="B80" s="53" t="s">
        <v>1610</v>
      </c>
      <c r="C80" s="54" t="s">
        <v>100</v>
      </c>
      <c r="D80" s="56"/>
      <c r="E80" s="57"/>
      <c r="F80" s="54"/>
      <c r="G80" s="60"/>
      <c r="H80" s="63"/>
      <c r="I80" s="67" t="s">
        <v>192</v>
      </c>
      <c r="J80" s="70" t="s">
        <v>803</v>
      </c>
      <c r="K80" s="54" t="s">
        <v>109</v>
      </c>
      <c r="L80" s="70" t="s">
        <v>560</v>
      </c>
      <c r="M80" s="77" t="s">
        <v>561</v>
      </c>
      <c r="N80" s="78">
        <v>17771.0</v>
      </c>
      <c r="O80" s="80" t="s">
        <v>40</v>
      </c>
      <c r="P80" s="70" t="s">
        <v>804</v>
      </c>
      <c r="Q80" s="54"/>
      <c r="R80" s="84"/>
      <c r="S80" s="84"/>
      <c r="T80" s="54"/>
      <c r="U80" s="86"/>
      <c r="V80" s="54"/>
      <c r="W80" s="86"/>
      <c r="X80" s="54"/>
      <c r="Y80" s="78"/>
      <c r="Z80" s="54"/>
      <c r="AA80" s="70"/>
      <c r="AB80" s="83"/>
      <c r="AC80" s="83"/>
      <c r="AD80" s="83" t="s">
        <v>805</v>
      </c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54" t="s">
        <v>806</v>
      </c>
      <c r="AR80" s="83" t="s">
        <v>807</v>
      </c>
      <c r="AS80" s="83" t="s">
        <v>808</v>
      </c>
      <c r="AT80" s="93"/>
      <c r="AU80" s="93" t="s">
        <v>803</v>
      </c>
      <c r="AV80" s="93" t="s">
        <v>803</v>
      </c>
      <c r="AW80" s="83" t="s">
        <v>809</v>
      </c>
      <c r="AX80" s="83">
        <v>1.0</v>
      </c>
      <c r="AY80" s="83">
        <v>1.0</v>
      </c>
      <c r="AZ80" s="83" t="s">
        <v>810</v>
      </c>
      <c r="BA80" s="83" t="s">
        <v>811</v>
      </c>
      <c r="BB80" s="83" t="s">
        <v>812</v>
      </c>
      <c r="BC80" s="54" t="s">
        <v>40</v>
      </c>
      <c r="BD80" s="54" t="str">
        <f t="shared" si="1"/>
        <v>Chiclayo</v>
      </c>
      <c r="BE80" s="54" t="s">
        <v>140</v>
      </c>
      <c r="BF80" s="95" t="s">
        <v>141</v>
      </c>
      <c r="BG80" s="95" t="s">
        <v>142</v>
      </c>
      <c r="BH80" s="54"/>
      <c r="BI80" s="67"/>
      <c r="BJ80" s="67"/>
      <c r="BK80" s="54"/>
      <c r="BL80" s="54" t="s">
        <v>213</v>
      </c>
      <c r="BM80" s="54" t="s">
        <v>214</v>
      </c>
      <c r="BN80" s="104">
        <v>110.0</v>
      </c>
      <c r="BO80" s="83" t="s">
        <v>182</v>
      </c>
      <c r="BP80" s="54" t="s">
        <v>144</v>
      </c>
      <c r="BQ80" s="70" t="s">
        <v>141</v>
      </c>
      <c r="BR80" s="67" t="s">
        <v>149</v>
      </c>
      <c r="BS80" s="83">
        <v>1.0</v>
      </c>
      <c r="BT80" s="83"/>
      <c r="BU80" s="109">
        <f t="shared" si="2"/>
        <v>46203</v>
      </c>
      <c r="BV80" s="109" t="str">
        <f t="shared" si="3"/>
        <v/>
      </c>
      <c r="BW80" s="83" t="str">
        <f t="shared" si="4"/>
        <v/>
      </c>
      <c r="BX80" s="106"/>
      <c r="BY80" s="107"/>
      <c r="BZ80" s="113">
        <f t="shared" si="5"/>
        <v>0</v>
      </c>
      <c r="CA80" s="113">
        <f t="array" ref="CA80">IF($A80&lt;&gt;"",INDEX(LISTA!$M$2:$N$27,MATCH($BC80,LISTA!$N$2:$N$27,0),1),"")</f>
        <v>16</v>
      </c>
      <c r="CB80" s="54">
        <f t="shared" si="6"/>
        <v>6</v>
      </c>
      <c r="CC80" s="86" t="str">
        <f t="shared" si="7"/>
        <v/>
      </c>
    </row>
    <row r="81" ht="15.0" customHeight="1" outlineLevel="1">
      <c r="A81" s="50">
        <v>46186.66550831019</v>
      </c>
      <c r="B81" s="53" t="s">
        <v>1611</v>
      </c>
      <c r="C81" s="54" t="s">
        <v>100</v>
      </c>
      <c r="D81" s="56" t="s">
        <v>150</v>
      </c>
      <c r="E81" s="57">
        <v>46190.458333333336</v>
      </c>
      <c r="F81" s="54" t="s">
        <v>1383</v>
      </c>
      <c r="G81" s="60" t="s">
        <v>1384</v>
      </c>
      <c r="H81" s="63" t="s">
        <v>1385</v>
      </c>
      <c r="I81" s="67" t="s">
        <v>107</v>
      </c>
      <c r="J81" s="70" t="s">
        <v>1386</v>
      </c>
      <c r="K81" s="54" t="s">
        <v>109</v>
      </c>
      <c r="L81" s="70" t="s">
        <v>1387</v>
      </c>
      <c r="M81" s="77" t="s">
        <v>1388</v>
      </c>
      <c r="N81" s="78">
        <v>32672.0</v>
      </c>
      <c r="O81" s="80" t="s">
        <v>37</v>
      </c>
      <c r="P81" s="70" t="s">
        <v>550</v>
      </c>
      <c r="Q81" s="54"/>
      <c r="R81" s="84"/>
      <c r="S81" s="84"/>
      <c r="T81" s="54"/>
      <c r="U81" s="86"/>
      <c r="V81" s="54"/>
      <c r="W81" s="86"/>
      <c r="X81" s="54"/>
      <c r="Y81" s="78"/>
      <c r="Z81" s="54"/>
      <c r="AA81" s="70"/>
      <c r="AB81" s="83"/>
      <c r="AC81" s="83"/>
      <c r="AD81" s="83"/>
      <c r="AE81" s="83"/>
      <c r="AF81" s="83" t="s">
        <v>1355</v>
      </c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54" t="s">
        <v>837</v>
      </c>
      <c r="AR81" s="83" t="s">
        <v>1389</v>
      </c>
      <c r="AS81" s="83" t="s">
        <v>1390</v>
      </c>
      <c r="AT81" s="93"/>
      <c r="AU81" s="93" t="s">
        <v>1386</v>
      </c>
      <c r="AV81" s="93" t="s">
        <v>1386</v>
      </c>
      <c r="AW81" s="83" t="s">
        <v>1391</v>
      </c>
      <c r="AX81" s="83">
        <v>3.0</v>
      </c>
      <c r="AY81" s="83">
        <v>1.0</v>
      </c>
      <c r="AZ81" s="83" t="s">
        <v>1392</v>
      </c>
      <c r="BA81" s="83" t="s">
        <v>1393</v>
      </c>
      <c r="BB81" s="83" t="s">
        <v>1394</v>
      </c>
      <c r="BC81" s="54" t="s">
        <v>41</v>
      </c>
      <c r="BD81" s="54" t="str">
        <f t="shared" si="1"/>
        <v>Villa María del Triunfo</v>
      </c>
      <c r="BE81" s="54" t="s">
        <v>140</v>
      </c>
      <c r="BF81" s="95" t="s">
        <v>144</v>
      </c>
      <c r="BG81" s="95" t="s">
        <v>142</v>
      </c>
      <c r="BH81" s="54"/>
      <c r="BI81" s="67"/>
      <c r="BJ81" s="67"/>
      <c r="BK81" s="54"/>
      <c r="BL81" s="54" t="s">
        <v>147</v>
      </c>
      <c r="BM81" s="54" t="s">
        <v>146</v>
      </c>
      <c r="BN81" s="104">
        <v>89.0</v>
      </c>
      <c r="BO81" s="83" t="s">
        <v>148</v>
      </c>
      <c r="BP81" s="54" t="s">
        <v>141</v>
      </c>
      <c r="BQ81" s="70" t="s">
        <v>141</v>
      </c>
      <c r="BR81" s="67" t="s">
        <v>149</v>
      </c>
      <c r="BS81" s="83">
        <v>1.0</v>
      </c>
      <c r="BT81" s="83"/>
      <c r="BU81" s="109">
        <f t="shared" si="2"/>
        <v>46186</v>
      </c>
      <c r="BV81" s="109">
        <f t="shared" si="3"/>
        <v>46190</v>
      </c>
      <c r="BW81" s="83" t="str">
        <f t="shared" si="4"/>
        <v>11</v>
      </c>
      <c r="BX81" s="106"/>
      <c r="BY81" s="107"/>
      <c r="BZ81" s="113">
        <f t="shared" si="5"/>
        <v>0</v>
      </c>
      <c r="CA81" s="113">
        <f t="array" ref="CA81">IF($A81&lt;&gt;"",INDEX(LISTA!$M$2:$N$27,MATCH($BC81,LISTA!$N$2:$N$27,0),1),"")</f>
        <v>1</v>
      </c>
      <c r="CB81" s="54">
        <f t="shared" si="6"/>
        <v>6</v>
      </c>
      <c r="CC81" s="86" t="str">
        <f t="shared" si="7"/>
        <v/>
      </c>
    </row>
    <row r="82" ht="15.0" customHeight="1" outlineLevel="1">
      <c r="A82" s="50">
        <v>46190.791989571764</v>
      </c>
      <c r="B82" s="53" t="s">
        <v>1611</v>
      </c>
      <c r="C82" s="54" t="s">
        <v>100</v>
      </c>
      <c r="D82" s="56" t="s">
        <v>101</v>
      </c>
      <c r="E82" s="57">
        <v>46192.583333333336</v>
      </c>
      <c r="F82" s="54" t="s">
        <v>1395</v>
      </c>
      <c r="G82" s="60" t="s">
        <v>1396</v>
      </c>
      <c r="H82" s="63" t="s">
        <v>1397</v>
      </c>
      <c r="I82" s="67" t="s">
        <v>107</v>
      </c>
      <c r="J82" s="70" t="s">
        <v>1398</v>
      </c>
      <c r="K82" s="54" t="s">
        <v>109</v>
      </c>
      <c r="L82" s="70" t="s">
        <v>1399</v>
      </c>
      <c r="M82" s="77" t="s">
        <v>1400</v>
      </c>
      <c r="N82" s="78">
        <v>20595.0</v>
      </c>
      <c r="O82" s="80" t="s">
        <v>39</v>
      </c>
      <c r="P82" s="70" t="s">
        <v>1401</v>
      </c>
      <c r="Q82" s="54"/>
      <c r="R82" s="84" t="s">
        <v>1284</v>
      </c>
      <c r="S82" s="84"/>
      <c r="T82" s="54"/>
      <c r="U82" s="86"/>
      <c r="V82" s="54"/>
      <c r="W82" s="86"/>
      <c r="X82" s="54"/>
      <c r="Y82" s="78"/>
      <c r="Z82" s="54"/>
      <c r="AA82" s="70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54" t="s">
        <v>315</v>
      </c>
      <c r="AR82" s="83" t="s">
        <v>1402</v>
      </c>
      <c r="AS82" s="83" t="s">
        <v>1403</v>
      </c>
      <c r="AT82" s="93"/>
      <c r="AU82" s="93" t="s">
        <v>1398</v>
      </c>
      <c r="AV82" s="93" t="s">
        <v>1398</v>
      </c>
      <c r="AW82" s="83" t="s">
        <v>1404</v>
      </c>
      <c r="AX82" s="83">
        <v>1.0</v>
      </c>
      <c r="AY82" s="83">
        <v>1.0</v>
      </c>
      <c r="AZ82" s="83" t="s">
        <v>1405</v>
      </c>
      <c r="BA82" s="83" t="s">
        <v>1406</v>
      </c>
      <c r="BB82" s="83" t="s">
        <v>1407</v>
      </c>
      <c r="BC82" s="54" t="s">
        <v>24</v>
      </c>
      <c r="BD82" s="54" t="str">
        <f t="shared" si="1"/>
        <v>Santa</v>
      </c>
      <c r="BE82" s="54" t="s">
        <v>140</v>
      </c>
      <c r="BF82" s="95" t="s">
        <v>141</v>
      </c>
      <c r="BG82" s="95" t="s">
        <v>142</v>
      </c>
      <c r="BH82" s="54"/>
      <c r="BI82" s="67"/>
      <c r="BJ82" s="67"/>
      <c r="BK82" s="54"/>
      <c r="BL82" s="54" t="s">
        <v>145</v>
      </c>
      <c r="BM82" s="54" t="s">
        <v>146</v>
      </c>
      <c r="BN82" s="104">
        <v>170.0</v>
      </c>
      <c r="BO82" s="83" t="s">
        <v>148</v>
      </c>
      <c r="BP82" s="54" t="s">
        <v>144</v>
      </c>
      <c r="BQ82" s="70" t="s">
        <v>141</v>
      </c>
      <c r="BR82" s="67">
        <v>2.0</v>
      </c>
      <c r="BS82" s="83">
        <v>1.0</v>
      </c>
      <c r="BT82" s="83"/>
      <c r="BU82" s="109">
        <f t="shared" si="2"/>
        <v>46190</v>
      </c>
      <c r="BV82" s="109">
        <f t="shared" si="3"/>
        <v>46192</v>
      </c>
      <c r="BW82" s="83" t="str">
        <f t="shared" si="4"/>
        <v>14</v>
      </c>
      <c r="BX82" s="106"/>
      <c r="BY82" s="107"/>
      <c r="BZ82" s="113">
        <f t="shared" si="5"/>
        <v>0</v>
      </c>
      <c r="CA82" s="113">
        <f t="array" ref="CA82">IF($A82&lt;&gt;"",INDEX(LISTA!$M$2:$N$27,MATCH($BC82,LISTA!$N$2:$N$27,0),1),"")</f>
        <v>5</v>
      </c>
      <c r="CB82" s="54">
        <f t="shared" si="6"/>
        <v>6</v>
      </c>
      <c r="CC82" s="86" t="str">
        <f t="shared" si="7"/>
        <v/>
      </c>
    </row>
    <row r="83" ht="15.0" customHeight="1" outlineLevel="1">
      <c r="A83" s="50">
        <v>46192.52587575231</v>
      </c>
      <c r="B83" s="53" t="s">
        <v>1611</v>
      </c>
      <c r="C83" s="54" t="s">
        <v>100</v>
      </c>
      <c r="D83" s="56" t="s">
        <v>150</v>
      </c>
      <c r="E83" s="57">
        <v>46193.458333333336</v>
      </c>
      <c r="F83" s="54" t="s">
        <v>1409</v>
      </c>
      <c r="G83" s="60" t="s">
        <v>1410</v>
      </c>
      <c r="H83" s="63" t="s">
        <v>1411</v>
      </c>
      <c r="I83" s="67" t="s">
        <v>192</v>
      </c>
      <c r="J83" s="70" t="s">
        <v>1412</v>
      </c>
      <c r="K83" s="54" t="s">
        <v>109</v>
      </c>
      <c r="L83" s="70" t="s">
        <v>1413</v>
      </c>
      <c r="M83" s="77" t="s">
        <v>1414</v>
      </c>
      <c r="N83" s="78">
        <v>26505.0</v>
      </c>
      <c r="O83" s="80" t="s">
        <v>37</v>
      </c>
      <c r="P83" s="70" t="s">
        <v>228</v>
      </c>
      <c r="Q83" s="54"/>
      <c r="R83" s="84"/>
      <c r="S83" s="84"/>
      <c r="T83" s="54"/>
      <c r="U83" s="86"/>
      <c r="V83" s="54"/>
      <c r="W83" s="86"/>
      <c r="X83" s="54"/>
      <c r="Y83" s="78"/>
      <c r="Z83" s="54"/>
      <c r="AA83" s="70"/>
      <c r="AB83" s="83"/>
      <c r="AC83" s="83"/>
      <c r="AD83" s="83"/>
      <c r="AE83" s="83"/>
      <c r="AF83" s="83" t="s">
        <v>1415</v>
      </c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54" t="s">
        <v>1416</v>
      </c>
      <c r="AR83" s="83" t="s">
        <v>1417</v>
      </c>
      <c r="AS83" s="83" t="s">
        <v>1418</v>
      </c>
      <c r="AT83" s="93"/>
      <c r="AU83" s="93" t="s">
        <v>1412</v>
      </c>
      <c r="AV83" s="93" t="s">
        <v>1412</v>
      </c>
      <c r="AW83" s="83" t="s">
        <v>1419</v>
      </c>
      <c r="AX83" s="83">
        <v>8.0</v>
      </c>
      <c r="AY83" s="83">
        <v>803.0</v>
      </c>
      <c r="AZ83" s="83" t="s">
        <v>1420</v>
      </c>
      <c r="BA83" s="83" t="s">
        <v>1421</v>
      </c>
      <c r="BB83" s="83" t="s">
        <v>1422</v>
      </c>
      <c r="BC83" s="54" t="s">
        <v>41</v>
      </c>
      <c r="BD83" s="54" t="str">
        <f t="shared" si="1"/>
        <v>Magdalena del Mar</v>
      </c>
      <c r="BE83" s="54" t="s">
        <v>140</v>
      </c>
      <c r="BF83" s="95" t="s">
        <v>141</v>
      </c>
      <c r="BG83" s="95" t="s">
        <v>142</v>
      </c>
      <c r="BH83" s="54"/>
      <c r="BI83" s="67"/>
      <c r="BJ83" s="67"/>
      <c r="BK83" s="54"/>
      <c r="BL83" s="54" t="s">
        <v>213</v>
      </c>
      <c r="BM83" s="54" t="s">
        <v>214</v>
      </c>
      <c r="BN83" s="104">
        <v>110.0</v>
      </c>
      <c r="BO83" s="83" t="s">
        <v>182</v>
      </c>
      <c r="BP83" s="54" t="s">
        <v>144</v>
      </c>
      <c r="BQ83" s="70" t="s">
        <v>141</v>
      </c>
      <c r="BR83" s="67" t="s">
        <v>149</v>
      </c>
      <c r="BS83" s="83">
        <v>1.0</v>
      </c>
      <c r="BT83" s="83"/>
      <c r="BU83" s="109">
        <f t="shared" si="2"/>
        <v>46192</v>
      </c>
      <c r="BV83" s="109">
        <f t="shared" si="3"/>
        <v>46193</v>
      </c>
      <c r="BW83" s="83" t="str">
        <f t="shared" si="4"/>
        <v>11</v>
      </c>
      <c r="BX83" s="106"/>
      <c r="BY83" s="107"/>
      <c r="BZ83" s="113">
        <f t="shared" si="5"/>
        <v>0</v>
      </c>
      <c r="CA83" s="113">
        <f t="array" ref="CA83">IF($A83&lt;&gt;"",INDEX(LISTA!$M$2:$N$27,MATCH($BC83,LISTA!$N$2:$N$27,0),1),"")</f>
        <v>1</v>
      </c>
      <c r="CB83" s="54">
        <f t="shared" si="6"/>
        <v>6</v>
      </c>
      <c r="CC83" s="86" t="str">
        <f t="shared" si="7"/>
        <v/>
      </c>
    </row>
    <row r="84" ht="15.0" customHeight="1" outlineLevel="1">
      <c r="A84" s="50">
        <v>46193.53983090278</v>
      </c>
      <c r="B84" s="53" t="s">
        <v>1611</v>
      </c>
      <c r="C84" s="54" t="s">
        <v>100</v>
      </c>
      <c r="D84" s="56"/>
      <c r="E84" s="57"/>
      <c r="F84" s="54" t="s">
        <v>1429</v>
      </c>
      <c r="G84" s="60"/>
      <c r="H84" s="63"/>
      <c r="I84" s="67" t="s">
        <v>403</v>
      </c>
      <c r="J84" s="70" t="s">
        <v>1430</v>
      </c>
      <c r="K84" s="54" t="s">
        <v>109</v>
      </c>
      <c r="L84" s="70" t="s">
        <v>1431</v>
      </c>
      <c r="M84" s="77" t="s">
        <v>1432</v>
      </c>
      <c r="N84" s="78">
        <v>36812.0</v>
      </c>
      <c r="O84" s="80" t="s">
        <v>37</v>
      </c>
      <c r="P84" s="70" t="s">
        <v>1193</v>
      </c>
      <c r="Q84" s="54"/>
      <c r="R84" s="84"/>
      <c r="S84" s="84"/>
      <c r="T84" s="54"/>
      <c r="U84" s="86"/>
      <c r="V84" s="54"/>
      <c r="W84" s="86"/>
      <c r="X84" s="54"/>
      <c r="Y84" s="78"/>
      <c r="Z84" s="54"/>
      <c r="AA84" s="70"/>
      <c r="AB84" s="83"/>
      <c r="AC84" s="83"/>
      <c r="AD84" s="83"/>
      <c r="AE84" s="83"/>
      <c r="AF84" s="83"/>
      <c r="AG84" s="83"/>
      <c r="AH84" s="83"/>
      <c r="AI84" s="83"/>
      <c r="AJ84" s="83"/>
      <c r="AK84" s="83" t="s">
        <v>199</v>
      </c>
      <c r="AL84" s="83"/>
      <c r="AM84" s="83"/>
      <c r="AN84" s="83"/>
      <c r="AO84" s="83"/>
      <c r="AP84" s="83"/>
      <c r="AQ84" s="54" t="s">
        <v>1440</v>
      </c>
      <c r="AR84" s="83" t="s">
        <v>1441</v>
      </c>
      <c r="AS84" s="83" t="s">
        <v>1442</v>
      </c>
      <c r="AT84" s="93"/>
      <c r="AU84" s="93" t="s">
        <v>1430</v>
      </c>
      <c r="AV84" s="93" t="s">
        <v>1430</v>
      </c>
      <c r="AW84" s="83" t="s">
        <v>1443</v>
      </c>
      <c r="AX84" s="83">
        <v>1.0</v>
      </c>
      <c r="AY84" s="83">
        <v>1.0</v>
      </c>
      <c r="AZ84" s="83" t="s">
        <v>1445</v>
      </c>
      <c r="BA84" s="83" t="s">
        <v>1446</v>
      </c>
      <c r="BB84" s="83" t="s">
        <v>1447</v>
      </c>
      <c r="BC84" s="54" t="s">
        <v>46</v>
      </c>
      <c r="BD84" s="54" t="str">
        <f t="shared" si="1"/>
        <v>Piura</v>
      </c>
      <c r="BE84" s="54" t="s">
        <v>140</v>
      </c>
      <c r="BF84" s="95" t="s">
        <v>141</v>
      </c>
      <c r="BG84" s="95" t="s">
        <v>142</v>
      </c>
      <c r="BH84" s="54"/>
      <c r="BI84" s="67"/>
      <c r="BJ84" s="67"/>
      <c r="BK84" s="54"/>
      <c r="BL84" s="54" t="s">
        <v>213</v>
      </c>
      <c r="BM84" s="54" t="s">
        <v>146</v>
      </c>
      <c r="BN84" s="104">
        <v>110.0</v>
      </c>
      <c r="BO84" s="83" t="s">
        <v>182</v>
      </c>
      <c r="BP84" s="54" t="s">
        <v>144</v>
      </c>
      <c r="BQ84" s="70" t="s">
        <v>141</v>
      </c>
      <c r="BR84" s="67" t="s">
        <v>149</v>
      </c>
      <c r="BS84" s="83" t="s">
        <v>149</v>
      </c>
      <c r="BT84" s="83"/>
      <c r="BU84" s="109">
        <f t="shared" si="2"/>
        <v>46193</v>
      </c>
      <c r="BV84" s="109" t="str">
        <f t="shared" si="3"/>
        <v/>
      </c>
      <c r="BW84" s="83" t="str">
        <f t="shared" si="4"/>
        <v/>
      </c>
      <c r="BX84" s="106"/>
      <c r="BY84" s="107"/>
      <c r="BZ84" s="113">
        <f t="shared" si="5"/>
        <v>0</v>
      </c>
      <c r="CA84" s="113">
        <f t="array" ref="CA84">IF($A84&lt;&gt;"",INDEX(LISTA!$M$2:$N$27,MATCH($BC84,LISTA!$N$2:$N$27,0),1),"")</f>
        <v>21</v>
      </c>
      <c r="CB84" s="54">
        <f t="shared" si="6"/>
        <v>6</v>
      </c>
      <c r="CC84" s="86" t="str">
        <f t="shared" si="7"/>
        <v/>
      </c>
    </row>
    <row r="85" ht="15.0" customHeight="1" outlineLevel="1">
      <c r="A85" s="50">
        <v>46193.7399046412</v>
      </c>
      <c r="B85" s="53" t="s">
        <v>1611</v>
      </c>
      <c r="C85" s="54" t="s">
        <v>100</v>
      </c>
      <c r="D85" s="56"/>
      <c r="E85" s="57"/>
      <c r="F85" s="54"/>
      <c r="G85" s="60"/>
      <c r="H85" s="63"/>
      <c r="I85" s="67" t="s">
        <v>365</v>
      </c>
      <c r="J85" s="70" t="s">
        <v>1645</v>
      </c>
      <c r="K85" s="54" t="s">
        <v>109</v>
      </c>
      <c r="L85" s="70" t="s">
        <v>1456</v>
      </c>
      <c r="M85" s="77" t="s">
        <v>1457</v>
      </c>
      <c r="N85" s="78">
        <v>30538.0</v>
      </c>
      <c r="O85" s="80" t="s">
        <v>37</v>
      </c>
      <c r="P85" s="70" t="s">
        <v>550</v>
      </c>
      <c r="Q85" s="54"/>
      <c r="R85" s="84"/>
      <c r="S85" s="84"/>
      <c r="T85" s="54"/>
      <c r="U85" s="86"/>
      <c r="V85" s="54"/>
      <c r="W85" s="86"/>
      <c r="X85" s="54"/>
      <c r="Y85" s="78"/>
      <c r="Z85" s="54"/>
      <c r="AA85" s="70"/>
      <c r="AB85" s="83"/>
      <c r="AC85" s="83"/>
      <c r="AD85" s="83"/>
      <c r="AE85" s="83"/>
      <c r="AF85" s="83" t="s">
        <v>972</v>
      </c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54" t="s">
        <v>1466</v>
      </c>
      <c r="AR85" s="83" t="s">
        <v>1467</v>
      </c>
      <c r="AS85" s="83" t="s">
        <v>1468</v>
      </c>
      <c r="AT85" s="93"/>
      <c r="AU85" s="93" t="s">
        <v>1455</v>
      </c>
      <c r="AV85" s="93" t="s">
        <v>1455</v>
      </c>
      <c r="AW85" s="83" t="s">
        <v>1469</v>
      </c>
      <c r="AX85" s="83">
        <v>2.0</v>
      </c>
      <c r="AY85" s="83">
        <v>1.0</v>
      </c>
      <c r="AZ85" s="83" t="s">
        <v>1470</v>
      </c>
      <c r="BA85" s="83" t="s">
        <v>1471</v>
      </c>
      <c r="BB85" s="83" t="s">
        <v>1472</v>
      </c>
      <c r="BC85" s="54" t="s">
        <v>41</v>
      </c>
      <c r="BD85" s="54" t="str">
        <f t="shared" si="1"/>
        <v>San Juan de Lurigancho</v>
      </c>
      <c r="BE85" s="54" t="s">
        <v>140</v>
      </c>
      <c r="BF85" s="95" t="s">
        <v>141</v>
      </c>
      <c r="BG85" s="95" t="s">
        <v>142</v>
      </c>
      <c r="BH85" s="54"/>
      <c r="BI85" s="67"/>
      <c r="BJ85" s="67"/>
      <c r="BK85" s="54"/>
      <c r="BL85" s="54" t="s">
        <v>145</v>
      </c>
      <c r="BM85" s="54" t="s">
        <v>146</v>
      </c>
      <c r="BN85" s="104">
        <v>170.0</v>
      </c>
      <c r="BO85" s="83" t="s">
        <v>148</v>
      </c>
      <c r="BP85" s="54" t="s">
        <v>144</v>
      </c>
      <c r="BQ85" s="70" t="s">
        <v>141</v>
      </c>
      <c r="BR85" s="67">
        <v>2.0</v>
      </c>
      <c r="BS85" s="83">
        <v>1.0</v>
      </c>
      <c r="BT85" s="83"/>
      <c r="BU85" s="109">
        <f t="shared" si="2"/>
        <v>46193</v>
      </c>
      <c r="BV85" s="109" t="str">
        <f t="shared" si="3"/>
        <v/>
      </c>
      <c r="BW85" s="83" t="str">
        <f t="shared" si="4"/>
        <v/>
      </c>
      <c r="BX85" s="106"/>
      <c r="BY85" s="107"/>
      <c r="BZ85" s="113">
        <f t="shared" si="5"/>
        <v>0</v>
      </c>
      <c r="CA85" s="113">
        <f t="array" ref="CA85">IF($A85&lt;&gt;"",INDEX(LISTA!$M$2:$N$27,MATCH($BC85,LISTA!$N$2:$N$27,0),1),"")</f>
        <v>1</v>
      </c>
      <c r="CB85" s="54">
        <f t="shared" si="6"/>
        <v>6</v>
      </c>
      <c r="CC85" s="86" t="str">
        <f t="shared" si="7"/>
        <v/>
      </c>
    </row>
    <row r="86" ht="15.0" customHeight="1" outlineLevel="1">
      <c r="A86" s="50">
        <v>46196.36164209491</v>
      </c>
      <c r="B86" s="53" t="s">
        <v>1611</v>
      </c>
      <c r="C86" s="54" t="s">
        <v>100</v>
      </c>
      <c r="D86" s="56" t="s">
        <v>101</v>
      </c>
      <c r="E86" s="57"/>
      <c r="F86" s="54" t="s">
        <v>1479</v>
      </c>
      <c r="G86" s="60"/>
      <c r="H86" s="63"/>
      <c r="I86" s="67" t="s">
        <v>192</v>
      </c>
      <c r="J86" s="70" t="s">
        <v>1480</v>
      </c>
      <c r="K86" s="54" t="s">
        <v>109</v>
      </c>
      <c r="L86" s="70" t="s">
        <v>1481</v>
      </c>
      <c r="M86" s="77" t="s">
        <v>1482</v>
      </c>
      <c r="N86" s="78">
        <v>23815.0</v>
      </c>
      <c r="O86" s="80" t="s">
        <v>1120</v>
      </c>
      <c r="P86" s="70" t="s">
        <v>1483</v>
      </c>
      <c r="Q86" s="54"/>
      <c r="R86" s="84"/>
      <c r="S86" s="84"/>
      <c r="T86" s="54"/>
      <c r="U86" s="86"/>
      <c r="V86" s="54"/>
      <c r="W86" s="86"/>
      <c r="X86" s="54"/>
      <c r="Y86" s="78"/>
      <c r="Z86" s="54"/>
      <c r="AA86" s="70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 t="s">
        <v>866</v>
      </c>
      <c r="AO86" s="83"/>
      <c r="AP86" s="83"/>
      <c r="AQ86" s="54" t="s">
        <v>374</v>
      </c>
      <c r="AR86" s="83" t="s">
        <v>125</v>
      </c>
      <c r="AS86" s="83" t="s">
        <v>1490</v>
      </c>
      <c r="AT86" s="93"/>
      <c r="AU86" s="93" t="s">
        <v>1480</v>
      </c>
      <c r="AV86" s="93" t="s">
        <v>1480</v>
      </c>
      <c r="AW86" s="83" t="s">
        <v>1491</v>
      </c>
      <c r="AX86" s="83">
        <v>2.0</v>
      </c>
      <c r="AY86" s="83" t="s">
        <v>238</v>
      </c>
      <c r="AZ86" s="83" t="s">
        <v>1492</v>
      </c>
      <c r="BA86" s="83" t="s">
        <v>1493</v>
      </c>
      <c r="BB86" s="83" t="s">
        <v>1494</v>
      </c>
      <c r="BC86" s="54" t="s">
        <v>50</v>
      </c>
      <c r="BD86" s="54" t="str">
        <f t="shared" si="1"/>
        <v>Tacna</v>
      </c>
      <c r="BE86" s="54" t="s">
        <v>140</v>
      </c>
      <c r="BF86" s="95" t="s">
        <v>141</v>
      </c>
      <c r="BG86" s="95" t="s">
        <v>142</v>
      </c>
      <c r="BH86" s="54"/>
      <c r="BI86" s="67"/>
      <c r="BJ86" s="67"/>
      <c r="BK86" s="54"/>
      <c r="BL86" s="54" t="s">
        <v>213</v>
      </c>
      <c r="BM86" s="54" t="s">
        <v>214</v>
      </c>
      <c r="BN86" s="104">
        <v>110.0</v>
      </c>
      <c r="BO86" s="83" t="s">
        <v>182</v>
      </c>
      <c r="BP86" s="54" t="s">
        <v>141</v>
      </c>
      <c r="BQ86" s="70" t="s">
        <v>141</v>
      </c>
      <c r="BR86" s="67" t="s">
        <v>149</v>
      </c>
      <c r="BS86" s="83">
        <v>1.0</v>
      </c>
      <c r="BT86" s="83"/>
      <c r="BU86" s="109">
        <f t="shared" si="2"/>
        <v>46196</v>
      </c>
      <c r="BV86" s="109" t="str">
        <f t="shared" si="3"/>
        <v/>
      </c>
      <c r="BW86" s="83" t="str">
        <f t="shared" si="4"/>
        <v/>
      </c>
      <c r="BX86" s="106"/>
      <c r="BY86" s="107"/>
      <c r="BZ86" s="113">
        <f t="shared" si="5"/>
        <v>0</v>
      </c>
      <c r="CA86" s="113">
        <f t="array" ref="CA86">IF($A86&lt;&gt;"",INDEX(LISTA!$M$2:$N$27,MATCH($BC86,LISTA!$N$2:$N$27,0),1),"")</f>
        <v>24</v>
      </c>
      <c r="CB86" s="54">
        <f t="shared" si="6"/>
        <v>6</v>
      </c>
      <c r="CC86" s="86" t="str">
        <f t="shared" si="7"/>
        <v/>
      </c>
    </row>
    <row r="87" ht="15.0" customHeight="1" outlineLevel="1">
      <c r="A87" s="50">
        <v>46198.490504444446</v>
      </c>
      <c r="B87" s="53" t="s">
        <v>1611</v>
      </c>
      <c r="C87" s="54" t="s">
        <v>100</v>
      </c>
      <c r="D87" s="56"/>
      <c r="E87" s="57"/>
      <c r="F87" s="54" t="s">
        <v>1500</v>
      </c>
      <c r="G87" s="60"/>
      <c r="H87" s="63"/>
      <c r="I87" s="67" t="s">
        <v>360</v>
      </c>
      <c r="J87" s="70" t="s">
        <v>1501</v>
      </c>
      <c r="K87" s="54" t="s">
        <v>109</v>
      </c>
      <c r="L87" s="70" t="s">
        <v>1502</v>
      </c>
      <c r="M87" s="77" t="s">
        <v>1503</v>
      </c>
      <c r="N87" s="78">
        <v>26690.0</v>
      </c>
      <c r="O87" s="80" t="s">
        <v>37</v>
      </c>
      <c r="P87" s="70" t="s">
        <v>550</v>
      </c>
      <c r="Q87" s="54"/>
      <c r="R87" s="84"/>
      <c r="S87" s="84"/>
      <c r="T87" s="54" t="s">
        <v>122</v>
      </c>
      <c r="U87" s="86"/>
      <c r="V87" s="54"/>
      <c r="W87" s="86"/>
      <c r="X87" s="54"/>
      <c r="Y87" s="78"/>
      <c r="Z87" s="54"/>
      <c r="AA87" s="70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54" t="s">
        <v>1510</v>
      </c>
      <c r="AR87" s="83" t="s">
        <v>1511</v>
      </c>
      <c r="AS87" s="83" t="s">
        <v>1512</v>
      </c>
      <c r="AT87" s="93"/>
      <c r="AU87" s="93" t="s">
        <v>1501</v>
      </c>
      <c r="AV87" s="93" t="s">
        <v>1501</v>
      </c>
      <c r="AW87" s="83" t="s">
        <v>1513</v>
      </c>
      <c r="AX87" s="83">
        <v>2.0</v>
      </c>
      <c r="AY87" s="83">
        <v>203.0</v>
      </c>
      <c r="AZ87" s="83" t="s">
        <v>1514</v>
      </c>
      <c r="BA87" s="83" t="s">
        <v>1515</v>
      </c>
      <c r="BB87" s="83" t="s">
        <v>1516</v>
      </c>
      <c r="BC87" s="54" t="s">
        <v>27</v>
      </c>
      <c r="BD87" s="54" t="str">
        <f t="shared" si="1"/>
        <v>Arequipa</v>
      </c>
      <c r="BE87" s="54" t="s">
        <v>140</v>
      </c>
      <c r="BF87" s="95" t="s">
        <v>144</v>
      </c>
      <c r="BG87" s="95" t="s">
        <v>142</v>
      </c>
      <c r="BH87" s="54"/>
      <c r="BI87" s="67"/>
      <c r="BJ87" s="67"/>
      <c r="BK87" s="54"/>
      <c r="BL87" s="54" t="s">
        <v>147</v>
      </c>
      <c r="BM87" s="54" t="s">
        <v>247</v>
      </c>
      <c r="BN87" s="104">
        <v>89.0</v>
      </c>
      <c r="BO87" s="83" t="s">
        <v>148</v>
      </c>
      <c r="BP87" s="54" t="s">
        <v>144</v>
      </c>
      <c r="BQ87" s="70" t="s">
        <v>141</v>
      </c>
      <c r="BR87" s="67" t="s">
        <v>149</v>
      </c>
      <c r="BS87" s="83" t="s">
        <v>149</v>
      </c>
      <c r="BT87" s="83"/>
      <c r="BU87" s="109">
        <f t="shared" si="2"/>
        <v>46198</v>
      </c>
      <c r="BV87" s="109" t="str">
        <f t="shared" si="3"/>
        <v/>
      </c>
      <c r="BW87" s="83" t="str">
        <f t="shared" si="4"/>
        <v/>
      </c>
      <c r="BX87" s="106"/>
      <c r="BY87" s="107"/>
      <c r="BZ87" s="113">
        <f t="shared" si="5"/>
        <v>0</v>
      </c>
      <c r="CA87" s="113">
        <f t="array" ref="CA87">IF($A87&lt;&gt;"",INDEX(LISTA!$M$2:$N$27,MATCH($BC87,LISTA!$N$2:$N$27,0),1),"")</f>
        <v>7</v>
      </c>
      <c r="CB87" s="54">
        <f t="shared" si="6"/>
        <v>6</v>
      </c>
      <c r="CC87" s="86" t="str">
        <f t="shared" si="7"/>
        <v/>
      </c>
    </row>
    <row r="88" ht="15.0" customHeight="1" outlineLevel="1">
      <c r="A88" s="50">
        <v>46200.719793553246</v>
      </c>
      <c r="B88" s="53" t="s">
        <v>1611</v>
      </c>
      <c r="C88" s="54" t="s">
        <v>100</v>
      </c>
      <c r="D88" s="56" t="s">
        <v>101</v>
      </c>
      <c r="E88" s="57">
        <v>46202.666666666664</v>
      </c>
      <c r="F88" s="54" t="s">
        <v>1522</v>
      </c>
      <c r="G88" s="60" t="s">
        <v>1523</v>
      </c>
      <c r="H88" s="63" t="s">
        <v>1524</v>
      </c>
      <c r="I88" s="67" t="s">
        <v>192</v>
      </c>
      <c r="J88" s="70" t="s">
        <v>1525</v>
      </c>
      <c r="K88" s="54" t="s">
        <v>109</v>
      </c>
      <c r="L88" s="70" t="s">
        <v>1526</v>
      </c>
      <c r="M88" s="77" t="s">
        <v>1527</v>
      </c>
      <c r="N88" s="78">
        <v>27638.0</v>
      </c>
      <c r="O88" s="80" t="s">
        <v>33</v>
      </c>
      <c r="P88" s="70" t="s">
        <v>1103</v>
      </c>
      <c r="Q88" s="54"/>
      <c r="R88" s="84"/>
      <c r="S88" s="84"/>
      <c r="T88" s="54"/>
      <c r="U88" s="86"/>
      <c r="V88" s="54"/>
      <c r="W88" s="86"/>
      <c r="X88" s="54"/>
      <c r="Y88" s="78"/>
      <c r="Z88" s="54"/>
      <c r="AA88" s="70"/>
      <c r="AB88" s="83"/>
      <c r="AC88" s="83"/>
      <c r="AD88" s="83"/>
      <c r="AE88" s="83"/>
      <c r="AF88" s="83" t="s">
        <v>691</v>
      </c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54" t="s">
        <v>1241</v>
      </c>
      <c r="AR88" s="83" t="s">
        <v>1535</v>
      </c>
      <c r="AS88" s="83" t="s">
        <v>1536</v>
      </c>
      <c r="AT88" s="93"/>
      <c r="AU88" s="93" t="s">
        <v>1537</v>
      </c>
      <c r="AV88" s="93" t="s">
        <v>1537</v>
      </c>
      <c r="AW88" s="83" t="s">
        <v>1538</v>
      </c>
      <c r="AX88" s="83">
        <v>2.0</v>
      </c>
      <c r="AY88" s="83" t="s">
        <v>238</v>
      </c>
      <c r="AZ88" s="83" t="s">
        <v>1539</v>
      </c>
      <c r="BA88" s="83" t="s">
        <v>1540</v>
      </c>
      <c r="BB88" s="83" t="s">
        <v>1541</v>
      </c>
      <c r="BC88" s="54" t="s">
        <v>41</v>
      </c>
      <c r="BD88" s="54" t="str">
        <f t="shared" si="1"/>
        <v>Comas</v>
      </c>
      <c r="BE88" s="54" t="s">
        <v>140</v>
      </c>
      <c r="BF88" s="95" t="s">
        <v>144</v>
      </c>
      <c r="BG88" s="95" t="s">
        <v>142</v>
      </c>
      <c r="BH88" s="54"/>
      <c r="BI88" s="67"/>
      <c r="BJ88" s="67"/>
      <c r="BK88" s="54"/>
      <c r="BL88" s="54" t="s">
        <v>147</v>
      </c>
      <c r="BM88" s="54" t="s">
        <v>247</v>
      </c>
      <c r="BN88" s="104">
        <v>89.0</v>
      </c>
      <c r="BO88" s="83" t="s">
        <v>148</v>
      </c>
      <c r="BP88" s="54" t="s">
        <v>141</v>
      </c>
      <c r="BQ88" s="70" t="s">
        <v>141</v>
      </c>
      <c r="BR88" s="67" t="s">
        <v>149</v>
      </c>
      <c r="BS88" s="83">
        <v>1.0</v>
      </c>
      <c r="BT88" s="83"/>
      <c r="BU88" s="109">
        <f t="shared" si="2"/>
        <v>46200</v>
      </c>
      <c r="BV88" s="109">
        <f t="shared" si="3"/>
        <v>46202</v>
      </c>
      <c r="BW88" s="83" t="str">
        <f t="shared" si="4"/>
        <v>16</v>
      </c>
      <c r="BX88" s="106"/>
      <c r="BY88" s="107"/>
      <c r="BZ88" s="113">
        <f t="shared" si="5"/>
        <v>0</v>
      </c>
      <c r="CA88" s="113">
        <f t="array" ref="CA88">IF($A88&lt;&gt;"",INDEX(LISTA!$M$2:$N$27,MATCH($BC88,LISTA!$N$2:$N$27,0),1),"")</f>
        <v>1</v>
      </c>
      <c r="CB88" s="54">
        <f t="shared" si="6"/>
        <v>6</v>
      </c>
      <c r="CC88" s="86" t="str">
        <f t="shared" si="7"/>
        <v/>
      </c>
    </row>
    <row r="89" ht="15.0" customHeight="1" outlineLevel="1">
      <c r="A89" s="50">
        <v>46197.72086140046</v>
      </c>
      <c r="B89" s="53" t="s">
        <v>1684</v>
      </c>
      <c r="C89" s="54" t="s">
        <v>100</v>
      </c>
      <c r="D89" s="56" t="s">
        <v>101</v>
      </c>
      <c r="E89" s="57"/>
      <c r="F89" s="54" t="s">
        <v>1622</v>
      </c>
      <c r="G89" s="60"/>
      <c r="H89" s="63"/>
      <c r="I89" s="67" t="s">
        <v>365</v>
      </c>
      <c r="J89" s="70" t="s">
        <v>1630</v>
      </c>
      <c r="K89" s="54" t="s">
        <v>109</v>
      </c>
      <c r="L89" s="70" t="s">
        <v>1624</v>
      </c>
      <c r="M89" s="77" t="s">
        <v>1625</v>
      </c>
      <c r="N89" s="78">
        <v>27780.0</v>
      </c>
      <c r="O89" s="80" t="s">
        <v>37</v>
      </c>
      <c r="P89" s="70" t="s">
        <v>500</v>
      </c>
      <c r="Q89" s="54"/>
      <c r="R89" s="84"/>
      <c r="S89" s="84"/>
      <c r="T89" s="54"/>
      <c r="U89" s="86"/>
      <c r="V89" s="54"/>
      <c r="W89" s="86"/>
      <c r="X89" s="54"/>
      <c r="Y89" s="78"/>
      <c r="Z89" s="54"/>
      <c r="AA89" s="70"/>
      <c r="AB89" s="83"/>
      <c r="AC89" s="83"/>
      <c r="AD89" s="83"/>
      <c r="AE89" s="83"/>
      <c r="AF89" s="83" t="s">
        <v>1626</v>
      </c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54" t="s">
        <v>1627</v>
      </c>
      <c r="AR89" s="83" t="s">
        <v>1628</v>
      </c>
      <c r="AS89" s="83" t="s">
        <v>1629</v>
      </c>
      <c r="AT89" s="83"/>
      <c r="AU89" s="93" t="s">
        <v>1630</v>
      </c>
      <c r="AV89" s="93" t="s">
        <v>1630</v>
      </c>
      <c r="AW89" s="83" t="s">
        <v>1631</v>
      </c>
      <c r="AX89" s="83">
        <v>1.0</v>
      </c>
      <c r="AY89" s="83">
        <v>1.0</v>
      </c>
      <c r="AZ89" s="83" t="s">
        <v>1632</v>
      </c>
      <c r="BA89" s="83" t="s">
        <v>1633</v>
      </c>
      <c r="BB89" s="83" t="s">
        <v>1634</v>
      </c>
      <c r="BC89" s="54" t="s">
        <v>41</v>
      </c>
      <c r="BD89" s="54" t="str">
        <f t="shared" si="1"/>
        <v>Breña</v>
      </c>
      <c r="BE89" s="54" t="s">
        <v>143</v>
      </c>
      <c r="BF89" s="95" t="s">
        <v>141</v>
      </c>
      <c r="BG89" s="95" t="s">
        <v>142</v>
      </c>
      <c r="BH89" s="54"/>
      <c r="BI89" s="67"/>
      <c r="BJ89" s="67"/>
      <c r="BK89" s="54"/>
      <c r="BL89" s="54" t="s">
        <v>145</v>
      </c>
      <c r="BM89" s="54" t="s">
        <v>146</v>
      </c>
      <c r="BN89" s="104">
        <v>170.0</v>
      </c>
      <c r="BO89" s="83" t="s">
        <v>148</v>
      </c>
      <c r="BP89" s="54" t="s">
        <v>144</v>
      </c>
      <c r="BQ89" s="70" t="s">
        <v>141</v>
      </c>
      <c r="BR89" s="67">
        <v>2.0</v>
      </c>
      <c r="BS89" s="83" t="s">
        <v>149</v>
      </c>
      <c r="BT89" s="83"/>
      <c r="BU89" s="109">
        <f t="shared" si="2"/>
        <v>46197</v>
      </c>
      <c r="BV89" s="109" t="str">
        <f t="shared" si="3"/>
        <v/>
      </c>
      <c r="BW89" s="83" t="str">
        <f t="shared" si="4"/>
        <v/>
      </c>
      <c r="BX89" s="106"/>
      <c r="BY89" s="107"/>
      <c r="BZ89" s="113">
        <f t="shared" si="5"/>
        <v>0</v>
      </c>
      <c r="CA89" s="113">
        <f t="array" ref="CA89">IF($A89&lt;&gt;"",INDEX(LISTA!$M$2:$N$27,MATCH($BC89,LISTA!$N$2:$N$27,0),1),"")</f>
        <v>1</v>
      </c>
      <c r="CB89" s="54">
        <f t="shared" si="6"/>
        <v>6</v>
      </c>
      <c r="CC89" s="86" t="str">
        <f t="shared" si="7"/>
        <v/>
      </c>
    </row>
    <row r="90" ht="15.0" customHeight="1" outlineLevel="1">
      <c r="A90" s="50">
        <v>46199.42360974537</v>
      </c>
      <c r="B90" s="53" t="s">
        <v>1684</v>
      </c>
      <c r="C90" s="54" t="s">
        <v>100</v>
      </c>
      <c r="D90" s="56" t="s">
        <v>101</v>
      </c>
      <c r="E90" s="57"/>
      <c r="F90" s="54" t="s">
        <v>1635</v>
      </c>
      <c r="G90" s="60" t="s">
        <v>1636</v>
      </c>
      <c r="H90" s="63"/>
      <c r="I90" s="67" t="s">
        <v>287</v>
      </c>
      <c r="J90" s="70" t="s">
        <v>1637</v>
      </c>
      <c r="K90" s="54" t="s">
        <v>109</v>
      </c>
      <c r="L90" s="70" t="s">
        <v>1638</v>
      </c>
      <c r="M90" s="77" t="s">
        <v>1639</v>
      </c>
      <c r="N90" s="78">
        <v>30276.0</v>
      </c>
      <c r="O90" s="80" t="s">
        <v>31</v>
      </c>
      <c r="P90" s="70" t="s">
        <v>715</v>
      </c>
      <c r="Q90" s="54"/>
      <c r="R90" s="84"/>
      <c r="S90" s="84"/>
      <c r="T90" s="54"/>
      <c r="U90" s="86"/>
      <c r="V90" s="54"/>
      <c r="W90" s="86"/>
      <c r="X90" s="54" t="s">
        <v>1012</v>
      </c>
      <c r="Y90" s="78"/>
      <c r="Z90" s="54"/>
      <c r="AA90" s="70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54" t="s">
        <v>1640</v>
      </c>
      <c r="AR90" s="83" t="s">
        <v>705</v>
      </c>
      <c r="AS90" s="83" t="s">
        <v>1641</v>
      </c>
      <c r="AT90" s="93"/>
      <c r="AU90" s="93" t="s">
        <v>1637</v>
      </c>
      <c r="AV90" s="93" t="s">
        <v>1637</v>
      </c>
      <c r="AW90" s="83" t="s">
        <v>1642</v>
      </c>
      <c r="AX90" s="83">
        <v>2.0</v>
      </c>
      <c r="AY90" s="83">
        <v>203.0</v>
      </c>
      <c r="AZ90" s="83" t="s">
        <v>1643</v>
      </c>
      <c r="BA90" s="83" t="s">
        <v>1644</v>
      </c>
      <c r="BB90" s="83" t="s">
        <v>1646</v>
      </c>
      <c r="BC90" s="54" t="s">
        <v>31</v>
      </c>
      <c r="BD90" s="54" t="str">
        <f t="shared" si="1"/>
        <v>Cusco</v>
      </c>
      <c r="BE90" s="54" t="s">
        <v>143</v>
      </c>
      <c r="BF90" s="95" t="s">
        <v>144</v>
      </c>
      <c r="BG90" s="95" t="s">
        <v>142</v>
      </c>
      <c r="BH90" s="54"/>
      <c r="BI90" s="67"/>
      <c r="BJ90" s="67"/>
      <c r="BK90" s="54"/>
      <c r="BL90" s="54" t="s">
        <v>147</v>
      </c>
      <c r="BM90" s="54" t="s">
        <v>146</v>
      </c>
      <c r="BN90" s="104">
        <v>44.0</v>
      </c>
      <c r="BO90" s="83" t="s">
        <v>1647</v>
      </c>
      <c r="BP90" s="54" t="s">
        <v>141</v>
      </c>
      <c r="BQ90" s="70" t="s">
        <v>141</v>
      </c>
      <c r="BR90" s="67" t="s">
        <v>149</v>
      </c>
      <c r="BS90" s="83" t="s">
        <v>149</v>
      </c>
      <c r="BT90" s="83"/>
      <c r="BU90" s="109">
        <f t="shared" si="2"/>
        <v>46199</v>
      </c>
      <c r="BV90" s="109" t="str">
        <f t="shared" si="3"/>
        <v/>
      </c>
      <c r="BW90" s="83" t="str">
        <f t="shared" si="4"/>
        <v/>
      </c>
      <c r="BX90" s="106"/>
      <c r="BY90" s="107"/>
      <c r="BZ90" s="113">
        <f t="shared" si="5"/>
        <v>0</v>
      </c>
      <c r="CA90" s="113">
        <f t="array" ref="CA90">IF($A90&lt;&gt;"",INDEX(LISTA!$M$2:$N$27,MATCH($BC90,LISTA!$N$2:$N$27,0),1),"")</f>
        <v>10</v>
      </c>
      <c r="CB90" s="54">
        <f t="shared" si="6"/>
        <v>6</v>
      </c>
      <c r="CC90" s="86" t="str">
        <f t="shared" si="7"/>
        <v/>
      </c>
    </row>
    <row r="91" ht="15.0" customHeight="1" outlineLevel="1">
      <c r="A91" s="50">
        <v>46199.68498417824</v>
      </c>
      <c r="B91" s="53" t="s">
        <v>1684</v>
      </c>
      <c r="C91" s="54" t="s">
        <v>100</v>
      </c>
      <c r="D91" s="56" t="s">
        <v>101</v>
      </c>
      <c r="E91" s="57"/>
      <c r="F91" s="54" t="s">
        <v>1648</v>
      </c>
      <c r="G91" s="60"/>
      <c r="H91" s="63"/>
      <c r="I91" s="67" t="s">
        <v>260</v>
      </c>
      <c r="J91" s="70" t="s">
        <v>1649</v>
      </c>
      <c r="K91" s="54" t="s">
        <v>109</v>
      </c>
      <c r="L91" s="70" t="s">
        <v>1650</v>
      </c>
      <c r="M91" s="77" t="s">
        <v>1651</v>
      </c>
      <c r="N91" s="78">
        <v>33765.0</v>
      </c>
      <c r="O91" s="80" t="s">
        <v>31</v>
      </c>
      <c r="P91" s="70" t="s">
        <v>1652</v>
      </c>
      <c r="Q91" s="54"/>
      <c r="R91" s="84"/>
      <c r="S91" s="84"/>
      <c r="T91" s="54"/>
      <c r="U91" s="86"/>
      <c r="V91" s="54"/>
      <c r="W91" s="86"/>
      <c r="X91" s="54" t="s">
        <v>299</v>
      </c>
      <c r="Y91" s="78"/>
      <c r="Z91" s="54"/>
      <c r="AA91" s="70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54" t="s">
        <v>1653</v>
      </c>
      <c r="AR91" s="83" t="s">
        <v>1654</v>
      </c>
      <c r="AS91" s="83" t="s">
        <v>1655</v>
      </c>
      <c r="AT91" s="93"/>
      <c r="AU91" s="93" t="s">
        <v>1649</v>
      </c>
      <c r="AV91" s="93" t="s">
        <v>1649</v>
      </c>
      <c r="AW91" s="83" t="s">
        <v>1656</v>
      </c>
      <c r="AX91" s="83">
        <v>2.0</v>
      </c>
      <c r="AY91" s="83" t="s">
        <v>1657</v>
      </c>
      <c r="AZ91" s="83" t="s">
        <v>1658</v>
      </c>
      <c r="BA91" s="83" t="s">
        <v>1657</v>
      </c>
      <c r="BB91" s="83" t="s">
        <v>1659</v>
      </c>
      <c r="BC91" s="54" t="s">
        <v>31</v>
      </c>
      <c r="BD91" s="54" t="str">
        <f t="shared" si="1"/>
        <v>Espinar</v>
      </c>
      <c r="BE91" s="54" t="s">
        <v>140</v>
      </c>
      <c r="BF91" s="95" t="s">
        <v>141</v>
      </c>
      <c r="BG91" s="95" t="s">
        <v>142</v>
      </c>
      <c r="BH91" s="54"/>
      <c r="BI91" s="67"/>
      <c r="BJ91" s="67"/>
      <c r="BK91" s="54"/>
      <c r="BL91" s="54" t="s">
        <v>147</v>
      </c>
      <c r="BM91" s="54" t="s">
        <v>146</v>
      </c>
      <c r="BN91" s="104">
        <v>89.0</v>
      </c>
      <c r="BO91" s="83" t="s">
        <v>148</v>
      </c>
      <c r="BP91" s="54" t="s">
        <v>141</v>
      </c>
      <c r="BQ91" s="70" t="s">
        <v>141</v>
      </c>
      <c r="BR91" s="67" t="s">
        <v>149</v>
      </c>
      <c r="BS91" s="83">
        <v>1.0</v>
      </c>
      <c r="BT91" s="83"/>
      <c r="BU91" s="109">
        <f t="shared" si="2"/>
        <v>46199</v>
      </c>
      <c r="BV91" s="109" t="str">
        <f t="shared" si="3"/>
        <v/>
      </c>
      <c r="BW91" s="83" t="str">
        <f t="shared" si="4"/>
        <v/>
      </c>
      <c r="BX91" s="106"/>
      <c r="BY91" s="107"/>
      <c r="BZ91" s="113">
        <f t="shared" si="5"/>
        <v>0</v>
      </c>
      <c r="CA91" s="113">
        <f t="array" ref="CA91">IF($A91&lt;&gt;"",INDEX(LISTA!$M$2:$N$27,MATCH($BC91,LISTA!$N$2:$N$27,0),1),"")</f>
        <v>10</v>
      </c>
      <c r="CB91" s="54">
        <f t="shared" si="6"/>
        <v>6</v>
      </c>
      <c r="CC91" s="86" t="str">
        <f t="shared" si="7"/>
        <v/>
      </c>
    </row>
    <row r="92" ht="15.0" customHeight="1" outlineLevel="1">
      <c r="A92" s="50">
        <v>46203.64094996528</v>
      </c>
      <c r="B92" s="53" t="s">
        <v>1684</v>
      </c>
      <c r="C92" s="54" t="s">
        <v>100</v>
      </c>
      <c r="D92" s="56" t="s">
        <v>101</v>
      </c>
      <c r="E92" s="57"/>
      <c r="F92" s="54" t="s">
        <v>1660</v>
      </c>
      <c r="G92" s="60" t="s">
        <v>1661</v>
      </c>
      <c r="H92" s="63" t="s">
        <v>1227</v>
      </c>
      <c r="I92" s="67" t="s">
        <v>107</v>
      </c>
      <c r="J92" s="70" t="s">
        <v>1662</v>
      </c>
      <c r="K92" s="54" t="s">
        <v>109</v>
      </c>
      <c r="L92" s="70" t="s">
        <v>1663</v>
      </c>
      <c r="M92" s="77" t="s">
        <v>1664</v>
      </c>
      <c r="N92" s="78">
        <v>38090.0</v>
      </c>
      <c r="O92" s="80" t="s">
        <v>37</v>
      </c>
      <c r="P92" s="70" t="s">
        <v>228</v>
      </c>
      <c r="Q92" s="54"/>
      <c r="R92" s="84"/>
      <c r="S92" s="84"/>
      <c r="T92" s="54"/>
      <c r="U92" s="86"/>
      <c r="V92" s="54"/>
      <c r="W92" s="86"/>
      <c r="X92" s="54"/>
      <c r="Y92" s="78"/>
      <c r="Z92" s="54"/>
      <c r="AA92" s="70"/>
      <c r="AB92" s="83"/>
      <c r="AC92" s="83"/>
      <c r="AD92" s="83"/>
      <c r="AE92" s="83"/>
      <c r="AF92" s="83" t="s">
        <v>1665</v>
      </c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54" t="s">
        <v>644</v>
      </c>
      <c r="AR92" s="83" t="s">
        <v>1666</v>
      </c>
      <c r="AS92" s="83" t="s">
        <v>1667</v>
      </c>
      <c r="AT92" s="93"/>
      <c r="AU92" s="93" t="s">
        <v>1668</v>
      </c>
      <c r="AV92" s="93" t="s">
        <v>1668</v>
      </c>
      <c r="AW92" s="83" t="s">
        <v>1669</v>
      </c>
      <c r="AX92" s="83">
        <v>3.0</v>
      </c>
      <c r="AY92" s="83">
        <v>1.0</v>
      </c>
      <c r="AZ92" s="83" t="s">
        <v>1670</v>
      </c>
      <c r="BA92" s="83" t="s">
        <v>1671</v>
      </c>
      <c r="BB92" s="83" t="s">
        <v>1672</v>
      </c>
      <c r="BC92" s="54" t="s">
        <v>41</v>
      </c>
      <c r="BD92" s="54" t="str">
        <f t="shared" si="1"/>
        <v>Puente Piedra</v>
      </c>
      <c r="BE92" s="54" t="s">
        <v>140</v>
      </c>
      <c r="BF92" s="95" t="s">
        <v>141</v>
      </c>
      <c r="BG92" s="95" t="s">
        <v>142</v>
      </c>
      <c r="BH92" s="54"/>
      <c r="BI92" s="67"/>
      <c r="BJ92" s="67"/>
      <c r="BK92" s="54"/>
      <c r="BL92" s="54" t="s">
        <v>283</v>
      </c>
      <c r="BM92" s="54" t="s">
        <v>146</v>
      </c>
      <c r="BN92" s="104">
        <v>94.0</v>
      </c>
      <c r="BO92" s="83" t="s">
        <v>148</v>
      </c>
      <c r="BP92" s="54" t="s">
        <v>141</v>
      </c>
      <c r="BQ92" s="70" t="s">
        <v>144</v>
      </c>
      <c r="BR92" s="67" t="s">
        <v>149</v>
      </c>
      <c r="BS92" s="83">
        <v>1.0</v>
      </c>
      <c r="BT92" s="83"/>
      <c r="BU92" s="109">
        <f t="shared" si="2"/>
        <v>46203</v>
      </c>
      <c r="BV92" s="109" t="str">
        <f t="shared" si="3"/>
        <v/>
      </c>
      <c r="BW92" s="83" t="str">
        <f t="shared" si="4"/>
        <v/>
      </c>
      <c r="BX92" s="106"/>
      <c r="BY92" s="107"/>
      <c r="BZ92" s="113">
        <f t="shared" si="5"/>
        <v>0</v>
      </c>
      <c r="CA92" s="113">
        <f t="array" ref="CA92">IF($A92&lt;&gt;"",INDEX(LISTA!$M$2:$N$27,MATCH($BC92,LISTA!$N$2:$N$27,0),1),"")</f>
        <v>1</v>
      </c>
      <c r="CB92" s="54">
        <f t="shared" si="6"/>
        <v>6</v>
      </c>
      <c r="CC92" s="86" t="str">
        <f t="shared" si="7"/>
        <v/>
      </c>
    </row>
    <row r="93" ht="15.0" customHeight="1" outlineLevel="1">
      <c r="A93" s="50">
        <v>46196.6220450463</v>
      </c>
      <c r="B93" s="53" t="s">
        <v>1755</v>
      </c>
      <c r="C93" s="54" t="s">
        <v>100</v>
      </c>
      <c r="D93" s="56" t="s">
        <v>101</v>
      </c>
      <c r="E93" s="57">
        <v>46199.75</v>
      </c>
      <c r="F93" s="54" t="s">
        <v>1062</v>
      </c>
      <c r="G93" s="60" t="s">
        <v>1065</v>
      </c>
      <c r="H93" s="63" t="s">
        <v>1066</v>
      </c>
      <c r="I93" s="67" t="s">
        <v>107</v>
      </c>
      <c r="J93" s="70" t="s">
        <v>1067</v>
      </c>
      <c r="K93" s="54" t="s">
        <v>109</v>
      </c>
      <c r="L93" s="70" t="s">
        <v>1068</v>
      </c>
      <c r="M93" s="77" t="s">
        <v>1069</v>
      </c>
      <c r="N93" s="78">
        <v>32767.0</v>
      </c>
      <c r="O93" s="80" t="s">
        <v>31</v>
      </c>
      <c r="P93" s="70" t="s">
        <v>1070</v>
      </c>
      <c r="Q93" s="54"/>
      <c r="R93" s="84"/>
      <c r="S93" s="84"/>
      <c r="T93" s="54"/>
      <c r="U93" s="86"/>
      <c r="V93" s="54"/>
      <c r="W93" s="86"/>
      <c r="X93" s="54" t="s">
        <v>1071</v>
      </c>
      <c r="Y93" s="78"/>
      <c r="Z93" s="54"/>
      <c r="AA93" s="70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54" t="s">
        <v>1072</v>
      </c>
      <c r="AR93" s="83" t="s">
        <v>1073</v>
      </c>
      <c r="AS93" s="83" t="s">
        <v>1074</v>
      </c>
      <c r="AT93" s="93"/>
      <c r="AU93" s="93" t="s">
        <v>1067</v>
      </c>
      <c r="AV93" s="93" t="s">
        <v>1067</v>
      </c>
      <c r="AW93" s="83" t="s">
        <v>1075</v>
      </c>
      <c r="AX93" s="83">
        <v>2.0</v>
      </c>
      <c r="AY93" s="83">
        <v>1.0</v>
      </c>
      <c r="AZ93" s="83" t="s">
        <v>1077</v>
      </c>
      <c r="BA93" s="83" t="s">
        <v>1078</v>
      </c>
      <c r="BB93" s="83" t="s">
        <v>1079</v>
      </c>
      <c r="BC93" s="54" t="s">
        <v>31</v>
      </c>
      <c r="BD93" s="54" t="str">
        <f t="shared" si="1"/>
        <v>Canchis</v>
      </c>
      <c r="BE93" s="54" t="s">
        <v>140</v>
      </c>
      <c r="BF93" s="95" t="s">
        <v>144</v>
      </c>
      <c r="BG93" s="95" t="s">
        <v>142</v>
      </c>
      <c r="BH93" s="54"/>
      <c r="BI93" s="67"/>
      <c r="BJ93" s="67"/>
      <c r="BK93" s="54"/>
      <c r="BL93" s="54" t="s">
        <v>213</v>
      </c>
      <c r="BM93" s="54" t="s">
        <v>146</v>
      </c>
      <c r="BN93" s="104">
        <v>110.0</v>
      </c>
      <c r="BO93" s="83" t="s">
        <v>182</v>
      </c>
      <c r="BP93" s="54" t="s">
        <v>144</v>
      </c>
      <c r="BQ93" s="70" t="s">
        <v>141</v>
      </c>
      <c r="BR93" s="67" t="s">
        <v>149</v>
      </c>
      <c r="BS93" s="83">
        <v>1.0</v>
      </c>
      <c r="BT93" s="83"/>
      <c r="BU93" s="109">
        <f t="shared" si="2"/>
        <v>46196</v>
      </c>
      <c r="BV93" s="109">
        <f t="shared" si="3"/>
        <v>46199</v>
      </c>
      <c r="BW93" s="83" t="str">
        <f t="shared" si="4"/>
        <v>18</v>
      </c>
      <c r="BX93" s="106"/>
      <c r="BY93" s="107"/>
      <c r="BZ93" s="113">
        <f t="shared" si="5"/>
        <v>0</v>
      </c>
      <c r="CA93" s="113">
        <f t="array" ref="CA93">IF($A93&lt;&gt;"",INDEX(LISTA!$M$2:$N$27,MATCH($BC93,LISTA!$N$2:$N$27,0),1),"")</f>
        <v>10</v>
      </c>
      <c r="CB93" s="54">
        <f t="shared" si="6"/>
        <v>6</v>
      </c>
      <c r="CC93" s="86" t="str">
        <f t="shared" si="7"/>
        <v/>
      </c>
    </row>
    <row r="94" ht="15.0" customHeight="1" outlineLevel="1">
      <c r="A94" s="50">
        <v>46195.37840372685</v>
      </c>
      <c r="B94" s="53" t="s">
        <v>329</v>
      </c>
      <c r="C94" s="54" t="s">
        <v>100</v>
      </c>
      <c r="D94" s="56" t="s">
        <v>101</v>
      </c>
      <c r="E94" s="57"/>
      <c r="F94" s="54" t="s">
        <v>1612</v>
      </c>
      <c r="G94" s="60"/>
      <c r="H94" s="63"/>
      <c r="I94" s="67" t="s">
        <v>192</v>
      </c>
      <c r="J94" s="70" t="s">
        <v>1613</v>
      </c>
      <c r="K94" s="54" t="s">
        <v>109</v>
      </c>
      <c r="L94" s="70" t="s">
        <v>1614</v>
      </c>
      <c r="M94" s="77" t="s">
        <v>1615</v>
      </c>
      <c r="N94" s="78">
        <v>35830.0</v>
      </c>
      <c r="O94" s="80" t="s">
        <v>31</v>
      </c>
      <c r="P94" s="70" t="s">
        <v>1011</v>
      </c>
      <c r="Q94" s="54"/>
      <c r="R94" s="84"/>
      <c r="S94" s="84"/>
      <c r="T94" s="54"/>
      <c r="U94" s="86"/>
      <c r="V94" s="54"/>
      <c r="W94" s="86"/>
      <c r="X94" s="54"/>
      <c r="Y94" s="78"/>
      <c r="Z94" s="54"/>
      <c r="AA94" s="70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 t="s">
        <v>866</v>
      </c>
      <c r="AO94" s="83"/>
      <c r="AP94" s="83"/>
      <c r="AQ94" s="54" t="s">
        <v>1616</v>
      </c>
      <c r="AR94" s="83" t="s">
        <v>310</v>
      </c>
      <c r="AS94" s="83" t="s">
        <v>1617</v>
      </c>
      <c r="AT94" s="93"/>
      <c r="AU94" s="93" t="s">
        <v>1613</v>
      </c>
      <c r="AV94" s="93" t="s">
        <v>1613</v>
      </c>
      <c r="AW94" s="83" t="s">
        <v>1618</v>
      </c>
      <c r="AX94" s="83">
        <v>1.0</v>
      </c>
      <c r="AY94" s="83" t="s">
        <v>238</v>
      </c>
      <c r="AZ94" s="83" t="s">
        <v>1619</v>
      </c>
      <c r="BA94" s="83" t="s">
        <v>1620</v>
      </c>
      <c r="BB94" s="83" t="s">
        <v>1621</v>
      </c>
      <c r="BC94" s="54" t="s">
        <v>50</v>
      </c>
      <c r="BD94" s="54" t="str">
        <f t="shared" si="1"/>
        <v>Tacna</v>
      </c>
      <c r="BE94" s="54" t="s">
        <v>140</v>
      </c>
      <c r="BF94" s="95" t="s">
        <v>144</v>
      </c>
      <c r="BG94" s="95" t="s">
        <v>142</v>
      </c>
      <c r="BH94" s="54"/>
      <c r="BI94" s="67"/>
      <c r="BJ94" s="67"/>
      <c r="BK94" s="54"/>
      <c r="BL94" s="54" t="s">
        <v>147</v>
      </c>
      <c r="BM94" s="54" t="s">
        <v>247</v>
      </c>
      <c r="BN94" s="104">
        <v>89.0</v>
      </c>
      <c r="BO94" s="83" t="s">
        <v>148</v>
      </c>
      <c r="BP94" s="54" t="s">
        <v>141</v>
      </c>
      <c r="BQ94" s="70" t="s">
        <v>141</v>
      </c>
      <c r="BR94" s="67" t="s">
        <v>149</v>
      </c>
      <c r="BS94" s="83">
        <v>1.0</v>
      </c>
      <c r="BT94" s="83"/>
      <c r="BU94" s="109">
        <f t="shared" si="2"/>
        <v>46195</v>
      </c>
      <c r="BV94" s="109" t="str">
        <f t="shared" si="3"/>
        <v/>
      </c>
      <c r="BW94" s="83" t="str">
        <f t="shared" si="4"/>
        <v/>
      </c>
      <c r="BX94" s="106"/>
      <c r="BY94" s="107"/>
      <c r="BZ94" s="113">
        <f t="shared" si="5"/>
        <v>0</v>
      </c>
      <c r="CA94" s="113">
        <f t="array" ref="CA94">IF($A94&lt;&gt;"",INDEX(LISTA!$M$2:$N$27,MATCH($BC94,LISTA!$N$2:$N$27,0),1),"")</f>
        <v>24</v>
      </c>
      <c r="CB94" s="54">
        <f t="shared" si="6"/>
        <v>6</v>
      </c>
      <c r="CC94" s="86" t="str">
        <f t="shared" si="7"/>
        <v/>
      </c>
    </row>
    <row r="95" ht="15.0" customHeight="1">
      <c r="A95" s="50">
        <v>46204.407650532405</v>
      </c>
      <c r="B95" s="53" t="s">
        <v>99</v>
      </c>
      <c r="C95" s="54" t="s">
        <v>100</v>
      </c>
      <c r="D95" s="56" t="s">
        <v>101</v>
      </c>
      <c r="E95" s="57">
        <v>46204.666666666664</v>
      </c>
      <c r="F95" s="54" t="s">
        <v>103</v>
      </c>
      <c r="G95" s="60" t="s">
        <v>1673</v>
      </c>
      <c r="H95" s="63" t="s">
        <v>1674</v>
      </c>
      <c r="I95" s="67" t="s">
        <v>350</v>
      </c>
      <c r="J95" s="70" t="s">
        <v>1675</v>
      </c>
      <c r="K95" s="54" t="s">
        <v>109</v>
      </c>
      <c r="L95" s="70" t="s">
        <v>540</v>
      </c>
      <c r="M95" s="77" t="s">
        <v>1676</v>
      </c>
      <c r="N95" s="78">
        <v>29437.0</v>
      </c>
      <c r="O95" s="80" t="s">
        <v>41</v>
      </c>
      <c r="P95" s="70" t="s">
        <v>1354</v>
      </c>
      <c r="Q95" s="54"/>
      <c r="R95" s="84"/>
      <c r="S95" s="84"/>
      <c r="T95" s="54"/>
      <c r="U95" s="86"/>
      <c r="V95" s="54"/>
      <c r="W95" s="86"/>
      <c r="X95" s="54"/>
      <c r="Y95" s="78"/>
      <c r="Z95" s="54"/>
      <c r="AA95" s="70"/>
      <c r="AB95" s="83"/>
      <c r="AC95" s="83"/>
      <c r="AD95" s="83"/>
      <c r="AE95" s="83"/>
      <c r="AF95" s="83" t="s">
        <v>1355</v>
      </c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54" t="s">
        <v>1677</v>
      </c>
      <c r="AR95" s="83" t="s">
        <v>1678</v>
      </c>
      <c r="AS95" s="83" t="s">
        <v>1679</v>
      </c>
      <c r="AT95" s="93"/>
      <c r="AU95" s="93" t="s">
        <v>1675</v>
      </c>
      <c r="AV95" s="93" t="s">
        <v>1675</v>
      </c>
      <c r="AW95" s="83" t="s">
        <v>1680</v>
      </c>
      <c r="AX95" s="83">
        <v>2.0</v>
      </c>
      <c r="AY95" s="83">
        <v>1.0</v>
      </c>
      <c r="AZ95" s="83" t="s">
        <v>1681</v>
      </c>
      <c r="BA95" s="83" t="s">
        <v>1682</v>
      </c>
      <c r="BB95" s="83" t="s">
        <v>1683</v>
      </c>
      <c r="BC95" s="54" t="s">
        <v>41</v>
      </c>
      <c r="BD95" s="54" t="str">
        <f t="shared" si="1"/>
        <v>Villa María del Triunfo</v>
      </c>
      <c r="BE95" s="54" t="s">
        <v>140</v>
      </c>
      <c r="BF95" s="95" t="s">
        <v>144</v>
      </c>
      <c r="BG95" s="95" t="s">
        <v>142</v>
      </c>
      <c r="BH95" s="54"/>
      <c r="BI95" s="67"/>
      <c r="BJ95" s="67"/>
      <c r="BK95" s="54"/>
      <c r="BL95" s="54" t="s">
        <v>283</v>
      </c>
      <c r="BM95" s="54" t="s">
        <v>146</v>
      </c>
      <c r="BN95" s="104">
        <v>94.0</v>
      </c>
      <c r="BO95" s="83" t="s">
        <v>148</v>
      </c>
      <c r="BP95" s="54" t="s">
        <v>141</v>
      </c>
      <c r="BQ95" s="70" t="s">
        <v>144</v>
      </c>
      <c r="BR95" s="67" t="s">
        <v>149</v>
      </c>
      <c r="BS95" s="83">
        <v>1.0</v>
      </c>
      <c r="BT95" s="83"/>
      <c r="BU95" s="109">
        <f t="shared" si="2"/>
        <v>46204</v>
      </c>
      <c r="BV95" s="109">
        <f t="shared" si="3"/>
        <v>46204</v>
      </c>
      <c r="BW95" s="83" t="str">
        <f t="shared" si="4"/>
        <v>16</v>
      </c>
      <c r="BX95" s="106">
        <v>46204.0</v>
      </c>
      <c r="BY95" s="107">
        <v>1.0</v>
      </c>
      <c r="BZ95" s="113">
        <f t="shared" si="5"/>
        <v>7</v>
      </c>
      <c r="CA95" s="113">
        <f t="array" ref="CA95">IF($A95&lt;&gt;"",INDEX(LISTA!$M$2:$N$27,MATCH($BC95,LISTA!$N$2:$N$27,0),1),"")</f>
        <v>1</v>
      </c>
      <c r="CB95" s="54">
        <f t="shared" si="6"/>
        <v>7</v>
      </c>
      <c r="CC95" s="86">
        <f t="shared" si="7"/>
        <v>7</v>
      </c>
    </row>
    <row r="96" ht="15.0" customHeight="1">
      <c r="A96" s="50">
        <v>46204.386956064816</v>
      </c>
      <c r="B96" s="53" t="s">
        <v>1080</v>
      </c>
      <c r="C96" s="54" t="s">
        <v>100</v>
      </c>
      <c r="D96" s="56" t="s">
        <v>101</v>
      </c>
      <c r="E96" s="57">
        <v>46205.375</v>
      </c>
      <c r="F96" s="54" t="s">
        <v>1817</v>
      </c>
      <c r="G96" s="60" t="s">
        <v>1818</v>
      </c>
      <c r="H96" s="63" t="s">
        <v>1819</v>
      </c>
      <c r="I96" s="67" t="s">
        <v>287</v>
      </c>
      <c r="J96" s="70" t="s">
        <v>1820</v>
      </c>
      <c r="K96" s="54" t="s">
        <v>109</v>
      </c>
      <c r="L96" s="70" t="s">
        <v>1821</v>
      </c>
      <c r="M96" s="77" t="s">
        <v>1822</v>
      </c>
      <c r="N96" s="78">
        <v>37242.0</v>
      </c>
      <c r="O96" s="80" t="s">
        <v>39</v>
      </c>
      <c r="P96" s="70" t="s">
        <v>1454</v>
      </c>
      <c r="Q96" s="54"/>
      <c r="R96" s="84"/>
      <c r="S96" s="84"/>
      <c r="T96" s="54"/>
      <c r="U96" s="86"/>
      <c r="V96" s="54"/>
      <c r="W96" s="86"/>
      <c r="X96" s="54"/>
      <c r="Y96" s="78"/>
      <c r="Z96" s="54"/>
      <c r="AA96" s="70"/>
      <c r="AB96" s="83"/>
      <c r="AC96" s="83" t="s">
        <v>1690</v>
      </c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54" t="s">
        <v>1828</v>
      </c>
      <c r="AR96" s="83" t="s">
        <v>1829</v>
      </c>
      <c r="AS96" s="83" t="s">
        <v>1830</v>
      </c>
      <c r="AT96" s="93"/>
      <c r="AU96" s="93" t="s">
        <v>1831</v>
      </c>
      <c r="AV96" s="93" t="s">
        <v>1832</v>
      </c>
      <c r="AW96" s="83" t="s">
        <v>1833</v>
      </c>
      <c r="AX96" s="83">
        <v>3.0</v>
      </c>
      <c r="AY96" s="83" t="s">
        <v>991</v>
      </c>
      <c r="AZ96" s="83" t="s">
        <v>1834</v>
      </c>
      <c r="BA96" s="83" t="s">
        <v>1835</v>
      </c>
      <c r="BB96" s="83" t="s">
        <v>1836</v>
      </c>
      <c r="BC96" s="54" t="s">
        <v>39</v>
      </c>
      <c r="BD96" s="54" t="str">
        <f t="shared" si="1"/>
        <v>Trujillo</v>
      </c>
      <c r="BE96" s="54" t="s">
        <v>140</v>
      </c>
      <c r="BF96" s="95" t="s">
        <v>141</v>
      </c>
      <c r="BG96" s="95" t="s">
        <v>142</v>
      </c>
      <c r="BH96" s="54"/>
      <c r="BI96" s="67"/>
      <c r="BJ96" s="67"/>
      <c r="BK96" s="54"/>
      <c r="BL96" s="54" t="s">
        <v>147</v>
      </c>
      <c r="BM96" s="54" t="s">
        <v>146</v>
      </c>
      <c r="BN96" s="104">
        <v>100.0</v>
      </c>
      <c r="BO96" s="83" t="s">
        <v>330</v>
      </c>
      <c r="BP96" s="54" t="s">
        <v>141</v>
      </c>
      <c r="BQ96" s="70" t="s">
        <v>141</v>
      </c>
      <c r="BR96" s="67" t="s">
        <v>149</v>
      </c>
      <c r="BS96" s="83">
        <v>2.0</v>
      </c>
      <c r="BT96" s="83"/>
      <c r="BU96" s="109">
        <f t="shared" si="2"/>
        <v>46204</v>
      </c>
      <c r="BV96" s="109">
        <f t="shared" si="3"/>
        <v>46205</v>
      </c>
      <c r="BW96" s="83" t="str">
        <f t="shared" si="4"/>
        <v>09</v>
      </c>
      <c r="BX96" s="106"/>
      <c r="BY96" s="107"/>
      <c r="BZ96" s="113">
        <f t="shared" si="5"/>
        <v>3</v>
      </c>
      <c r="CA96" s="113">
        <f t="array" ref="CA96">IF($A96&lt;&gt;"",INDEX(LISTA!$M$2:$N$27,MATCH($BC96,LISTA!$N$2:$N$27,0),1),"")</f>
        <v>15</v>
      </c>
      <c r="CB96" s="54">
        <f t="shared" si="6"/>
        <v>7</v>
      </c>
      <c r="CC96" s="86" t="str">
        <f t="shared" si="7"/>
        <v/>
      </c>
    </row>
    <row r="97" ht="15.0" customHeight="1">
      <c r="A97" s="50">
        <v>46204.4496243287</v>
      </c>
      <c r="B97" s="53" t="s">
        <v>1080</v>
      </c>
      <c r="C97" s="54" t="s">
        <v>100</v>
      </c>
      <c r="D97" s="56" t="s">
        <v>101</v>
      </c>
      <c r="E97" s="57">
        <v>46204.666666666664</v>
      </c>
      <c r="F97" s="54" t="s">
        <v>103</v>
      </c>
      <c r="G97" s="60" t="s">
        <v>1844</v>
      </c>
      <c r="H97" s="63" t="s">
        <v>1845</v>
      </c>
      <c r="I97" s="67" t="s">
        <v>350</v>
      </c>
      <c r="J97" s="70" t="s">
        <v>1846</v>
      </c>
      <c r="K97" s="54" t="s">
        <v>109</v>
      </c>
      <c r="L97" s="70" t="s">
        <v>1848</v>
      </c>
      <c r="M97" s="77" t="s">
        <v>1851</v>
      </c>
      <c r="N97" s="78">
        <v>31058.0</v>
      </c>
      <c r="O97" s="80" t="s">
        <v>48</v>
      </c>
      <c r="P97" s="70" t="s">
        <v>1852</v>
      </c>
      <c r="Q97" s="54"/>
      <c r="R97" s="84"/>
      <c r="S97" s="84"/>
      <c r="T97" s="54" t="s">
        <v>122</v>
      </c>
      <c r="U97" s="86"/>
      <c r="V97" s="54"/>
      <c r="W97" s="86"/>
      <c r="X97" s="54"/>
      <c r="Y97" s="78"/>
      <c r="Z97" s="54"/>
      <c r="AA97" s="70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54" t="s">
        <v>1860</v>
      </c>
      <c r="AR97" s="83" t="s">
        <v>1863</v>
      </c>
      <c r="AS97" s="83" t="s">
        <v>1865</v>
      </c>
      <c r="AT97" s="93"/>
      <c r="AU97" s="93" t="s">
        <v>1846</v>
      </c>
      <c r="AV97" s="93" t="s">
        <v>1846</v>
      </c>
      <c r="AW97" s="83" t="s">
        <v>1866</v>
      </c>
      <c r="AX97" s="83">
        <v>5.0</v>
      </c>
      <c r="AY97" s="83">
        <v>1.0</v>
      </c>
      <c r="AZ97" s="83" t="s">
        <v>1867</v>
      </c>
      <c r="BA97" s="83" t="s">
        <v>1868</v>
      </c>
      <c r="BB97" s="83" t="s">
        <v>1870</v>
      </c>
      <c r="BC97" s="54" t="s">
        <v>27</v>
      </c>
      <c r="BD97" s="54" t="str">
        <f t="shared" si="1"/>
        <v>Arequipa</v>
      </c>
      <c r="BE97" s="54" t="s">
        <v>140</v>
      </c>
      <c r="BF97" s="95" t="s">
        <v>141</v>
      </c>
      <c r="BG97" s="95" t="s">
        <v>142</v>
      </c>
      <c r="BH97" s="54"/>
      <c r="BI97" s="67"/>
      <c r="BJ97" s="67"/>
      <c r="BK97" s="54"/>
      <c r="BL97" s="54" t="s">
        <v>283</v>
      </c>
      <c r="BM97" s="54" t="s">
        <v>146</v>
      </c>
      <c r="BN97" s="104">
        <v>94.0</v>
      </c>
      <c r="BO97" s="83" t="s">
        <v>148</v>
      </c>
      <c r="BP97" s="54" t="s">
        <v>141</v>
      </c>
      <c r="BQ97" s="70" t="s">
        <v>144</v>
      </c>
      <c r="BR97" s="67" t="s">
        <v>149</v>
      </c>
      <c r="BS97" s="83">
        <v>1.0</v>
      </c>
      <c r="BT97" s="83"/>
      <c r="BU97" s="109">
        <f t="shared" si="2"/>
        <v>46204</v>
      </c>
      <c r="BV97" s="109">
        <f t="shared" si="3"/>
        <v>46204</v>
      </c>
      <c r="BW97" s="83" t="str">
        <f t="shared" si="4"/>
        <v>16</v>
      </c>
      <c r="BX97" s="106"/>
      <c r="BY97" s="107"/>
      <c r="BZ97" s="113">
        <f t="shared" si="5"/>
        <v>3</v>
      </c>
      <c r="CA97" s="113">
        <f t="array" ref="CA97">IF($A97&lt;&gt;"",INDEX(LISTA!$M$2:$N$27,MATCH($BC97,LISTA!$N$2:$N$27,0),1),"")</f>
        <v>7</v>
      </c>
      <c r="CB97" s="54">
        <f t="shared" si="6"/>
        <v>7</v>
      </c>
      <c r="CC97" s="86" t="str">
        <f t="shared" si="7"/>
        <v/>
      </c>
    </row>
    <row r="98" ht="15.0" customHeight="1">
      <c r="A98" s="50">
        <v>46204.55472395833</v>
      </c>
      <c r="B98" s="53" t="s">
        <v>1080</v>
      </c>
      <c r="C98" s="54" t="s">
        <v>100</v>
      </c>
      <c r="D98" s="56" t="s">
        <v>101</v>
      </c>
      <c r="E98" s="57">
        <v>46205.375</v>
      </c>
      <c r="F98" s="54" t="s">
        <v>103</v>
      </c>
      <c r="G98" s="60" t="s">
        <v>1805</v>
      </c>
      <c r="H98" s="63" t="s">
        <v>1806</v>
      </c>
      <c r="I98" s="67" t="s">
        <v>293</v>
      </c>
      <c r="J98" s="70" t="s">
        <v>1807</v>
      </c>
      <c r="K98" s="54" t="s">
        <v>109</v>
      </c>
      <c r="L98" s="70" t="s">
        <v>622</v>
      </c>
      <c r="M98" s="77" t="s">
        <v>623</v>
      </c>
      <c r="N98" s="78">
        <v>25815.0</v>
      </c>
      <c r="O98" s="80" t="s">
        <v>25</v>
      </c>
      <c r="P98" s="70" t="s">
        <v>1808</v>
      </c>
      <c r="Q98" s="54"/>
      <c r="R98" s="84"/>
      <c r="S98" s="84"/>
      <c r="T98" s="54" t="s">
        <v>122</v>
      </c>
      <c r="U98" s="86"/>
      <c r="V98" s="54"/>
      <c r="W98" s="86"/>
      <c r="X98" s="54"/>
      <c r="Y98" s="78"/>
      <c r="Z98" s="54"/>
      <c r="AA98" s="70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54" t="s">
        <v>1809</v>
      </c>
      <c r="AR98" s="83" t="s">
        <v>1810</v>
      </c>
      <c r="AS98" s="83" t="s">
        <v>1811</v>
      </c>
      <c r="AT98" s="93"/>
      <c r="AU98" s="93" t="s">
        <v>1807</v>
      </c>
      <c r="AV98" s="93" t="s">
        <v>1807</v>
      </c>
      <c r="AW98" s="83" t="s">
        <v>1812</v>
      </c>
      <c r="AX98" s="83">
        <v>2.0</v>
      </c>
      <c r="AY98" s="83" t="s">
        <v>1813</v>
      </c>
      <c r="AZ98" s="83" t="s">
        <v>1814</v>
      </c>
      <c r="BA98" s="83" t="s">
        <v>1815</v>
      </c>
      <c r="BB98" s="83" t="s">
        <v>1816</v>
      </c>
      <c r="BC98" s="54" t="s">
        <v>27</v>
      </c>
      <c r="BD98" s="54" t="str">
        <f t="shared" si="1"/>
        <v>Arequipa</v>
      </c>
      <c r="BE98" s="54" t="s">
        <v>143</v>
      </c>
      <c r="BF98" s="95" t="s">
        <v>141</v>
      </c>
      <c r="BG98" s="95" t="s">
        <v>142</v>
      </c>
      <c r="BH98" s="54"/>
      <c r="BI98" s="67"/>
      <c r="BJ98" s="67"/>
      <c r="BK98" s="54"/>
      <c r="BL98" s="54" t="s">
        <v>147</v>
      </c>
      <c r="BM98" s="54" t="s">
        <v>146</v>
      </c>
      <c r="BN98" s="104">
        <v>44.0</v>
      </c>
      <c r="BO98" s="83" t="s">
        <v>1647</v>
      </c>
      <c r="BP98" s="54" t="s">
        <v>141</v>
      </c>
      <c r="BQ98" s="70" t="s">
        <v>141</v>
      </c>
      <c r="BR98" s="67" t="s">
        <v>149</v>
      </c>
      <c r="BS98" s="83" t="s">
        <v>149</v>
      </c>
      <c r="BT98" s="83"/>
      <c r="BU98" s="109">
        <f t="shared" si="2"/>
        <v>46204</v>
      </c>
      <c r="BV98" s="109">
        <f t="shared" si="3"/>
        <v>46205</v>
      </c>
      <c r="BW98" s="83" t="str">
        <f t="shared" si="4"/>
        <v>09</v>
      </c>
      <c r="BX98" s="106"/>
      <c r="BY98" s="107"/>
      <c r="BZ98" s="113">
        <f t="shared" si="5"/>
        <v>3</v>
      </c>
      <c r="CA98" s="113">
        <f t="array" ref="CA98">IF($A98&lt;&gt;"",INDEX(LISTA!$M$2:$N$27,MATCH($BC98,LISTA!$N$2:$N$27,0),1),"")</f>
        <v>7</v>
      </c>
      <c r="CB98" s="54">
        <f t="shared" si="6"/>
        <v>7</v>
      </c>
      <c r="CC98" s="86" t="str">
        <f t="shared" si="7"/>
        <v/>
      </c>
    </row>
    <row r="99" ht="15.0" customHeight="1">
      <c r="A99" s="50">
        <v>46204.36991454861</v>
      </c>
      <c r="B99" s="53" t="s">
        <v>1610</v>
      </c>
      <c r="C99" s="54" t="s">
        <v>100</v>
      </c>
      <c r="D99" s="56"/>
      <c r="E99" s="57"/>
      <c r="F99" s="54" t="s">
        <v>1922</v>
      </c>
      <c r="G99" s="60"/>
      <c r="H99" s="63"/>
      <c r="I99" s="67" t="s">
        <v>287</v>
      </c>
      <c r="J99" s="70" t="s">
        <v>1923</v>
      </c>
      <c r="K99" s="54" t="s">
        <v>109</v>
      </c>
      <c r="L99" s="70" t="s">
        <v>1924</v>
      </c>
      <c r="M99" s="77" t="s">
        <v>1925</v>
      </c>
      <c r="N99" s="78">
        <v>31702.0</v>
      </c>
      <c r="O99" s="80" t="s">
        <v>31</v>
      </c>
      <c r="P99" s="70" t="s">
        <v>715</v>
      </c>
      <c r="Q99" s="54"/>
      <c r="R99" s="84"/>
      <c r="S99" s="84"/>
      <c r="T99" s="54"/>
      <c r="U99" s="86"/>
      <c r="V99" s="54"/>
      <c r="W99" s="86"/>
      <c r="X99" s="54"/>
      <c r="Y99" s="78"/>
      <c r="Z99" s="54"/>
      <c r="AA99" s="70"/>
      <c r="AB99" s="83"/>
      <c r="AC99" s="83"/>
      <c r="AD99" s="83"/>
      <c r="AE99" s="83"/>
      <c r="AF99" s="83" t="s">
        <v>577</v>
      </c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54" t="s">
        <v>1939</v>
      </c>
      <c r="AR99" s="83" t="s">
        <v>1940</v>
      </c>
      <c r="AS99" s="83" t="s">
        <v>1941</v>
      </c>
      <c r="AT99" s="93"/>
      <c r="AU99" s="93" t="s">
        <v>1923</v>
      </c>
      <c r="AV99" s="93" t="s">
        <v>1923</v>
      </c>
      <c r="AW99" s="83" t="s">
        <v>1942</v>
      </c>
      <c r="AX99" s="83">
        <v>3.0</v>
      </c>
      <c r="AY99" s="83" t="s">
        <v>238</v>
      </c>
      <c r="AZ99" s="83" t="s">
        <v>1948</v>
      </c>
      <c r="BA99" s="83" t="s">
        <v>1952</v>
      </c>
      <c r="BB99" s="83" t="s">
        <v>1953</v>
      </c>
      <c r="BC99" s="54" t="s">
        <v>41</v>
      </c>
      <c r="BD99" s="54" t="str">
        <f t="shared" si="1"/>
        <v>Rimac</v>
      </c>
      <c r="BE99" s="54" t="s">
        <v>140</v>
      </c>
      <c r="BF99" s="95" t="s">
        <v>144</v>
      </c>
      <c r="BG99" s="95" t="s">
        <v>142</v>
      </c>
      <c r="BH99" s="54"/>
      <c r="BI99" s="67"/>
      <c r="BJ99" s="67"/>
      <c r="BK99" s="54"/>
      <c r="BL99" s="54" t="s">
        <v>283</v>
      </c>
      <c r="BM99" s="54" t="s">
        <v>146</v>
      </c>
      <c r="BN99" s="104">
        <v>94.0</v>
      </c>
      <c r="BO99" s="83" t="s">
        <v>148</v>
      </c>
      <c r="BP99" s="54" t="s">
        <v>141</v>
      </c>
      <c r="BQ99" s="70" t="s">
        <v>144</v>
      </c>
      <c r="BR99" s="67" t="s">
        <v>149</v>
      </c>
      <c r="BS99" s="83">
        <v>1.0</v>
      </c>
      <c r="BT99" s="83"/>
      <c r="BU99" s="109">
        <f t="shared" si="2"/>
        <v>46204</v>
      </c>
      <c r="BV99" s="109" t="str">
        <f t="shared" si="3"/>
        <v/>
      </c>
      <c r="BW99" s="83" t="str">
        <f t="shared" si="4"/>
        <v/>
      </c>
      <c r="BX99" s="106"/>
      <c r="BY99" s="107"/>
      <c r="BZ99" s="113">
        <f t="shared" si="5"/>
        <v>0</v>
      </c>
      <c r="CA99" s="113">
        <f t="array" ref="CA99">IF($A99&lt;&gt;"",INDEX(LISTA!$M$2:$N$27,MATCH($BC99,LISTA!$N$2:$N$27,0),1),"")</f>
        <v>1</v>
      </c>
      <c r="CB99" s="54">
        <f t="shared" si="6"/>
        <v>7</v>
      </c>
      <c r="CC99" s="86" t="str">
        <f t="shared" si="7"/>
        <v/>
      </c>
    </row>
    <row r="100" ht="15.0" customHeight="1">
      <c r="A100" s="50">
        <v>46204.49621806713</v>
      </c>
      <c r="B100" s="53" t="s">
        <v>1684</v>
      </c>
      <c r="C100" s="54" t="s">
        <v>100</v>
      </c>
      <c r="D100" s="56" t="s">
        <v>101</v>
      </c>
      <c r="E100" s="57"/>
      <c r="F100" s="54" t="s">
        <v>1699</v>
      </c>
      <c r="G100" s="60" t="s">
        <v>1700</v>
      </c>
      <c r="H100" s="63"/>
      <c r="I100" s="67" t="s">
        <v>287</v>
      </c>
      <c r="J100" s="70" t="s">
        <v>1963</v>
      </c>
      <c r="K100" s="54" t="s">
        <v>109</v>
      </c>
      <c r="L100" s="70" t="s">
        <v>599</v>
      </c>
      <c r="M100" s="77" t="s">
        <v>600</v>
      </c>
      <c r="N100" s="78">
        <v>31298.0</v>
      </c>
      <c r="O100" s="80" t="s">
        <v>27</v>
      </c>
      <c r="P100" s="70" t="s">
        <v>1703</v>
      </c>
      <c r="Q100" s="54"/>
      <c r="R100" s="84"/>
      <c r="S100" s="84"/>
      <c r="T100" s="54" t="s">
        <v>122</v>
      </c>
      <c r="U100" s="86"/>
      <c r="V100" s="54"/>
      <c r="W100" s="86"/>
      <c r="X100" s="54"/>
      <c r="Y100" s="78"/>
      <c r="Z100" s="54"/>
      <c r="AA100" s="70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54" t="s">
        <v>1704</v>
      </c>
      <c r="AR100" s="83" t="s">
        <v>1705</v>
      </c>
      <c r="AS100" s="83" t="s">
        <v>1706</v>
      </c>
      <c r="AT100" s="83"/>
      <c r="AU100" s="93" t="s">
        <v>1974</v>
      </c>
      <c r="AV100" s="93" t="s">
        <v>1974</v>
      </c>
      <c r="AW100" s="83" t="s">
        <v>1707</v>
      </c>
      <c r="AX100" s="83">
        <v>2.0</v>
      </c>
      <c r="AY100" s="83" t="s">
        <v>238</v>
      </c>
      <c r="AZ100" s="83" t="s">
        <v>1708</v>
      </c>
      <c r="BA100" s="83" t="s">
        <v>1709</v>
      </c>
      <c r="BB100" s="83" t="s">
        <v>1710</v>
      </c>
      <c r="BC100" s="54" t="s">
        <v>27</v>
      </c>
      <c r="BD100" s="54" t="str">
        <f t="shared" si="1"/>
        <v>Arequipa</v>
      </c>
      <c r="BE100" s="54" t="s">
        <v>140</v>
      </c>
      <c r="BF100" s="95" t="s">
        <v>144</v>
      </c>
      <c r="BG100" s="95" t="s">
        <v>142</v>
      </c>
      <c r="BH100" s="54"/>
      <c r="BI100" s="67"/>
      <c r="BJ100" s="67"/>
      <c r="BK100" s="54"/>
      <c r="BL100" s="54" t="s">
        <v>283</v>
      </c>
      <c r="BM100" s="54" t="s">
        <v>146</v>
      </c>
      <c r="BN100" s="104">
        <v>94.0</v>
      </c>
      <c r="BO100" s="83" t="s">
        <v>148</v>
      </c>
      <c r="BP100" s="54" t="s">
        <v>141</v>
      </c>
      <c r="BQ100" s="70" t="s">
        <v>144</v>
      </c>
      <c r="BR100" s="67" t="s">
        <v>149</v>
      </c>
      <c r="BS100" s="83">
        <v>1.0</v>
      </c>
      <c r="BT100" s="83"/>
      <c r="BU100" s="109">
        <f t="shared" si="2"/>
        <v>46204</v>
      </c>
      <c r="BV100" s="109" t="str">
        <f t="shared" si="3"/>
        <v/>
      </c>
      <c r="BW100" s="83" t="str">
        <f t="shared" si="4"/>
        <v/>
      </c>
      <c r="BX100" s="106"/>
      <c r="BY100" s="107"/>
      <c r="BZ100" s="113">
        <f t="shared" si="5"/>
        <v>0</v>
      </c>
      <c r="CA100" s="113">
        <f t="array" ref="CA100">IF($A100&lt;&gt;"",INDEX(LISTA!$M$2:$N$27,MATCH($BC100,LISTA!$N$2:$N$27,0),1),"")</f>
        <v>7</v>
      </c>
      <c r="CB100" s="54">
        <f t="shared" si="6"/>
        <v>7</v>
      </c>
      <c r="CC100" s="86" t="str">
        <f t="shared" si="7"/>
        <v/>
      </c>
    </row>
    <row r="101" ht="15.0" customHeight="1">
      <c r="A101" s="50">
        <v>46204.539707337965</v>
      </c>
      <c r="B101" s="53" t="s">
        <v>1684</v>
      </c>
      <c r="C101" s="54" t="s">
        <v>100</v>
      </c>
      <c r="D101" s="56" t="s">
        <v>101</v>
      </c>
      <c r="E101" s="57">
        <v>46206.458333333336</v>
      </c>
      <c r="F101" s="54" t="s">
        <v>1823</v>
      </c>
      <c r="G101" s="60" t="s">
        <v>1824</v>
      </c>
      <c r="H101" s="60" t="s">
        <v>1825</v>
      </c>
      <c r="I101" s="67" t="s">
        <v>360</v>
      </c>
      <c r="J101" s="70" t="s">
        <v>2003</v>
      </c>
      <c r="K101" s="54" t="s">
        <v>109</v>
      </c>
      <c r="L101" s="70" t="s">
        <v>626</v>
      </c>
      <c r="M101" s="77" t="s">
        <v>627</v>
      </c>
      <c r="N101" s="78">
        <v>35907.0</v>
      </c>
      <c r="O101" s="80" t="s">
        <v>48</v>
      </c>
      <c r="P101" s="70" t="s">
        <v>1827</v>
      </c>
      <c r="Q101" s="54"/>
      <c r="R101" s="84"/>
      <c r="S101" s="84"/>
      <c r="T101" s="54"/>
      <c r="U101" s="86"/>
      <c r="V101" s="54"/>
      <c r="W101" s="86"/>
      <c r="X101" s="54"/>
      <c r="Y101" s="78"/>
      <c r="Z101" s="54"/>
      <c r="AA101" s="70"/>
      <c r="AB101" s="83"/>
      <c r="AC101" s="83"/>
      <c r="AD101" s="83"/>
      <c r="AE101" s="83"/>
      <c r="AF101" s="83" t="s">
        <v>1056</v>
      </c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54" t="s">
        <v>1837</v>
      </c>
      <c r="AR101" s="83" t="s">
        <v>1838</v>
      </c>
      <c r="AS101" s="83" t="s">
        <v>1839</v>
      </c>
      <c r="AT101" s="93"/>
      <c r="AU101" s="93" t="s">
        <v>1826</v>
      </c>
      <c r="AV101" s="93" t="s">
        <v>1826</v>
      </c>
      <c r="AW101" s="83" t="s">
        <v>1840</v>
      </c>
      <c r="AX101" s="83">
        <v>6.0</v>
      </c>
      <c r="AY101" s="83">
        <v>603.0</v>
      </c>
      <c r="AZ101" s="83" t="s">
        <v>1841</v>
      </c>
      <c r="BA101" s="83" t="s">
        <v>1842</v>
      </c>
      <c r="BB101" s="83" t="s">
        <v>1843</v>
      </c>
      <c r="BC101" s="54" t="s">
        <v>41</v>
      </c>
      <c r="BD101" s="54" t="str">
        <f t="shared" si="1"/>
        <v>San Borja</v>
      </c>
      <c r="BE101" s="54" t="s">
        <v>140</v>
      </c>
      <c r="BF101" s="95" t="s">
        <v>144</v>
      </c>
      <c r="BG101" s="95" t="s">
        <v>142</v>
      </c>
      <c r="BH101" s="54"/>
      <c r="BI101" s="67"/>
      <c r="BJ101" s="67"/>
      <c r="BK101" s="54"/>
      <c r="BL101" s="54" t="s">
        <v>283</v>
      </c>
      <c r="BM101" s="54" t="s">
        <v>146</v>
      </c>
      <c r="BN101" s="104">
        <v>94.0</v>
      </c>
      <c r="BO101" s="83" t="s">
        <v>148</v>
      </c>
      <c r="BP101" s="54" t="s">
        <v>141</v>
      </c>
      <c r="BQ101" s="70" t="s">
        <v>144</v>
      </c>
      <c r="BR101" s="67" t="s">
        <v>149</v>
      </c>
      <c r="BS101" s="83" t="s">
        <v>149</v>
      </c>
      <c r="BT101" s="83"/>
      <c r="BU101" s="109">
        <f t="shared" si="2"/>
        <v>46204</v>
      </c>
      <c r="BV101" s="109">
        <f t="shared" si="3"/>
        <v>46206</v>
      </c>
      <c r="BW101" s="83" t="str">
        <f t="shared" si="4"/>
        <v>11</v>
      </c>
      <c r="BX101" s="106"/>
      <c r="BY101" s="107"/>
      <c r="BZ101" s="113">
        <f t="shared" si="5"/>
        <v>0</v>
      </c>
      <c r="CA101" s="113">
        <f t="array" ref="CA101">IF($A101&lt;&gt;"",INDEX(LISTA!$M$2:$N$27,MATCH($BC101,LISTA!$N$2:$N$27,0),1),"")</f>
        <v>1</v>
      </c>
      <c r="CB101" s="54">
        <f t="shared" si="6"/>
        <v>7</v>
      </c>
      <c r="CC101" s="86" t="str">
        <f t="shared" si="7"/>
        <v/>
      </c>
    </row>
    <row r="102" ht="15.0" customHeight="1">
      <c r="A102" s="50">
        <v>46204.60578696759</v>
      </c>
      <c r="B102" s="53" t="s">
        <v>1684</v>
      </c>
      <c r="C102" s="54" t="s">
        <v>100</v>
      </c>
      <c r="D102" s="56" t="s">
        <v>101</v>
      </c>
      <c r="E102" s="57"/>
      <c r="F102" s="54" t="s">
        <v>2039</v>
      </c>
      <c r="G102" s="60"/>
      <c r="H102" s="63"/>
      <c r="I102" s="67" t="s">
        <v>350</v>
      </c>
      <c r="J102" s="70" t="s">
        <v>1793</v>
      </c>
      <c r="K102" s="54" t="s">
        <v>109</v>
      </c>
      <c r="L102" s="70" t="s">
        <v>640</v>
      </c>
      <c r="M102" s="77" t="s">
        <v>1794</v>
      </c>
      <c r="N102" s="78">
        <v>18149.0</v>
      </c>
      <c r="O102" s="80" t="s">
        <v>34</v>
      </c>
      <c r="P102" s="70" t="s">
        <v>1795</v>
      </c>
      <c r="Q102" s="54"/>
      <c r="R102" s="84"/>
      <c r="S102" s="84"/>
      <c r="T102" s="54"/>
      <c r="U102" s="86"/>
      <c r="V102" s="54"/>
      <c r="W102" s="86"/>
      <c r="X102" s="54"/>
      <c r="Y102" s="78"/>
      <c r="Z102" s="54"/>
      <c r="AA102" s="70" t="s">
        <v>1796</v>
      </c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54" t="s">
        <v>1797</v>
      </c>
      <c r="AR102" s="83" t="s">
        <v>1798</v>
      </c>
      <c r="AS102" s="83" t="s">
        <v>1799</v>
      </c>
      <c r="AT102" s="93"/>
      <c r="AU102" s="93" t="s">
        <v>1793</v>
      </c>
      <c r="AV102" s="93" t="s">
        <v>1793</v>
      </c>
      <c r="AW102" s="83" t="s">
        <v>1800</v>
      </c>
      <c r="AX102" s="83">
        <v>1.0</v>
      </c>
      <c r="AY102" s="83">
        <v>1.0</v>
      </c>
      <c r="AZ102" s="83" t="s">
        <v>1801</v>
      </c>
      <c r="BA102" s="83" t="s">
        <v>1802</v>
      </c>
      <c r="BB102" s="83" t="s">
        <v>1803</v>
      </c>
      <c r="BC102" s="54" t="s">
        <v>34</v>
      </c>
      <c r="BD102" s="70" t="str">
        <f t="shared" si="1"/>
        <v>Chincha</v>
      </c>
      <c r="BE102" s="54" t="s">
        <v>140</v>
      </c>
      <c r="BF102" s="95" t="s">
        <v>141</v>
      </c>
      <c r="BG102" s="95" t="s">
        <v>142</v>
      </c>
      <c r="BH102" s="54"/>
      <c r="BI102" s="67"/>
      <c r="BJ102" s="67"/>
      <c r="BK102" s="54"/>
      <c r="BL102" s="54" t="s">
        <v>283</v>
      </c>
      <c r="BM102" s="54" t="s">
        <v>146</v>
      </c>
      <c r="BN102" s="104">
        <v>94.0</v>
      </c>
      <c r="BO102" s="83" t="s">
        <v>148</v>
      </c>
      <c r="BP102" s="54" t="s">
        <v>141</v>
      </c>
      <c r="BQ102" s="70" t="s">
        <v>144</v>
      </c>
      <c r="BR102" s="67" t="s">
        <v>149</v>
      </c>
      <c r="BS102" s="83">
        <v>1.0</v>
      </c>
      <c r="BT102" s="83"/>
      <c r="BU102" s="109">
        <f t="shared" si="2"/>
        <v>46204</v>
      </c>
      <c r="BV102" s="109" t="str">
        <f t="shared" si="3"/>
        <v/>
      </c>
      <c r="BW102" s="83" t="str">
        <f t="shared" si="4"/>
        <v/>
      </c>
      <c r="BX102" s="106"/>
      <c r="BY102" s="107"/>
      <c r="BZ102" s="113">
        <f t="shared" si="5"/>
        <v>0</v>
      </c>
      <c r="CA102" s="113">
        <f t="array" ref="CA102">IF($A102&lt;&gt;"",INDEX(LISTA!$M$2:$N$27,MATCH($BC102,LISTA!$N$2:$N$27,0),1),"")</f>
        <v>13</v>
      </c>
      <c r="CB102" s="54">
        <f t="shared" si="6"/>
        <v>7</v>
      </c>
      <c r="CC102" s="86" t="str">
        <f t="shared" si="7"/>
        <v/>
      </c>
    </row>
    <row r="103" ht="15.0" customHeight="1">
      <c r="A103" s="50">
        <v>46204.61296825232</v>
      </c>
      <c r="B103" s="53" t="s">
        <v>1684</v>
      </c>
      <c r="C103" s="54" t="s">
        <v>100</v>
      </c>
      <c r="D103" s="56" t="s">
        <v>101</v>
      </c>
      <c r="E103" s="57">
        <v>46206.375</v>
      </c>
      <c r="F103" s="54" t="s">
        <v>1734</v>
      </c>
      <c r="G103" s="158" t="s">
        <v>1724</v>
      </c>
      <c r="H103" s="60" t="s">
        <v>1725</v>
      </c>
      <c r="I103" s="67" t="s">
        <v>355</v>
      </c>
      <c r="J103" s="70" t="s">
        <v>1726</v>
      </c>
      <c r="K103" s="54" t="s">
        <v>109</v>
      </c>
      <c r="L103" s="70" t="s">
        <v>596</v>
      </c>
      <c r="M103" s="77" t="s">
        <v>597</v>
      </c>
      <c r="N103" s="78">
        <v>30645.0</v>
      </c>
      <c r="O103" s="80" t="s">
        <v>29</v>
      </c>
      <c r="P103" s="70" t="s">
        <v>984</v>
      </c>
      <c r="Q103" s="54"/>
      <c r="R103" s="84"/>
      <c r="S103" s="84"/>
      <c r="T103" s="54"/>
      <c r="U103" s="86"/>
      <c r="V103" s="54" t="s">
        <v>1727</v>
      </c>
      <c r="W103" s="86"/>
      <c r="X103" s="54"/>
      <c r="Y103" s="78"/>
      <c r="Z103" s="54"/>
      <c r="AA103" s="70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54" t="s">
        <v>1728</v>
      </c>
      <c r="AR103" s="83" t="s">
        <v>957</v>
      </c>
      <c r="AS103" s="83" t="s">
        <v>1729</v>
      </c>
      <c r="AT103" s="93"/>
      <c r="AU103" s="93" t="s">
        <v>1726</v>
      </c>
      <c r="AV103" s="93" t="s">
        <v>1726</v>
      </c>
      <c r="AW103" s="83" t="s">
        <v>1730</v>
      </c>
      <c r="AX103" s="83">
        <v>4.0</v>
      </c>
      <c r="AY103" s="83">
        <v>4.0</v>
      </c>
      <c r="AZ103" s="83" t="s">
        <v>1731</v>
      </c>
      <c r="BA103" s="83" t="s">
        <v>1732</v>
      </c>
      <c r="BB103" s="83" t="s">
        <v>1733</v>
      </c>
      <c r="BC103" s="54" t="s">
        <v>29</v>
      </c>
      <c r="BD103" s="54" t="str">
        <f t="shared" si="1"/>
        <v>Cajamarca</v>
      </c>
      <c r="BE103" s="54" t="s">
        <v>140</v>
      </c>
      <c r="BF103" s="95" t="s">
        <v>144</v>
      </c>
      <c r="BG103" s="95" t="s">
        <v>142</v>
      </c>
      <c r="BH103" s="54"/>
      <c r="BI103" s="67"/>
      <c r="BJ103" s="67"/>
      <c r="BK103" s="54"/>
      <c r="BL103" s="54" t="s">
        <v>283</v>
      </c>
      <c r="BM103" s="54" t="s">
        <v>146</v>
      </c>
      <c r="BN103" s="104">
        <v>94.0</v>
      </c>
      <c r="BO103" s="83" t="s">
        <v>148</v>
      </c>
      <c r="BP103" s="54" t="s">
        <v>141</v>
      </c>
      <c r="BQ103" s="70" t="s">
        <v>144</v>
      </c>
      <c r="BR103" s="67" t="s">
        <v>149</v>
      </c>
      <c r="BS103" s="83" t="s">
        <v>149</v>
      </c>
      <c r="BT103" s="83"/>
      <c r="BU103" s="109">
        <f t="shared" si="2"/>
        <v>46204</v>
      </c>
      <c r="BV103" s="109">
        <f t="shared" si="3"/>
        <v>46206</v>
      </c>
      <c r="BW103" s="83" t="str">
        <f t="shared" si="4"/>
        <v>09</v>
      </c>
      <c r="BX103" s="106"/>
      <c r="BY103" s="107"/>
      <c r="BZ103" s="113">
        <f t="shared" si="5"/>
        <v>0</v>
      </c>
      <c r="CA103" s="113">
        <f t="array" ref="CA103">IF($A103&lt;&gt;"",INDEX(LISTA!$M$2:$N$27,MATCH($BC103,LISTA!$N$2:$N$27,0),1),"")</f>
        <v>9</v>
      </c>
      <c r="CB103" s="54">
        <f t="shared" si="6"/>
        <v>7</v>
      </c>
      <c r="CC103" s="86" t="str">
        <f t="shared" si="7"/>
        <v/>
      </c>
    </row>
    <row r="104" ht="15.0" customHeight="1">
      <c r="A104" s="50">
        <v>46204.63740599537</v>
      </c>
      <c r="B104" s="159" t="s">
        <v>1684</v>
      </c>
      <c r="C104" s="54" t="s">
        <v>100</v>
      </c>
      <c r="D104" s="154" t="s">
        <v>101</v>
      </c>
      <c r="E104" s="57"/>
      <c r="F104" s="54" t="s">
        <v>1734</v>
      </c>
      <c r="G104" s="60"/>
      <c r="H104" s="63"/>
      <c r="I104" s="67" t="s">
        <v>107</v>
      </c>
      <c r="J104" s="70" t="s">
        <v>1737</v>
      </c>
      <c r="K104" s="54" t="s">
        <v>109</v>
      </c>
      <c r="L104" s="70" t="s">
        <v>607</v>
      </c>
      <c r="M104" s="77" t="s">
        <v>608</v>
      </c>
      <c r="N104" s="78">
        <v>24623.0</v>
      </c>
      <c r="O104" s="80" t="s">
        <v>27</v>
      </c>
      <c r="P104" s="70" t="s">
        <v>1738</v>
      </c>
      <c r="Q104" s="54"/>
      <c r="R104" s="84"/>
      <c r="S104" s="84"/>
      <c r="T104" s="54" t="s">
        <v>122</v>
      </c>
      <c r="U104" s="86"/>
      <c r="V104" s="54"/>
      <c r="W104" s="86"/>
      <c r="X104" s="54"/>
      <c r="Y104" s="78"/>
      <c r="Z104" s="54"/>
      <c r="AA104" s="70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54" t="s">
        <v>754</v>
      </c>
      <c r="AR104" s="83" t="s">
        <v>1739</v>
      </c>
      <c r="AS104" s="83" t="s">
        <v>1740</v>
      </c>
      <c r="AT104" s="93"/>
      <c r="AU104" s="93" t="s">
        <v>1737</v>
      </c>
      <c r="AV104" s="93" t="s">
        <v>1741</v>
      </c>
      <c r="AW104" s="83" t="s">
        <v>1742</v>
      </c>
      <c r="AX104" s="83">
        <v>2.0</v>
      </c>
      <c r="AY104" s="83">
        <v>1.0</v>
      </c>
      <c r="AZ104" s="83" t="s">
        <v>1743</v>
      </c>
      <c r="BA104" s="83" t="s">
        <v>1744</v>
      </c>
      <c r="BB104" s="83" t="s">
        <v>1745</v>
      </c>
      <c r="BC104" s="54" t="s">
        <v>27</v>
      </c>
      <c r="BD104" s="54" t="str">
        <f t="shared" si="1"/>
        <v>Arequipa</v>
      </c>
      <c r="BE104" s="54" t="s">
        <v>140</v>
      </c>
      <c r="BF104" s="95" t="s">
        <v>144</v>
      </c>
      <c r="BG104" s="95" t="s">
        <v>142</v>
      </c>
      <c r="BH104" s="54"/>
      <c r="BI104" s="67"/>
      <c r="BJ104" s="67"/>
      <c r="BK104" s="54"/>
      <c r="BL104" s="54" t="s">
        <v>283</v>
      </c>
      <c r="BM104" s="54" t="s">
        <v>146</v>
      </c>
      <c r="BN104" s="104">
        <v>94.0</v>
      </c>
      <c r="BO104" s="83" t="s">
        <v>148</v>
      </c>
      <c r="BP104" s="54" t="s">
        <v>141</v>
      </c>
      <c r="BQ104" s="70" t="s">
        <v>144</v>
      </c>
      <c r="BR104" s="67" t="s">
        <v>149</v>
      </c>
      <c r="BS104" s="83">
        <v>1.0</v>
      </c>
      <c r="BT104" s="83"/>
      <c r="BU104" s="109">
        <f t="shared" si="2"/>
        <v>46204</v>
      </c>
      <c r="BV104" s="109" t="str">
        <f t="shared" si="3"/>
        <v/>
      </c>
      <c r="BW104" s="83" t="str">
        <f t="shared" si="4"/>
        <v/>
      </c>
      <c r="BX104" s="106"/>
      <c r="BY104" s="107"/>
      <c r="BZ104" s="113">
        <f t="shared" si="5"/>
        <v>0</v>
      </c>
      <c r="CA104" s="113">
        <f t="array" ref="CA104">IF($A104&lt;&gt;"",INDEX(LISTA!$M$2:$N$27,MATCH($BC104,LISTA!$N$2:$N$27,0),1),"")</f>
        <v>7</v>
      </c>
      <c r="CB104" s="54">
        <f t="shared" si="6"/>
        <v>7</v>
      </c>
      <c r="CC104" s="86" t="str">
        <f t="shared" si="7"/>
        <v/>
      </c>
    </row>
    <row r="105" ht="15.0" customHeight="1">
      <c r="A105" s="50"/>
      <c r="B105" s="53"/>
      <c r="C105" s="54"/>
      <c r="D105" s="56"/>
      <c r="E105" s="57"/>
      <c r="F105" s="54"/>
      <c r="G105" s="60"/>
      <c r="H105" s="63"/>
      <c r="I105" s="67"/>
      <c r="J105" s="70"/>
      <c r="K105" s="54"/>
      <c r="L105" s="70"/>
      <c r="M105" s="77"/>
      <c r="N105" s="78"/>
      <c r="O105" s="80"/>
      <c r="P105" s="70"/>
      <c r="Q105" s="54"/>
      <c r="R105" s="84"/>
      <c r="S105" s="84"/>
      <c r="T105" s="54"/>
      <c r="U105" s="86"/>
      <c r="V105" s="54"/>
      <c r="W105" s="86"/>
      <c r="X105" s="54"/>
      <c r="Y105" s="78"/>
      <c r="Z105" s="54"/>
      <c r="AA105" s="70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54"/>
      <c r="AR105" s="83"/>
      <c r="AS105" s="83"/>
      <c r="AT105" s="93"/>
      <c r="AU105" s="93"/>
      <c r="AV105" s="93"/>
      <c r="AW105" s="83"/>
      <c r="AX105" s="83"/>
      <c r="AY105" s="83"/>
      <c r="AZ105" s="83"/>
      <c r="BA105" s="83"/>
      <c r="BB105" s="83"/>
      <c r="BC105" s="54"/>
      <c r="BD105" s="54" t="str">
        <f t="shared" si="1"/>
        <v/>
      </c>
      <c r="BE105" s="54"/>
      <c r="BF105" s="95"/>
      <c r="BG105" s="95"/>
      <c r="BH105" s="54"/>
      <c r="BI105" s="67"/>
      <c r="BJ105" s="67"/>
      <c r="BK105" s="54"/>
      <c r="BL105" s="54"/>
      <c r="BM105" s="54"/>
      <c r="BN105" s="104"/>
      <c r="BO105" s="83"/>
      <c r="BP105" s="54"/>
      <c r="BQ105" s="70"/>
      <c r="BR105" s="67"/>
      <c r="BS105" s="83"/>
      <c r="BT105" s="83"/>
      <c r="BU105" s="109" t="str">
        <f t="shared" si="2"/>
        <v/>
      </c>
      <c r="BV105" s="109" t="str">
        <f t="shared" si="3"/>
        <v/>
      </c>
      <c r="BW105" s="83" t="str">
        <f t="shared" si="4"/>
        <v/>
      </c>
      <c r="BX105" s="106"/>
      <c r="BY105" s="107"/>
      <c r="BZ105" s="113" t="str">
        <f t="shared" si="5"/>
        <v/>
      </c>
      <c r="CA105" s="113" t="str">
        <f t="array" ref="CA105">IF($A105&lt;&gt;"",INDEX(LISTA!$M$2:$N$27,MATCH($BC105,LISTA!$N$2:$N$27,0),1),"")</f>
        <v/>
      </c>
      <c r="CB105" s="54" t="str">
        <f t="shared" si="6"/>
        <v/>
      </c>
      <c r="CC105" s="86" t="str">
        <f t="shared" si="7"/>
        <v/>
      </c>
    </row>
    <row r="106" ht="15.0" customHeight="1">
      <c r="A106" s="50"/>
      <c r="B106" s="53"/>
      <c r="C106" s="54"/>
      <c r="D106" s="56"/>
      <c r="E106" s="57"/>
      <c r="F106" s="54"/>
      <c r="G106" s="60"/>
      <c r="H106" s="63"/>
      <c r="I106" s="67"/>
      <c r="J106" s="70"/>
      <c r="K106" s="54"/>
      <c r="L106" s="70"/>
      <c r="M106" s="77"/>
      <c r="N106" s="78"/>
      <c r="O106" s="80"/>
      <c r="P106" s="70"/>
      <c r="Q106" s="54"/>
      <c r="R106" s="84"/>
      <c r="S106" s="84"/>
      <c r="T106" s="54"/>
      <c r="U106" s="86"/>
      <c r="V106" s="54"/>
      <c r="W106" s="86"/>
      <c r="X106" s="54"/>
      <c r="Y106" s="78"/>
      <c r="Z106" s="54"/>
      <c r="AA106" s="70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54"/>
      <c r="AR106" s="83"/>
      <c r="AS106" s="83"/>
      <c r="AT106" s="93"/>
      <c r="AU106" s="93"/>
      <c r="AV106" s="93"/>
      <c r="AW106" s="83"/>
      <c r="AX106" s="83"/>
      <c r="AY106" s="83"/>
      <c r="AZ106" s="83"/>
      <c r="BA106" s="83"/>
      <c r="BB106" s="83"/>
      <c r="BC106" s="54"/>
      <c r="BD106" s="54" t="str">
        <f t="shared" si="1"/>
        <v/>
      </c>
      <c r="BE106" s="54"/>
      <c r="BF106" s="95"/>
      <c r="BG106" s="95"/>
      <c r="BH106" s="54"/>
      <c r="BI106" s="67"/>
      <c r="BJ106" s="67"/>
      <c r="BK106" s="54"/>
      <c r="BL106" s="54"/>
      <c r="BM106" s="54"/>
      <c r="BN106" s="104"/>
      <c r="BO106" s="83"/>
      <c r="BP106" s="54"/>
      <c r="BQ106" s="70"/>
      <c r="BR106" s="67"/>
      <c r="BS106" s="83"/>
      <c r="BT106" s="83"/>
      <c r="BU106" s="109" t="str">
        <f t="shared" si="2"/>
        <v/>
      </c>
      <c r="BV106" s="109" t="str">
        <f t="shared" si="3"/>
        <v/>
      </c>
      <c r="BW106" s="83" t="str">
        <f t="shared" si="4"/>
        <v/>
      </c>
      <c r="BX106" s="106"/>
      <c r="BY106" s="107"/>
      <c r="BZ106" s="113" t="str">
        <f t="shared" si="5"/>
        <v/>
      </c>
      <c r="CA106" s="113" t="str">
        <f t="array" ref="CA106">IF($A106&lt;&gt;"",INDEX(LISTA!$M$2:$N$27,MATCH($BC106,LISTA!$N$2:$N$27,0),1),"")</f>
        <v/>
      </c>
      <c r="CB106" s="54" t="str">
        <f t="shared" si="6"/>
        <v/>
      </c>
      <c r="CC106" s="86" t="str">
        <f t="shared" si="7"/>
        <v/>
      </c>
    </row>
    <row r="107" ht="15.0" customHeight="1">
      <c r="A107" s="50"/>
      <c r="B107" s="53"/>
      <c r="C107" s="54"/>
      <c r="D107" s="56"/>
      <c r="E107" s="57"/>
      <c r="F107" s="54"/>
      <c r="G107" s="60"/>
      <c r="H107" s="63"/>
      <c r="I107" s="67"/>
      <c r="J107" s="70"/>
      <c r="K107" s="54"/>
      <c r="L107" s="70"/>
      <c r="M107" s="77"/>
      <c r="N107" s="78"/>
      <c r="O107" s="80"/>
      <c r="P107" s="70"/>
      <c r="Q107" s="54"/>
      <c r="R107" s="84"/>
      <c r="S107" s="84"/>
      <c r="T107" s="54"/>
      <c r="U107" s="86"/>
      <c r="V107" s="54"/>
      <c r="W107" s="86"/>
      <c r="X107" s="54"/>
      <c r="Y107" s="78"/>
      <c r="Z107" s="54"/>
      <c r="AA107" s="70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54"/>
      <c r="AR107" s="83"/>
      <c r="AS107" s="83"/>
      <c r="AT107" s="93"/>
      <c r="AU107" s="93"/>
      <c r="AV107" s="93"/>
      <c r="AW107" s="83"/>
      <c r="AX107" s="83"/>
      <c r="AY107" s="83"/>
      <c r="AZ107" s="83"/>
      <c r="BA107" s="83"/>
      <c r="BB107" s="83"/>
      <c r="BC107" s="54"/>
      <c r="BD107" s="54" t="str">
        <f t="shared" si="1"/>
        <v/>
      </c>
      <c r="BE107" s="54"/>
      <c r="BF107" s="95"/>
      <c r="BG107" s="95"/>
      <c r="BH107" s="54"/>
      <c r="BI107" s="67"/>
      <c r="BJ107" s="67"/>
      <c r="BK107" s="54"/>
      <c r="BL107" s="54"/>
      <c r="BM107" s="54"/>
      <c r="BN107" s="104"/>
      <c r="BO107" s="83"/>
      <c r="BP107" s="54"/>
      <c r="BQ107" s="70"/>
      <c r="BR107" s="67"/>
      <c r="BS107" s="83"/>
      <c r="BT107" s="83"/>
      <c r="BU107" s="109"/>
      <c r="BV107" s="109"/>
      <c r="BW107" s="83"/>
      <c r="BX107" s="106"/>
      <c r="BY107" s="107"/>
      <c r="BZ107" s="113" t="str">
        <f t="shared" si="5"/>
        <v/>
      </c>
      <c r="CA107" s="113" t="str">
        <f t="array" ref="CA107">IF($A107&lt;&gt;"",INDEX(LISTA!$M$2:$N$27,MATCH($BC107,LISTA!$N$2:$N$27,0),1),"")</f>
        <v/>
      </c>
      <c r="CB107" s="54" t="str">
        <f t="shared" si="6"/>
        <v/>
      </c>
      <c r="CC107" s="86" t="str">
        <f t="shared" si="7"/>
        <v/>
      </c>
    </row>
    <row r="108" ht="15.0" customHeight="1">
      <c r="A108" s="50"/>
      <c r="B108" s="53"/>
      <c r="C108" s="54"/>
      <c r="D108" s="56"/>
      <c r="E108" s="57"/>
      <c r="F108" s="54"/>
      <c r="G108" s="60"/>
      <c r="H108" s="63"/>
      <c r="I108" s="67"/>
      <c r="J108" s="70"/>
      <c r="K108" s="54"/>
      <c r="L108" s="70"/>
      <c r="M108" s="77"/>
      <c r="N108" s="78"/>
      <c r="O108" s="80"/>
      <c r="P108" s="70"/>
      <c r="Q108" s="54"/>
      <c r="R108" s="84"/>
      <c r="S108" s="84"/>
      <c r="T108" s="54"/>
      <c r="U108" s="86"/>
      <c r="V108" s="54"/>
      <c r="W108" s="86"/>
      <c r="X108" s="54"/>
      <c r="Y108" s="78"/>
      <c r="Z108" s="54"/>
      <c r="AA108" s="70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54"/>
      <c r="AR108" s="83"/>
      <c r="AS108" s="83"/>
      <c r="AT108" s="93"/>
      <c r="AU108" s="93"/>
      <c r="AV108" s="93"/>
      <c r="AW108" s="83"/>
      <c r="AX108" s="83"/>
      <c r="AY108" s="83"/>
      <c r="AZ108" s="83"/>
      <c r="BA108" s="83"/>
      <c r="BB108" s="83"/>
      <c r="BC108" s="54"/>
      <c r="BD108" s="54" t="str">
        <f t="shared" si="1"/>
        <v/>
      </c>
      <c r="BE108" s="54"/>
      <c r="BF108" s="95"/>
      <c r="BG108" s="95"/>
      <c r="BH108" s="54"/>
      <c r="BI108" s="67"/>
      <c r="BJ108" s="67"/>
      <c r="BK108" s="54"/>
      <c r="BL108" s="54"/>
      <c r="BM108" s="54"/>
      <c r="BN108" s="104"/>
      <c r="BO108" s="83"/>
      <c r="BP108" s="54"/>
      <c r="BQ108" s="70"/>
      <c r="BR108" s="67"/>
      <c r="BS108" s="83"/>
      <c r="BT108" s="83"/>
      <c r="BU108" s="109" t="str">
        <f t="shared" ref="BU108:BU203" si="8">IF($A108&lt;&gt;"", DATE(YEAR($A108),MONTH($A108),DAY($A108)),"")</f>
        <v/>
      </c>
      <c r="BV108" s="109" t="str">
        <f t="shared" ref="BV108:BV203" si="9">IF($E108&lt;&gt;"",DATE(YEAR($E108),MONTH($E108),DAY($E108)),"")</f>
        <v/>
      </c>
      <c r="BW108" s="83" t="str">
        <f t="shared" ref="BW108:BW203" si="10">IF($E108&lt;&gt;"",TEXT($E108,"HH"),"")</f>
        <v/>
      </c>
      <c r="BX108" s="106"/>
      <c r="BY108" s="107"/>
      <c r="BZ108" s="113" t="str">
        <f t="shared" si="5"/>
        <v/>
      </c>
      <c r="CA108" s="113" t="str">
        <f t="array" ref="CA108">IF($A108&lt;&gt;"",INDEX(LISTA!$M$2:$N$27,MATCH($BC108,LISTA!$N$2:$N$27,0),1),"")</f>
        <v/>
      </c>
      <c r="CB108" s="54" t="str">
        <f t="shared" si="6"/>
        <v/>
      </c>
      <c r="CC108" s="86" t="str">
        <f t="shared" si="7"/>
        <v/>
      </c>
    </row>
    <row r="109" ht="15.0" customHeight="1">
      <c r="A109" s="50"/>
      <c r="B109" s="53"/>
      <c r="C109" s="54"/>
      <c r="D109" s="56"/>
      <c r="E109" s="57"/>
      <c r="F109" s="54"/>
      <c r="G109" s="60"/>
      <c r="H109" s="63"/>
      <c r="I109" s="67"/>
      <c r="J109" s="70"/>
      <c r="K109" s="54"/>
      <c r="L109" s="70"/>
      <c r="M109" s="77"/>
      <c r="N109" s="78"/>
      <c r="O109" s="80"/>
      <c r="P109" s="70"/>
      <c r="Q109" s="54"/>
      <c r="R109" s="84"/>
      <c r="S109" s="84"/>
      <c r="T109" s="54"/>
      <c r="U109" s="86"/>
      <c r="V109" s="54"/>
      <c r="W109" s="86"/>
      <c r="X109" s="54"/>
      <c r="Y109" s="78"/>
      <c r="Z109" s="54"/>
      <c r="AA109" s="70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54"/>
      <c r="AR109" s="83"/>
      <c r="AS109" s="83"/>
      <c r="AT109" s="93"/>
      <c r="AU109" s="93"/>
      <c r="AV109" s="93"/>
      <c r="AW109" s="83"/>
      <c r="AX109" s="83"/>
      <c r="AY109" s="83"/>
      <c r="AZ109" s="83"/>
      <c r="BA109" s="83"/>
      <c r="BB109" s="83"/>
      <c r="BC109" s="54"/>
      <c r="BD109" s="54" t="str">
        <f t="shared" si="1"/>
        <v/>
      </c>
      <c r="BE109" s="54"/>
      <c r="BF109" s="95"/>
      <c r="BG109" s="95"/>
      <c r="BH109" s="54"/>
      <c r="BI109" s="67"/>
      <c r="BJ109" s="67"/>
      <c r="BK109" s="54"/>
      <c r="BL109" s="54"/>
      <c r="BM109" s="54"/>
      <c r="BN109" s="104"/>
      <c r="BO109" s="83"/>
      <c r="BP109" s="54"/>
      <c r="BQ109" s="70"/>
      <c r="BR109" s="67"/>
      <c r="BS109" s="83"/>
      <c r="BT109" s="83"/>
      <c r="BU109" s="109" t="str">
        <f t="shared" si="8"/>
        <v/>
      </c>
      <c r="BV109" s="109" t="str">
        <f t="shared" si="9"/>
        <v/>
      </c>
      <c r="BW109" s="83" t="str">
        <f t="shared" si="10"/>
        <v/>
      </c>
      <c r="BX109" s="106"/>
      <c r="BY109" s="107"/>
      <c r="BZ109" s="113" t="str">
        <f t="shared" si="5"/>
        <v/>
      </c>
      <c r="CA109" s="113" t="str">
        <f t="array" ref="CA109">IF($A109&lt;&gt;"",INDEX(LISTA!$M$2:$N$27,MATCH($BC109,LISTA!$N$2:$N$27,0),1),"")</f>
        <v/>
      </c>
      <c r="CB109" s="54" t="str">
        <f t="shared" si="6"/>
        <v/>
      </c>
      <c r="CC109" s="86" t="str">
        <f t="shared" si="7"/>
        <v/>
      </c>
    </row>
    <row r="110" ht="15.0" customHeight="1">
      <c r="A110" s="50"/>
      <c r="B110" s="53"/>
      <c r="C110" s="54"/>
      <c r="D110" s="56"/>
      <c r="E110" s="57"/>
      <c r="F110" s="54"/>
      <c r="G110" s="60"/>
      <c r="H110" s="63"/>
      <c r="I110" s="67"/>
      <c r="J110" s="70"/>
      <c r="K110" s="54"/>
      <c r="L110" s="70"/>
      <c r="M110" s="77"/>
      <c r="N110" s="78"/>
      <c r="O110" s="80"/>
      <c r="P110" s="70"/>
      <c r="Q110" s="54"/>
      <c r="R110" s="84"/>
      <c r="S110" s="84"/>
      <c r="T110" s="54"/>
      <c r="U110" s="86"/>
      <c r="V110" s="54"/>
      <c r="W110" s="86"/>
      <c r="X110" s="54"/>
      <c r="Y110" s="78"/>
      <c r="Z110" s="54"/>
      <c r="AA110" s="70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54"/>
      <c r="AR110" s="83"/>
      <c r="AS110" s="83"/>
      <c r="AT110" s="93"/>
      <c r="AU110" s="93"/>
      <c r="AV110" s="93"/>
      <c r="AW110" s="83"/>
      <c r="AX110" s="83"/>
      <c r="AY110" s="83"/>
      <c r="AZ110" s="83"/>
      <c r="BA110" s="83"/>
      <c r="BB110" s="83"/>
      <c r="BC110" s="54"/>
      <c r="BD110" s="54" t="str">
        <f t="shared" si="1"/>
        <v/>
      </c>
      <c r="BE110" s="54"/>
      <c r="BF110" s="95"/>
      <c r="BG110" s="95"/>
      <c r="BH110" s="54"/>
      <c r="BI110" s="67"/>
      <c r="BJ110" s="67"/>
      <c r="BK110" s="54"/>
      <c r="BL110" s="54"/>
      <c r="BM110" s="54"/>
      <c r="BN110" s="104"/>
      <c r="BO110" s="83"/>
      <c r="BP110" s="54"/>
      <c r="BQ110" s="70"/>
      <c r="BR110" s="67"/>
      <c r="BS110" s="83"/>
      <c r="BT110" s="83"/>
      <c r="BU110" s="109" t="str">
        <f t="shared" si="8"/>
        <v/>
      </c>
      <c r="BV110" s="109" t="str">
        <f t="shared" si="9"/>
        <v/>
      </c>
      <c r="BW110" s="83" t="str">
        <f t="shared" si="10"/>
        <v/>
      </c>
      <c r="BX110" s="106"/>
      <c r="BY110" s="107"/>
      <c r="BZ110" s="113" t="str">
        <f t="shared" si="5"/>
        <v/>
      </c>
      <c r="CA110" s="113" t="str">
        <f t="array" ref="CA110">IF($A110&lt;&gt;"",INDEX(LISTA!$M$2:$N$27,MATCH($BC110,LISTA!$N$2:$N$27,0),1),"")</f>
        <v/>
      </c>
      <c r="CB110" s="54" t="str">
        <f t="shared" si="6"/>
        <v/>
      </c>
      <c r="CC110" s="86" t="str">
        <f t="shared" si="7"/>
        <v/>
      </c>
    </row>
    <row r="111" ht="15.0" customHeight="1">
      <c r="A111" s="50"/>
      <c r="B111" s="53"/>
      <c r="C111" s="54"/>
      <c r="D111" s="56"/>
      <c r="E111" s="57"/>
      <c r="F111" s="54"/>
      <c r="G111" s="60"/>
      <c r="H111" s="63"/>
      <c r="I111" s="67"/>
      <c r="J111" s="70"/>
      <c r="K111" s="54"/>
      <c r="L111" s="70"/>
      <c r="M111" s="77"/>
      <c r="N111" s="78"/>
      <c r="O111" s="80"/>
      <c r="P111" s="70"/>
      <c r="Q111" s="54"/>
      <c r="R111" s="84"/>
      <c r="S111" s="84"/>
      <c r="T111" s="54"/>
      <c r="U111" s="86"/>
      <c r="V111" s="54"/>
      <c r="W111" s="86"/>
      <c r="X111" s="54"/>
      <c r="Y111" s="78"/>
      <c r="Z111" s="54"/>
      <c r="AA111" s="70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54"/>
      <c r="AR111" s="83"/>
      <c r="AS111" s="83"/>
      <c r="AT111" s="93"/>
      <c r="AU111" s="93"/>
      <c r="AV111" s="93"/>
      <c r="AW111" s="83"/>
      <c r="AX111" s="83"/>
      <c r="AY111" s="83"/>
      <c r="AZ111" s="83"/>
      <c r="BA111" s="83"/>
      <c r="BB111" s="83"/>
      <c r="BC111" s="54"/>
      <c r="BD111" s="54" t="str">
        <f t="shared" si="1"/>
        <v/>
      </c>
      <c r="BE111" s="54"/>
      <c r="BF111" s="95"/>
      <c r="BG111" s="95"/>
      <c r="BH111" s="54"/>
      <c r="BI111" s="67"/>
      <c r="BJ111" s="67"/>
      <c r="BK111" s="54"/>
      <c r="BL111" s="54"/>
      <c r="BM111" s="54"/>
      <c r="BN111" s="104"/>
      <c r="BO111" s="83"/>
      <c r="BP111" s="54"/>
      <c r="BQ111" s="70"/>
      <c r="BR111" s="67"/>
      <c r="BS111" s="83"/>
      <c r="BT111" s="83"/>
      <c r="BU111" s="109" t="str">
        <f t="shared" si="8"/>
        <v/>
      </c>
      <c r="BV111" s="109" t="str">
        <f t="shared" si="9"/>
        <v/>
      </c>
      <c r="BW111" s="83" t="str">
        <f t="shared" si="10"/>
        <v/>
      </c>
      <c r="BX111" s="106"/>
      <c r="BY111" s="107"/>
      <c r="BZ111" s="113" t="str">
        <f t="shared" si="5"/>
        <v/>
      </c>
      <c r="CA111" s="113" t="str">
        <f t="array" ref="CA111">IF($A111&lt;&gt;"",INDEX(LISTA!$M$2:$N$27,MATCH($BC111,LISTA!$N$2:$N$27,0),1),"")</f>
        <v/>
      </c>
      <c r="CB111" s="54" t="str">
        <f t="shared" si="6"/>
        <v/>
      </c>
      <c r="CC111" s="86" t="str">
        <f t="shared" si="7"/>
        <v/>
      </c>
    </row>
    <row r="112" ht="15.0" customHeight="1">
      <c r="A112" s="50"/>
      <c r="B112" s="53"/>
      <c r="C112" s="54"/>
      <c r="D112" s="56"/>
      <c r="E112" s="57"/>
      <c r="F112" s="54"/>
      <c r="G112" s="60"/>
      <c r="H112" s="63"/>
      <c r="I112" s="67"/>
      <c r="J112" s="70"/>
      <c r="K112" s="54"/>
      <c r="L112" s="70"/>
      <c r="M112" s="77"/>
      <c r="N112" s="78"/>
      <c r="O112" s="80"/>
      <c r="P112" s="70"/>
      <c r="Q112" s="54"/>
      <c r="R112" s="84"/>
      <c r="S112" s="84"/>
      <c r="T112" s="54"/>
      <c r="U112" s="86"/>
      <c r="V112" s="54"/>
      <c r="W112" s="86"/>
      <c r="X112" s="54"/>
      <c r="Y112" s="78"/>
      <c r="Z112" s="54"/>
      <c r="AA112" s="70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54"/>
      <c r="AR112" s="83"/>
      <c r="AS112" s="83"/>
      <c r="AT112" s="93"/>
      <c r="AU112" s="93"/>
      <c r="AV112" s="93"/>
      <c r="AW112" s="83"/>
      <c r="AX112" s="83"/>
      <c r="AY112" s="83"/>
      <c r="AZ112" s="83"/>
      <c r="BA112" s="83"/>
      <c r="BB112" s="83"/>
      <c r="BC112" s="54"/>
      <c r="BD112" s="54" t="str">
        <f t="shared" si="1"/>
        <v/>
      </c>
      <c r="BE112" s="54"/>
      <c r="BF112" s="95"/>
      <c r="BG112" s="95"/>
      <c r="BH112" s="54"/>
      <c r="BI112" s="67"/>
      <c r="BJ112" s="67"/>
      <c r="BK112" s="54"/>
      <c r="BL112" s="54"/>
      <c r="BM112" s="54"/>
      <c r="BN112" s="104"/>
      <c r="BO112" s="83"/>
      <c r="BP112" s="54"/>
      <c r="BQ112" s="70"/>
      <c r="BR112" s="67"/>
      <c r="BS112" s="83"/>
      <c r="BT112" s="83"/>
      <c r="BU112" s="109" t="str">
        <f t="shared" si="8"/>
        <v/>
      </c>
      <c r="BV112" s="109" t="str">
        <f t="shared" si="9"/>
        <v/>
      </c>
      <c r="BW112" s="83" t="str">
        <f t="shared" si="10"/>
        <v/>
      </c>
      <c r="BX112" s="106"/>
      <c r="BY112" s="107"/>
      <c r="BZ112" s="113" t="str">
        <f t="shared" si="5"/>
        <v/>
      </c>
      <c r="CA112" s="113" t="str">
        <f t="array" ref="CA112">IF($A112&lt;&gt;"",INDEX(LISTA!$M$2:$N$27,MATCH($BC112,LISTA!$N$2:$N$27,0),1),"")</f>
        <v/>
      </c>
      <c r="CB112" s="54" t="str">
        <f t="shared" si="6"/>
        <v/>
      </c>
      <c r="CC112" s="86" t="str">
        <f t="shared" si="7"/>
        <v/>
      </c>
    </row>
    <row r="113" ht="15.0" customHeight="1">
      <c r="A113" s="50"/>
      <c r="B113" s="53"/>
      <c r="C113" s="54"/>
      <c r="D113" s="56"/>
      <c r="E113" s="57"/>
      <c r="F113" s="54"/>
      <c r="G113" s="60"/>
      <c r="H113" s="63"/>
      <c r="I113" s="67"/>
      <c r="J113" s="70"/>
      <c r="K113" s="54"/>
      <c r="L113" s="70"/>
      <c r="M113" s="77"/>
      <c r="N113" s="78"/>
      <c r="O113" s="80"/>
      <c r="P113" s="70"/>
      <c r="Q113" s="54"/>
      <c r="R113" s="84"/>
      <c r="S113" s="84"/>
      <c r="T113" s="54"/>
      <c r="U113" s="86"/>
      <c r="V113" s="54"/>
      <c r="W113" s="86"/>
      <c r="X113" s="54"/>
      <c r="Y113" s="78"/>
      <c r="Z113" s="54"/>
      <c r="AA113" s="70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54"/>
      <c r="AR113" s="83"/>
      <c r="AS113" s="83"/>
      <c r="AT113" s="93"/>
      <c r="AU113" s="93"/>
      <c r="AV113" s="93"/>
      <c r="AW113" s="83"/>
      <c r="AX113" s="83"/>
      <c r="AY113" s="83"/>
      <c r="AZ113" s="83"/>
      <c r="BA113" s="83"/>
      <c r="BB113" s="83"/>
      <c r="BC113" s="54"/>
      <c r="BD113" s="54" t="str">
        <f t="shared" si="1"/>
        <v/>
      </c>
      <c r="BE113" s="54"/>
      <c r="BF113" s="95"/>
      <c r="BG113" s="95"/>
      <c r="BH113" s="54"/>
      <c r="BI113" s="67"/>
      <c r="BJ113" s="67"/>
      <c r="BK113" s="54"/>
      <c r="BL113" s="54"/>
      <c r="BM113" s="54"/>
      <c r="BN113" s="104"/>
      <c r="BO113" s="83"/>
      <c r="BP113" s="54"/>
      <c r="BQ113" s="70"/>
      <c r="BR113" s="67"/>
      <c r="BS113" s="83"/>
      <c r="BT113" s="83"/>
      <c r="BU113" s="109" t="str">
        <f t="shared" si="8"/>
        <v/>
      </c>
      <c r="BV113" s="109" t="str">
        <f t="shared" si="9"/>
        <v/>
      </c>
      <c r="BW113" s="83" t="str">
        <f t="shared" si="10"/>
        <v/>
      </c>
      <c r="BX113" s="106"/>
      <c r="BY113" s="107"/>
      <c r="BZ113" s="113" t="str">
        <f t="shared" si="5"/>
        <v/>
      </c>
      <c r="CA113" s="113" t="str">
        <f t="array" ref="CA113">IF($A113&lt;&gt;"",INDEX(LISTA!$M$2:$N$27,MATCH($BC113,LISTA!$N$2:$N$27,0),1),"")</f>
        <v/>
      </c>
      <c r="CB113" s="54" t="str">
        <f t="shared" si="6"/>
        <v/>
      </c>
      <c r="CC113" s="86" t="str">
        <f t="shared" si="7"/>
        <v/>
      </c>
    </row>
    <row r="114" ht="15.0" customHeight="1">
      <c r="A114" s="50"/>
      <c r="B114" s="53"/>
      <c r="C114" s="54"/>
      <c r="D114" s="56"/>
      <c r="E114" s="57"/>
      <c r="F114" s="54"/>
      <c r="G114" s="60"/>
      <c r="H114" s="63"/>
      <c r="I114" s="67"/>
      <c r="J114" s="70"/>
      <c r="K114" s="54"/>
      <c r="L114" s="70"/>
      <c r="M114" s="77"/>
      <c r="N114" s="78"/>
      <c r="O114" s="80"/>
      <c r="P114" s="70"/>
      <c r="Q114" s="54"/>
      <c r="R114" s="84"/>
      <c r="S114" s="84"/>
      <c r="T114" s="54"/>
      <c r="U114" s="86"/>
      <c r="V114" s="54"/>
      <c r="W114" s="86"/>
      <c r="X114" s="54"/>
      <c r="Y114" s="78"/>
      <c r="Z114" s="54"/>
      <c r="AA114" s="70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54"/>
      <c r="AR114" s="83"/>
      <c r="AS114" s="83"/>
      <c r="AT114" s="93"/>
      <c r="AU114" s="93"/>
      <c r="AV114" s="93"/>
      <c r="AW114" s="83"/>
      <c r="AX114" s="83"/>
      <c r="AY114" s="83"/>
      <c r="AZ114" s="83"/>
      <c r="BA114" s="83"/>
      <c r="BB114" s="83"/>
      <c r="BC114" s="54"/>
      <c r="BD114" s="54" t="str">
        <f t="shared" si="1"/>
        <v/>
      </c>
      <c r="BE114" s="54"/>
      <c r="BF114" s="95"/>
      <c r="BG114" s="95"/>
      <c r="BH114" s="54"/>
      <c r="BI114" s="67"/>
      <c r="BJ114" s="67"/>
      <c r="BK114" s="54"/>
      <c r="BL114" s="54"/>
      <c r="BM114" s="54"/>
      <c r="BN114" s="104"/>
      <c r="BO114" s="83"/>
      <c r="BP114" s="54"/>
      <c r="BQ114" s="70"/>
      <c r="BR114" s="67"/>
      <c r="BS114" s="83"/>
      <c r="BT114" s="83"/>
      <c r="BU114" s="109" t="str">
        <f t="shared" si="8"/>
        <v/>
      </c>
      <c r="BV114" s="109" t="str">
        <f t="shared" si="9"/>
        <v/>
      </c>
      <c r="BW114" s="83" t="str">
        <f t="shared" si="10"/>
        <v/>
      </c>
      <c r="BX114" s="106"/>
      <c r="BY114" s="107"/>
      <c r="BZ114" s="113" t="str">
        <f t="shared" si="5"/>
        <v/>
      </c>
      <c r="CA114" s="113" t="str">
        <f t="array" ref="CA114">IF($A114&lt;&gt;"",INDEX(LISTA!$M$2:$N$27,MATCH($BC114,LISTA!$N$2:$N$27,0),1),"")</f>
        <v/>
      </c>
      <c r="CB114" s="54" t="str">
        <f t="shared" si="6"/>
        <v/>
      </c>
      <c r="CC114" s="86" t="str">
        <f t="shared" si="7"/>
        <v/>
      </c>
    </row>
    <row r="115" ht="15.0" customHeight="1">
      <c r="A115" s="50"/>
      <c r="B115" s="53"/>
      <c r="C115" s="54"/>
      <c r="D115" s="56"/>
      <c r="E115" s="57"/>
      <c r="F115" s="54"/>
      <c r="G115" s="60"/>
      <c r="H115" s="63"/>
      <c r="I115" s="67"/>
      <c r="J115" s="70"/>
      <c r="K115" s="54"/>
      <c r="L115" s="70"/>
      <c r="M115" s="77"/>
      <c r="N115" s="78"/>
      <c r="O115" s="80"/>
      <c r="P115" s="70"/>
      <c r="Q115" s="54"/>
      <c r="R115" s="84"/>
      <c r="S115" s="84"/>
      <c r="T115" s="54"/>
      <c r="U115" s="86"/>
      <c r="V115" s="54"/>
      <c r="W115" s="86"/>
      <c r="X115" s="54"/>
      <c r="Y115" s="78"/>
      <c r="Z115" s="54"/>
      <c r="AA115" s="70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54"/>
      <c r="AR115" s="83"/>
      <c r="AS115" s="83"/>
      <c r="AT115" s="93"/>
      <c r="AU115" s="93"/>
      <c r="AV115" s="93"/>
      <c r="AW115" s="83"/>
      <c r="AX115" s="83"/>
      <c r="AY115" s="83"/>
      <c r="AZ115" s="83"/>
      <c r="BA115" s="83"/>
      <c r="BB115" s="83"/>
      <c r="BC115" s="54"/>
      <c r="BD115" s="54" t="str">
        <f t="shared" si="1"/>
        <v/>
      </c>
      <c r="BE115" s="54"/>
      <c r="BF115" s="95"/>
      <c r="BG115" s="95"/>
      <c r="BH115" s="54"/>
      <c r="BI115" s="67"/>
      <c r="BJ115" s="67"/>
      <c r="BK115" s="54"/>
      <c r="BL115" s="54"/>
      <c r="BM115" s="54"/>
      <c r="BN115" s="104"/>
      <c r="BO115" s="83"/>
      <c r="BP115" s="54"/>
      <c r="BQ115" s="70"/>
      <c r="BR115" s="67"/>
      <c r="BS115" s="83"/>
      <c r="BT115" s="83"/>
      <c r="BU115" s="109" t="str">
        <f t="shared" si="8"/>
        <v/>
      </c>
      <c r="BV115" s="109" t="str">
        <f t="shared" si="9"/>
        <v/>
      </c>
      <c r="BW115" s="83" t="str">
        <f t="shared" si="10"/>
        <v/>
      </c>
      <c r="BX115" s="106"/>
      <c r="BY115" s="107"/>
      <c r="BZ115" s="113" t="str">
        <f t="shared" si="5"/>
        <v/>
      </c>
      <c r="CA115" s="113" t="str">
        <f t="array" ref="CA115">IF($A115&lt;&gt;"",INDEX(LISTA!$M$2:$N$27,MATCH($BC115,LISTA!$N$2:$N$27,0),1),"")</f>
        <v/>
      </c>
      <c r="CB115" s="54" t="str">
        <f t="shared" si="6"/>
        <v/>
      </c>
      <c r="CC115" s="86" t="str">
        <f t="shared" si="7"/>
        <v/>
      </c>
    </row>
    <row r="116" ht="15.0" customHeight="1">
      <c r="A116" s="50"/>
      <c r="B116" s="53"/>
      <c r="C116" s="54"/>
      <c r="D116" s="56"/>
      <c r="E116" s="57"/>
      <c r="F116" s="54"/>
      <c r="G116" s="60"/>
      <c r="H116" s="63"/>
      <c r="I116" s="67"/>
      <c r="J116" s="70"/>
      <c r="K116" s="54"/>
      <c r="L116" s="70"/>
      <c r="M116" s="77"/>
      <c r="N116" s="78"/>
      <c r="O116" s="80"/>
      <c r="P116" s="70"/>
      <c r="Q116" s="54"/>
      <c r="R116" s="84"/>
      <c r="S116" s="84"/>
      <c r="T116" s="54"/>
      <c r="U116" s="86"/>
      <c r="V116" s="54"/>
      <c r="W116" s="86"/>
      <c r="X116" s="54"/>
      <c r="Y116" s="78"/>
      <c r="Z116" s="54"/>
      <c r="AA116" s="70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54"/>
      <c r="AR116" s="83"/>
      <c r="AS116" s="83"/>
      <c r="AT116" s="93"/>
      <c r="AU116" s="93"/>
      <c r="AV116" s="93"/>
      <c r="AW116" s="83"/>
      <c r="AX116" s="83"/>
      <c r="AY116" s="83"/>
      <c r="AZ116" s="83"/>
      <c r="BA116" s="83"/>
      <c r="BB116" s="83"/>
      <c r="BC116" s="54"/>
      <c r="BD116" s="54" t="str">
        <f t="shared" si="1"/>
        <v/>
      </c>
      <c r="BE116" s="54"/>
      <c r="BF116" s="95"/>
      <c r="BG116" s="95"/>
      <c r="BH116" s="54"/>
      <c r="BI116" s="67"/>
      <c r="BJ116" s="67"/>
      <c r="BK116" s="54"/>
      <c r="BL116" s="54"/>
      <c r="BM116" s="54"/>
      <c r="BN116" s="104"/>
      <c r="BO116" s="83"/>
      <c r="BP116" s="54"/>
      <c r="BQ116" s="70"/>
      <c r="BR116" s="67"/>
      <c r="BS116" s="83"/>
      <c r="BT116" s="83"/>
      <c r="BU116" s="109" t="str">
        <f t="shared" si="8"/>
        <v/>
      </c>
      <c r="BV116" s="109" t="str">
        <f t="shared" si="9"/>
        <v/>
      </c>
      <c r="BW116" s="83" t="str">
        <f t="shared" si="10"/>
        <v/>
      </c>
      <c r="BX116" s="106"/>
      <c r="BY116" s="107"/>
      <c r="BZ116" s="113" t="str">
        <f t="shared" si="5"/>
        <v/>
      </c>
      <c r="CA116" s="113" t="str">
        <f t="array" ref="CA116">IF($A116&lt;&gt;"",INDEX(LISTA!$M$2:$N$27,MATCH($BC116,LISTA!$N$2:$N$27,0),1),"")</f>
        <v/>
      </c>
      <c r="CB116" s="54" t="str">
        <f t="shared" si="6"/>
        <v/>
      </c>
      <c r="CC116" s="86" t="str">
        <f t="shared" si="7"/>
        <v/>
      </c>
    </row>
    <row r="117" ht="15.0" customHeight="1">
      <c r="A117" s="50"/>
      <c r="B117" s="53"/>
      <c r="C117" s="54"/>
      <c r="D117" s="56"/>
      <c r="E117" s="57"/>
      <c r="F117" s="54"/>
      <c r="G117" s="60"/>
      <c r="H117" s="63"/>
      <c r="I117" s="67"/>
      <c r="J117" s="70"/>
      <c r="K117" s="54"/>
      <c r="L117" s="70"/>
      <c r="M117" s="77"/>
      <c r="N117" s="78"/>
      <c r="O117" s="80"/>
      <c r="P117" s="70"/>
      <c r="Q117" s="54"/>
      <c r="R117" s="84"/>
      <c r="S117" s="84"/>
      <c r="T117" s="54"/>
      <c r="U117" s="86"/>
      <c r="V117" s="54"/>
      <c r="W117" s="86"/>
      <c r="X117" s="54"/>
      <c r="Y117" s="78"/>
      <c r="Z117" s="54"/>
      <c r="AA117" s="70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54"/>
      <c r="AR117" s="83"/>
      <c r="AS117" s="83"/>
      <c r="AT117" s="93"/>
      <c r="AU117" s="93"/>
      <c r="AV117" s="93"/>
      <c r="AW117" s="83"/>
      <c r="AX117" s="83"/>
      <c r="AY117" s="83"/>
      <c r="AZ117" s="83"/>
      <c r="BA117" s="83"/>
      <c r="BB117" s="83"/>
      <c r="BC117" s="54"/>
      <c r="BD117" s="54" t="str">
        <f t="shared" si="1"/>
        <v/>
      </c>
      <c r="BE117" s="54"/>
      <c r="BF117" s="95"/>
      <c r="BG117" s="95"/>
      <c r="BH117" s="54"/>
      <c r="BI117" s="67"/>
      <c r="BJ117" s="67"/>
      <c r="BK117" s="54"/>
      <c r="BL117" s="54"/>
      <c r="BM117" s="54"/>
      <c r="BN117" s="104"/>
      <c r="BO117" s="83"/>
      <c r="BP117" s="54"/>
      <c r="BQ117" s="70"/>
      <c r="BR117" s="67"/>
      <c r="BS117" s="83"/>
      <c r="BT117" s="83"/>
      <c r="BU117" s="109" t="str">
        <f t="shared" si="8"/>
        <v/>
      </c>
      <c r="BV117" s="109" t="str">
        <f t="shared" si="9"/>
        <v/>
      </c>
      <c r="BW117" s="83" t="str">
        <f t="shared" si="10"/>
        <v/>
      </c>
      <c r="BX117" s="106"/>
      <c r="BY117" s="107"/>
      <c r="BZ117" s="113" t="str">
        <f t="shared" si="5"/>
        <v/>
      </c>
      <c r="CA117" s="113" t="str">
        <f t="array" ref="CA117">IF($A117&lt;&gt;"",INDEX(LISTA!$M$2:$N$27,MATCH($BC117,LISTA!$N$2:$N$27,0),1),"")</f>
        <v/>
      </c>
      <c r="CB117" s="54" t="str">
        <f t="shared" si="6"/>
        <v/>
      </c>
      <c r="CC117" s="86" t="str">
        <f t="shared" si="7"/>
        <v/>
      </c>
    </row>
    <row r="118" ht="15.0" customHeight="1">
      <c r="A118" s="50"/>
      <c r="B118" s="53"/>
      <c r="C118" s="54"/>
      <c r="D118" s="56"/>
      <c r="E118" s="57"/>
      <c r="F118" s="54"/>
      <c r="G118" s="60"/>
      <c r="H118" s="63"/>
      <c r="I118" s="67"/>
      <c r="J118" s="70"/>
      <c r="K118" s="54"/>
      <c r="L118" s="70"/>
      <c r="M118" s="77"/>
      <c r="N118" s="78"/>
      <c r="O118" s="80"/>
      <c r="P118" s="70"/>
      <c r="Q118" s="54"/>
      <c r="R118" s="84"/>
      <c r="S118" s="84"/>
      <c r="T118" s="54"/>
      <c r="U118" s="86"/>
      <c r="V118" s="54"/>
      <c r="W118" s="86"/>
      <c r="X118" s="54"/>
      <c r="Y118" s="78"/>
      <c r="Z118" s="54"/>
      <c r="AA118" s="70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54"/>
      <c r="AR118" s="83"/>
      <c r="AS118" s="83"/>
      <c r="AT118" s="93"/>
      <c r="AU118" s="93"/>
      <c r="AV118" s="93"/>
      <c r="AW118" s="83"/>
      <c r="AX118" s="83"/>
      <c r="AY118" s="83"/>
      <c r="AZ118" s="83"/>
      <c r="BA118" s="83"/>
      <c r="BB118" s="83"/>
      <c r="BC118" s="54"/>
      <c r="BD118" s="54" t="str">
        <f t="shared" si="1"/>
        <v/>
      </c>
      <c r="BE118" s="54"/>
      <c r="BF118" s="95"/>
      <c r="BG118" s="95"/>
      <c r="BH118" s="54"/>
      <c r="BI118" s="67"/>
      <c r="BJ118" s="67"/>
      <c r="BK118" s="54"/>
      <c r="BL118" s="54"/>
      <c r="BM118" s="54"/>
      <c r="BN118" s="104"/>
      <c r="BO118" s="83"/>
      <c r="BP118" s="54"/>
      <c r="BQ118" s="70"/>
      <c r="BR118" s="67"/>
      <c r="BS118" s="83"/>
      <c r="BT118" s="83"/>
      <c r="BU118" s="109" t="str">
        <f t="shared" si="8"/>
        <v/>
      </c>
      <c r="BV118" s="109" t="str">
        <f t="shared" si="9"/>
        <v/>
      </c>
      <c r="BW118" s="83" t="str">
        <f t="shared" si="10"/>
        <v/>
      </c>
      <c r="BX118" s="106"/>
      <c r="BY118" s="107"/>
      <c r="BZ118" s="113" t="str">
        <f t="shared" si="5"/>
        <v/>
      </c>
      <c r="CA118" s="113" t="str">
        <f t="array" ref="CA118">IF($A118&lt;&gt;"",INDEX(LISTA!$M$2:$N$27,MATCH($BC118,LISTA!$N$2:$N$27,0),1),"")</f>
        <v/>
      </c>
      <c r="CB118" s="54" t="str">
        <f t="shared" si="6"/>
        <v/>
      </c>
      <c r="CC118" s="86" t="str">
        <f t="shared" si="7"/>
        <v/>
      </c>
    </row>
    <row r="119" ht="15.0" customHeight="1">
      <c r="A119" s="50"/>
      <c r="B119" s="53"/>
      <c r="C119" s="54"/>
      <c r="D119" s="56"/>
      <c r="E119" s="57"/>
      <c r="F119" s="54"/>
      <c r="G119" s="60"/>
      <c r="H119" s="63"/>
      <c r="I119" s="67"/>
      <c r="J119" s="70"/>
      <c r="K119" s="54"/>
      <c r="L119" s="70"/>
      <c r="M119" s="77"/>
      <c r="N119" s="78"/>
      <c r="O119" s="80"/>
      <c r="P119" s="70"/>
      <c r="Q119" s="54"/>
      <c r="R119" s="84"/>
      <c r="S119" s="84"/>
      <c r="T119" s="54"/>
      <c r="U119" s="86"/>
      <c r="V119" s="54"/>
      <c r="W119" s="86"/>
      <c r="X119" s="54"/>
      <c r="Y119" s="78"/>
      <c r="Z119" s="54"/>
      <c r="AA119" s="70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54"/>
      <c r="AR119" s="83"/>
      <c r="AS119" s="83"/>
      <c r="AT119" s="93"/>
      <c r="AU119" s="93"/>
      <c r="AV119" s="93"/>
      <c r="AW119" s="83"/>
      <c r="AX119" s="83"/>
      <c r="AY119" s="83"/>
      <c r="AZ119" s="83"/>
      <c r="BA119" s="83"/>
      <c r="BB119" s="83"/>
      <c r="BC119" s="54"/>
      <c r="BD119" s="54" t="str">
        <f t="shared" si="1"/>
        <v/>
      </c>
      <c r="BE119" s="54"/>
      <c r="BF119" s="95"/>
      <c r="BG119" s="95"/>
      <c r="BH119" s="54"/>
      <c r="BI119" s="67"/>
      <c r="BJ119" s="67"/>
      <c r="BK119" s="54"/>
      <c r="BL119" s="54"/>
      <c r="BM119" s="54"/>
      <c r="BN119" s="104"/>
      <c r="BO119" s="83"/>
      <c r="BP119" s="54"/>
      <c r="BQ119" s="70"/>
      <c r="BR119" s="67"/>
      <c r="BS119" s="83"/>
      <c r="BT119" s="83"/>
      <c r="BU119" s="109" t="str">
        <f t="shared" si="8"/>
        <v/>
      </c>
      <c r="BV119" s="109" t="str">
        <f t="shared" si="9"/>
        <v/>
      </c>
      <c r="BW119" s="83" t="str">
        <f t="shared" si="10"/>
        <v/>
      </c>
      <c r="BX119" s="106"/>
      <c r="BY119" s="107"/>
      <c r="BZ119" s="113" t="str">
        <f t="shared" si="5"/>
        <v/>
      </c>
      <c r="CA119" s="113" t="str">
        <f t="array" ref="CA119">IF($A119&lt;&gt;"",INDEX(LISTA!$M$2:$N$27,MATCH($BC119,LISTA!$N$2:$N$27,0),1),"")</f>
        <v/>
      </c>
      <c r="CB119" s="54" t="str">
        <f t="shared" si="6"/>
        <v/>
      </c>
      <c r="CC119" s="86" t="str">
        <f t="shared" si="7"/>
        <v/>
      </c>
    </row>
    <row r="120" ht="15.0" customHeight="1">
      <c r="A120" s="50"/>
      <c r="B120" s="53"/>
      <c r="C120" s="54"/>
      <c r="D120" s="56"/>
      <c r="E120" s="57"/>
      <c r="F120" s="54"/>
      <c r="G120" s="60"/>
      <c r="H120" s="63"/>
      <c r="I120" s="67"/>
      <c r="J120" s="70"/>
      <c r="K120" s="54"/>
      <c r="L120" s="70"/>
      <c r="M120" s="77"/>
      <c r="N120" s="78"/>
      <c r="O120" s="80"/>
      <c r="P120" s="70"/>
      <c r="Q120" s="54"/>
      <c r="R120" s="84"/>
      <c r="S120" s="84"/>
      <c r="T120" s="54"/>
      <c r="U120" s="86"/>
      <c r="V120" s="54"/>
      <c r="W120" s="86"/>
      <c r="X120" s="54"/>
      <c r="Y120" s="78"/>
      <c r="Z120" s="54"/>
      <c r="AA120" s="70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54"/>
      <c r="AR120" s="83"/>
      <c r="AS120" s="83"/>
      <c r="AT120" s="93"/>
      <c r="AU120" s="93"/>
      <c r="AV120" s="93"/>
      <c r="AW120" s="83"/>
      <c r="AX120" s="83"/>
      <c r="AY120" s="83"/>
      <c r="AZ120" s="83"/>
      <c r="BA120" s="83"/>
      <c r="BB120" s="83"/>
      <c r="BC120" s="54"/>
      <c r="BD120" s="54" t="str">
        <f t="shared" si="1"/>
        <v/>
      </c>
      <c r="BE120" s="54"/>
      <c r="BF120" s="95"/>
      <c r="BG120" s="95"/>
      <c r="BH120" s="54"/>
      <c r="BI120" s="67"/>
      <c r="BJ120" s="67"/>
      <c r="BK120" s="54"/>
      <c r="BL120" s="54"/>
      <c r="BM120" s="54"/>
      <c r="BN120" s="104"/>
      <c r="BO120" s="83"/>
      <c r="BP120" s="54"/>
      <c r="BQ120" s="70"/>
      <c r="BR120" s="67"/>
      <c r="BS120" s="83"/>
      <c r="BT120" s="83"/>
      <c r="BU120" s="109" t="str">
        <f t="shared" si="8"/>
        <v/>
      </c>
      <c r="BV120" s="109" t="str">
        <f t="shared" si="9"/>
        <v/>
      </c>
      <c r="BW120" s="83" t="str">
        <f t="shared" si="10"/>
        <v/>
      </c>
      <c r="BX120" s="106"/>
      <c r="BY120" s="107"/>
      <c r="BZ120" s="113" t="str">
        <f t="shared" si="5"/>
        <v/>
      </c>
      <c r="CA120" s="113" t="str">
        <f t="array" ref="CA120">IF($A120&lt;&gt;"",INDEX(LISTA!$M$2:$N$27,MATCH($BC120,LISTA!$N$2:$N$27,0),1),"")</f>
        <v/>
      </c>
      <c r="CB120" s="54" t="str">
        <f t="shared" si="6"/>
        <v/>
      </c>
      <c r="CC120" s="86" t="str">
        <f t="shared" si="7"/>
        <v/>
      </c>
    </row>
    <row r="121" ht="15.0" customHeight="1">
      <c r="A121" s="50"/>
      <c r="B121" s="53"/>
      <c r="C121" s="54"/>
      <c r="D121" s="56"/>
      <c r="E121" s="57"/>
      <c r="F121" s="54"/>
      <c r="G121" s="60"/>
      <c r="H121" s="63"/>
      <c r="I121" s="67"/>
      <c r="J121" s="70"/>
      <c r="K121" s="54"/>
      <c r="L121" s="70"/>
      <c r="M121" s="77"/>
      <c r="N121" s="78"/>
      <c r="O121" s="80"/>
      <c r="P121" s="70"/>
      <c r="Q121" s="54"/>
      <c r="R121" s="84"/>
      <c r="S121" s="84"/>
      <c r="T121" s="54"/>
      <c r="U121" s="86"/>
      <c r="V121" s="54"/>
      <c r="W121" s="86"/>
      <c r="X121" s="54"/>
      <c r="Y121" s="78"/>
      <c r="Z121" s="54"/>
      <c r="AA121" s="70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54"/>
      <c r="AR121" s="83"/>
      <c r="AS121" s="83"/>
      <c r="AT121" s="93"/>
      <c r="AU121" s="93"/>
      <c r="AV121" s="93"/>
      <c r="AW121" s="83"/>
      <c r="AX121" s="83"/>
      <c r="AY121" s="83"/>
      <c r="AZ121" s="83"/>
      <c r="BA121" s="83"/>
      <c r="BB121" s="83"/>
      <c r="BC121" s="54"/>
      <c r="BD121" s="54" t="str">
        <f t="shared" si="1"/>
        <v/>
      </c>
      <c r="BE121" s="54"/>
      <c r="BF121" s="95"/>
      <c r="BG121" s="95"/>
      <c r="BH121" s="54"/>
      <c r="BI121" s="67"/>
      <c r="BJ121" s="67"/>
      <c r="BK121" s="54"/>
      <c r="BL121" s="54"/>
      <c r="BM121" s="54"/>
      <c r="BN121" s="104"/>
      <c r="BO121" s="83"/>
      <c r="BP121" s="54"/>
      <c r="BQ121" s="70"/>
      <c r="BR121" s="67"/>
      <c r="BS121" s="83"/>
      <c r="BT121" s="83"/>
      <c r="BU121" s="109" t="str">
        <f t="shared" si="8"/>
        <v/>
      </c>
      <c r="BV121" s="109" t="str">
        <f t="shared" si="9"/>
        <v/>
      </c>
      <c r="BW121" s="83" t="str">
        <f t="shared" si="10"/>
        <v/>
      </c>
      <c r="BX121" s="106"/>
      <c r="BY121" s="107"/>
      <c r="BZ121" s="113" t="str">
        <f t="shared" si="5"/>
        <v/>
      </c>
      <c r="CA121" s="113" t="str">
        <f t="array" ref="CA121">IF($A121&lt;&gt;"",INDEX(LISTA!$M$2:$N$27,MATCH($BC121,LISTA!$N$2:$N$27,0),1),"")</f>
        <v/>
      </c>
      <c r="CB121" s="54" t="str">
        <f t="shared" si="6"/>
        <v/>
      </c>
      <c r="CC121" s="86" t="str">
        <f t="shared" si="7"/>
        <v/>
      </c>
    </row>
    <row r="122" ht="15.0" customHeight="1">
      <c r="A122" s="50"/>
      <c r="B122" s="53"/>
      <c r="C122" s="54"/>
      <c r="D122" s="56"/>
      <c r="E122" s="57"/>
      <c r="F122" s="54"/>
      <c r="G122" s="60"/>
      <c r="H122" s="63"/>
      <c r="I122" s="67"/>
      <c r="J122" s="70"/>
      <c r="K122" s="54"/>
      <c r="L122" s="70"/>
      <c r="M122" s="77"/>
      <c r="N122" s="78"/>
      <c r="O122" s="80"/>
      <c r="P122" s="70"/>
      <c r="Q122" s="54"/>
      <c r="R122" s="84"/>
      <c r="S122" s="84"/>
      <c r="T122" s="54"/>
      <c r="U122" s="86"/>
      <c r="V122" s="54"/>
      <c r="W122" s="86"/>
      <c r="X122" s="54"/>
      <c r="Y122" s="78"/>
      <c r="Z122" s="54"/>
      <c r="AA122" s="70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54"/>
      <c r="AR122" s="83"/>
      <c r="AS122" s="83"/>
      <c r="AT122" s="93"/>
      <c r="AU122" s="93"/>
      <c r="AV122" s="93"/>
      <c r="AW122" s="83"/>
      <c r="AX122" s="83"/>
      <c r="AY122" s="83"/>
      <c r="AZ122" s="83"/>
      <c r="BA122" s="83"/>
      <c r="BB122" s="83"/>
      <c r="BC122" s="54"/>
      <c r="BD122" s="54" t="str">
        <f t="shared" si="1"/>
        <v/>
      </c>
      <c r="BE122" s="54"/>
      <c r="BF122" s="95"/>
      <c r="BG122" s="95"/>
      <c r="BH122" s="54"/>
      <c r="BI122" s="67"/>
      <c r="BJ122" s="67"/>
      <c r="BK122" s="54"/>
      <c r="BL122" s="54"/>
      <c r="BM122" s="54"/>
      <c r="BN122" s="104"/>
      <c r="BO122" s="83"/>
      <c r="BP122" s="54"/>
      <c r="BQ122" s="70"/>
      <c r="BR122" s="67"/>
      <c r="BS122" s="83"/>
      <c r="BT122" s="83"/>
      <c r="BU122" s="109" t="str">
        <f t="shared" si="8"/>
        <v/>
      </c>
      <c r="BV122" s="109" t="str">
        <f t="shared" si="9"/>
        <v/>
      </c>
      <c r="BW122" s="83" t="str">
        <f t="shared" si="10"/>
        <v/>
      </c>
      <c r="BX122" s="106"/>
      <c r="BY122" s="107"/>
      <c r="BZ122" s="113" t="str">
        <f t="shared" si="5"/>
        <v/>
      </c>
      <c r="CA122" s="113" t="str">
        <f t="array" ref="CA122">IF($A122&lt;&gt;"",INDEX(LISTA!$M$2:$N$27,MATCH($BC122,LISTA!$N$2:$N$27,0),1),"")</f>
        <v/>
      </c>
      <c r="CB122" s="54" t="str">
        <f t="shared" si="6"/>
        <v/>
      </c>
      <c r="CC122" s="86" t="str">
        <f t="shared" si="7"/>
        <v/>
      </c>
    </row>
    <row r="123" ht="15.0" customHeight="1">
      <c r="A123" s="50"/>
      <c r="B123" s="53"/>
      <c r="C123" s="54"/>
      <c r="D123" s="56"/>
      <c r="E123" s="57"/>
      <c r="F123" s="54"/>
      <c r="G123" s="60"/>
      <c r="H123" s="63"/>
      <c r="I123" s="67"/>
      <c r="J123" s="70"/>
      <c r="K123" s="54"/>
      <c r="L123" s="70"/>
      <c r="M123" s="77"/>
      <c r="N123" s="78"/>
      <c r="O123" s="80"/>
      <c r="P123" s="70"/>
      <c r="Q123" s="54"/>
      <c r="R123" s="84"/>
      <c r="S123" s="84"/>
      <c r="T123" s="54"/>
      <c r="U123" s="86"/>
      <c r="V123" s="54"/>
      <c r="W123" s="86"/>
      <c r="X123" s="54"/>
      <c r="Y123" s="78"/>
      <c r="Z123" s="54"/>
      <c r="AA123" s="70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54"/>
      <c r="AR123" s="83"/>
      <c r="AS123" s="83"/>
      <c r="AT123" s="93"/>
      <c r="AU123" s="93"/>
      <c r="AV123" s="93"/>
      <c r="AW123" s="83"/>
      <c r="AX123" s="83"/>
      <c r="AY123" s="83"/>
      <c r="AZ123" s="83"/>
      <c r="BA123" s="83"/>
      <c r="BB123" s="83"/>
      <c r="BC123" s="54"/>
      <c r="BD123" s="54" t="str">
        <f t="shared" si="1"/>
        <v/>
      </c>
      <c r="BE123" s="54"/>
      <c r="BF123" s="95"/>
      <c r="BG123" s="95"/>
      <c r="BH123" s="54"/>
      <c r="BI123" s="67"/>
      <c r="BJ123" s="67"/>
      <c r="BK123" s="54"/>
      <c r="BL123" s="54"/>
      <c r="BM123" s="54"/>
      <c r="BN123" s="104"/>
      <c r="BO123" s="83"/>
      <c r="BP123" s="54"/>
      <c r="BQ123" s="70"/>
      <c r="BR123" s="67"/>
      <c r="BS123" s="83"/>
      <c r="BT123" s="83"/>
      <c r="BU123" s="109" t="str">
        <f t="shared" si="8"/>
        <v/>
      </c>
      <c r="BV123" s="109" t="str">
        <f t="shared" si="9"/>
        <v/>
      </c>
      <c r="BW123" s="83" t="str">
        <f t="shared" si="10"/>
        <v/>
      </c>
      <c r="BX123" s="106"/>
      <c r="BY123" s="107"/>
      <c r="BZ123" s="113" t="str">
        <f t="shared" si="5"/>
        <v/>
      </c>
      <c r="CA123" s="113" t="str">
        <f t="array" ref="CA123">IF($A123&lt;&gt;"",INDEX(LISTA!$M$2:$N$27,MATCH($BC123,LISTA!$N$2:$N$27,0),1),"")</f>
        <v/>
      </c>
      <c r="CB123" s="54" t="str">
        <f t="shared" si="6"/>
        <v/>
      </c>
      <c r="CC123" s="86" t="str">
        <f t="shared" si="7"/>
        <v/>
      </c>
    </row>
    <row r="124" ht="15.0" customHeight="1">
      <c r="A124" s="50"/>
      <c r="B124" s="53"/>
      <c r="C124" s="54"/>
      <c r="D124" s="56"/>
      <c r="E124" s="57"/>
      <c r="F124" s="54"/>
      <c r="G124" s="60"/>
      <c r="H124" s="63"/>
      <c r="I124" s="67"/>
      <c r="J124" s="70"/>
      <c r="K124" s="54"/>
      <c r="L124" s="70"/>
      <c r="M124" s="77"/>
      <c r="N124" s="78"/>
      <c r="O124" s="80"/>
      <c r="P124" s="70"/>
      <c r="Q124" s="54"/>
      <c r="R124" s="84"/>
      <c r="S124" s="84"/>
      <c r="T124" s="54"/>
      <c r="U124" s="86"/>
      <c r="V124" s="54"/>
      <c r="W124" s="86"/>
      <c r="X124" s="54"/>
      <c r="Y124" s="78"/>
      <c r="Z124" s="54"/>
      <c r="AA124" s="70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54"/>
      <c r="AR124" s="83"/>
      <c r="AS124" s="83"/>
      <c r="AT124" s="93"/>
      <c r="AU124" s="93"/>
      <c r="AV124" s="93"/>
      <c r="AW124" s="83"/>
      <c r="AX124" s="83"/>
      <c r="AY124" s="83"/>
      <c r="AZ124" s="83"/>
      <c r="BA124" s="83"/>
      <c r="BB124" s="83"/>
      <c r="BC124" s="54"/>
      <c r="BD124" s="54" t="str">
        <f t="shared" si="1"/>
        <v/>
      </c>
      <c r="BE124" s="54"/>
      <c r="BF124" s="95"/>
      <c r="BG124" s="95"/>
      <c r="BH124" s="54"/>
      <c r="BI124" s="67"/>
      <c r="BJ124" s="67"/>
      <c r="BK124" s="54"/>
      <c r="BL124" s="54"/>
      <c r="BM124" s="54"/>
      <c r="BN124" s="104"/>
      <c r="BO124" s="83"/>
      <c r="BP124" s="54"/>
      <c r="BQ124" s="70"/>
      <c r="BR124" s="67"/>
      <c r="BS124" s="83"/>
      <c r="BT124" s="83"/>
      <c r="BU124" s="109" t="str">
        <f t="shared" si="8"/>
        <v/>
      </c>
      <c r="BV124" s="109" t="str">
        <f t="shared" si="9"/>
        <v/>
      </c>
      <c r="BW124" s="83" t="str">
        <f t="shared" si="10"/>
        <v/>
      </c>
      <c r="BX124" s="106"/>
      <c r="BY124" s="107"/>
      <c r="BZ124" s="113" t="str">
        <f t="shared" si="5"/>
        <v/>
      </c>
      <c r="CA124" s="113" t="str">
        <f t="array" ref="CA124">IF($A124&lt;&gt;"",INDEX(LISTA!$M$2:$N$27,MATCH($BC124,LISTA!$N$2:$N$27,0),1),"")</f>
        <v/>
      </c>
      <c r="CB124" s="54" t="str">
        <f t="shared" si="6"/>
        <v/>
      </c>
      <c r="CC124" s="86" t="str">
        <f t="shared" si="7"/>
        <v/>
      </c>
    </row>
    <row r="125" ht="15.0" customHeight="1">
      <c r="A125" s="50"/>
      <c r="B125" s="53"/>
      <c r="C125" s="54"/>
      <c r="D125" s="56"/>
      <c r="E125" s="57"/>
      <c r="F125" s="54"/>
      <c r="G125" s="60"/>
      <c r="H125" s="63"/>
      <c r="I125" s="67"/>
      <c r="J125" s="70"/>
      <c r="K125" s="54"/>
      <c r="L125" s="70"/>
      <c r="M125" s="77"/>
      <c r="N125" s="78"/>
      <c r="O125" s="80"/>
      <c r="P125" s="70"/>
      <c r="Q125" s="54"/>
      <c r="R125" s="84"/>
      <c r="S125" s="84"/>
      <c r="T125" s="54"/>
      <c r="U125" s="86"/>
      <c r="V125" s="54"/>
      <c r="W125" s="86"/>
      <c r="X125" s="54"/>
      <c r="Y125" s="78"/>
      <c r="Z125" s="54"/>
      <c r="AA125" s="70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54"/>
      <c r="AR125" s="83"/>
      <c r="AS125" s="83"/>
      <c r="AT125" s="93"/>
      <c r="AU125" s="93"/>
      <c r="AV125" s="93"/>
      <c r="AW125" s="83"/>
      <c r="AX125" s="83"/>
      <c r="AY125" s="83"/>
      <c r="AZ125" s="83"/>
      <c r="BA125" s="83"/>
      <c r="BB125" s="83"/>
      <c r="BC125" s="54"/>
      <c r="BD125" s="54" t="str">
        <f t="shared" si="1"/>
        <v/>
      </c>
      <c r="BE125" s="54"/>
      <c r="BF125" s="95"/>
      <c r="BG125" s="95"/>
      <c r="BH125" s="54"/>
      <c r="BI125" s="67"/>
      <c r="BJ125" s="67"/>
      <c r="BK125" s="54"/>
      <c r="BL125" s="54"/>
      <c r="BM125" s="54"/>
      <c r="BN125" s="104"/>
      <c r="BO125" s="83"/>
      <c r="BP125" s="54"/>
      <c r="BQ125" s="70"/>
      <c r="BR125" s="67"/>
      <c r="BS125" s="83"/>
      <c r="BT125" s="83"/>
      <c r="BU125" s="109" t="str">
        <f t="shared" si="8"/>
        <v/>
      </c>
      <c r="BV125" s="109" t="str">
        <f t="shared" si="9"/>
        <v/>
      </c>
      <c r="BW125" s="83" t="str">
        <f t="shared" si="10"/>
        <v/>
      </c>
      <c r="BX125" s="106"/>
      <c r="BY125" s="107"/>
      <c r="BZ125" s="113" t="str">
        <f t="shared" si="5"/>
        <v/>
      </c>
      <c r="CA125" s="113" t="str">
        <f t="array" ref="CA125">IF($A125&lt;&gt;"",INDEX(LISTA!$M$2:$N$27,MATCH($BC125,LISTA!$N$2:$N$27,0),1),"")</f>
        <v/>
      </c>
      <c r="CB125" s="54" t="str">
        <f t="shared" si="6"/>
        <v/>
      </c>
      <c r="CC125" s="86" t="str">
        <f t="shared" si="7"/>
        <v/>
      </c>
    </row>
    <row r="126" ht="15.0" customHeight="1">
      <c r="A126" s="50"/>
      <c r="B126" s="53"/>
      <c r="C126" s="54"/>
      <c r="D126" s="56"/>
      <c r="E126" s="57"/>
      <c r="F126" s="54"/>
      <c r="G126" s="60"/>
      <c r="H126" s="63"/>
      <c r="I126" s="67"/>
      <c r="J126" s="70"/>
      <c r="K126" s="54"/>
      <c r="L126" s="70"/>
      <c r="M126" s="77"/>
      <c r="N126" s="78"/>
      <c r="O126" s="80"/>
      <c r="P126" s="70"/>
      <c r="Q126" s="54"/>
      <c r="R126" s="84"/>
      <c r="S126" s="84"/>
      <c r="T126" s="54"/>
      <c r="U126" s="86"/>
      <c r="V126" s="54"/>
      <c r="W126" s="86"/>
      <c r="X126" s="54"/>
      <c r="Y126" s="78"/>
      <c r="Z126" s="54"/>
      <c r="AA126" s="70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54"/>
      <c r="AR126" s="83"/>
      <c r="AS126" s="83"/>
      <c r="AT126" s="93"/>
      <c r="AU126" s="93"/>
      <c r="AV126" s="93"/>
      <c r="AW126" s="83"/>
      <c r="AX126" s="83"/>
      <c r="AY126" s="83"/>
      <c r="AZ126" s="83"/>
      <c r="BA126" s="83"/>
      <c r="BB126" s="83"/>
      <c r="BC126" s="54"/>
      <c r="BD126" s="54" t="str">
        <f t="shared" si="1"/>
        <v/>
      </c>
      <c r="BE126" s="54"/>
      <c r="BF126" s="95"/>
      <c r="BG126" s="95"/>
      <c r="BH126" s="54"/>
      <c r="BI126" s="67"/>
      <c r="BJ126" s="67"/>
      <c r="BK126" s="54"/>
      <c r="BL126" s="54"/>
      <c r="BM126" s="54"/>
      <c r="BN126" s="104"/>
      <c r="BO126" s="83"/>
      <c r="BP126" s="54"/>
      <c r="BQ126" s="70"/>
      <c r="BR126" s="67"/>
      <c r="BS126" s="83"/>
      <c r="BT126" s="83"/>
      <c r="BU126" s="109" t="str">
        <f t="shared" si="8"/>
        <v/>
      </c>
      <c r="BV126" s="109" t="str">
        <f t="shared" si="9"/>
        <v/>
      </c>
      <c r="BW126" s="83" t="str">
        <f t="shared" si="10"/>
        <v/>
      </c>
      <c r="BX126" s="106"/>
      <c r="BY126" s="107"/>
      <c r="BZ126" s="113" t="str">
        <f t="shared" si="5"/>
        <v/>
      </c>
      <c r="CA126" s="113" t="str">
        <f t="array" ref="CA126">IF($A126&lt;&gt;"",INDEX(LISTA!$M$2:$N$27,MATCH($BC126,LISTA!$N$2:$N$27,0),1),"")</f>
        <v/>
      </c>
      <c r="CB126" s="54" t="str">
        <f t="shared" si="6"/>
        <v/>
      </c>
      <c r="CC126" s="86" t="str">
        <f t="shared" si="7"/>
        <v/>
      </c>
    </row>
    <row r="127" ht="15.0" customHeight="1">
      <c r="A127" s="50"/>
      <c r="B127" s="53"/>
      <c r="C127" s="54"/>
      <c r="D127" s="56"/>
      <c r="E127" s="57"/>
      <c r="F127" s="54"/>
      <c r="G127" s="60"/>
      <c r="H127" s="63"/>
      <c r="I127" s="67"/>
      <c r="J127" s="70"/>
      <c r="K127" s="54"/>
      <c r="L127" s="70"/>
      <c r="M127" s="77"/>
      <c r="N127" s="78"/>
      <c r="O127" s="80"/>
      <c r="P127" s="70"/>
      <c r="Q127" s="54"/>
      <c r="R127" s="84"/>
      <c r="S127" s="84"/>
      <c r="T127" s="54"/>
      <c r="U127" s="86"/>
      <c r="V127" s="54"/>
      <c r="W127" s="86"/>
      <c r="X127" s="54"/>
      <c r="Y127" s="78"/>
      <c r="Z127" s="54"/>
      <c r="AA127" s="70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54"/>
      <c r="AR127" s="83"/>
      <c r="AS127" s="83"/>
      <c r="AT127" s="93"/>
      <c r="AU127" s="93"/>
      <c r="AV127" s="93"/>
      <c r="AW127" s="83"/>
      <c r="AX127" s="83"/>
      <c r="AY127" s="83"/>
      <c r="AZ127" s="83"/>
      <c r="BA127" s="83"/>
      <c r="BB127" s="83"/>
      <c r="BC127" s="54"/>
      <c r="BD127" s="54" t="str">
        <f t="shared" si="1"/>
        <v/>
      </c>
      <c r="BE127" s="54"/>
      <c r="BF127" s="95"/>
      <c r="BG127" s="95"/>
      <c r="BH127" s="54"/>
      <c r="BI127" s="67"/>
      <c r="BJ127" s="67"/>
      <c r="BK127" s="54"/>
      <c r="BL127" s="54"/>
      <c r="BM127" s="54"/>
      <c r="BN127" s="104"/>
      <c r="BO127" s="83"/>
      <c r="BP127" s="54"/>
      <c r="BQ127" s="70"/>
      <c r="BR127" s="67"/>
      <c r="BS127" s="83"/>
      <c r="BT127" s="83"/>
      <c r="BU127" s="109" t="str">
        <f t="shared" si="8"/>
        <v/>
      </c>
      <c r="BV127" s="109" t="str">
        <f t="shared" si="9"/>
        <v/>
      </c>
      <c r="BW127" s="83" t="str">
        <f t="shared" si="10"/>
        <v/>
      </c>
      <c r="BX127" s="106"/>
      <c r="BY127" s="107"/>
      <c r="BZ127" s="113" t="str">
        <f t="shared" si="5"/>
        <v/>
      </c>
      <c r="CA127" s="113" t="str">
        <f t="array" ref="CA127">IF($A127&lt;&gt;"",INDEX(LISTA!$M$2:$N$27,MATCH($BC127,LISTA!$N$2:$N$27,0),1),"")</f>
        <v/>
      </c>
      <c r="CB127" s="54" t="str">
        <f t="shared" si="6"/>
        <v/>
      </c>
      <c r="CC127" s="86" t="str">
        <f t="shared" si="7"/>
        <v/>
      </c>
    </row>
    <row r="128" ht="15.0" customHeight="1">
      <c r="A128" s="50"/>
      <c r="B128" s="53"/>
      <c r="C128" s="54"/>
      <c r="D128" s="56"/>
      <c r="E128" s="57"/>
      <c r="F128" s="54"/>
      <c r="G128" s="60"/>
      <c r="H128" s="63"/>
      <c r="I128" s="67"/>
      <c r="J128" s="70"/>
      <c r="K128" s="54"/>
      <c r="L128" s="70"/>
      <c r="M128" s="77"/>
      <c r="N128" s="78"/>
      <c r="O128" s="80"/>
      <c r="P128" s="70"/>
      <c r="Q128" s="54"/>
      <c r="R128" s="84"/>
      <c r="S128" s="84"/>
      <c r="T128" s="54"/>
      <c r="U128" s="86"/>
      <c r="V128" s="54"/>
      <c r="W128" s="86"/>
      <c r="X128" s="54"/>
      <c r="Y128" s="78"/>
      <c r="Z128" s="54"/>
      <c r="AA128" s="70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54"/>
      <c r="AR128" s="83"/>
      <c r="AS128" s="83"/>
      <c r="AT128" s="93"/>
      <c r="AU128" s="93"/>
      <c r="AV128" s="93"/>
      <c r="AW128" s="83"/>
      <c r="AX128" s="83"/>
      <c r="AY128" s="83"/>
      <c r="AZ128" s="83"/>
      <c r="BA128" s="83"/>
      <c r="BB128" s="83"/>
      <c r="BC128" s="54"/>
      <c r="BD128" s="54" t="str">
        <f t="shared" si="1"/>
        <v/>
      </c>
      <c r="BE128" s="54"/>
      <c r="BF128" s="95"/>
      <c r="BG128" s="95"/>
      <c r="BH128" s="54"/>
      <c r="BI128" s="67"/>
      <c r="BJ128" s="67"/>
      <c r="BK128" s="54"/>
      <c r="BL128" s="54"/>
      <c r="BM128" s="54"/>
      <c r="BN128" s="104"/>
      <c r="BO128" s="83"/>
      <c r="BP128" s="54"/>
      <c r="BQ128" s="70"/>
      <c r="BR128" s="67"/>
      <c r="BS128" s="83"/>
      <c r="BT128" s="83"/>
      <c r="BU128" s="109" t="str">
        <f t="shared" si="8"/>
        <v/>
      </c>
      <c r="BV128" s="109" t="str">
        <f t="shared" si="9"/>
        <v/>
      </c>
      <c r="BW128" s="83" t="str">
        <f t="shared" si="10"/>
        <v/>
      </c>
      <c r="BX128" s="106"/>
      <c r="BY128" s="107"/>
      <c r="BZ128" s="113" t="str">
        <f t="shared" si="5"/>
        <v/>
      </c>
      <c r="CA128" s="113" t="str">
        <f t="array" ref="CA128">IF($A128&lt;&gt;"",INDEX(LISTA!$M$2:$N$27,MATCH($BC128,LISTA!$N$2:$N$27,0),1),"")</f>
        <v/>
      </c>
      <c r="CB128" s="54" t="str">
        <f t="shared" si="6"/>
        <v/>
      </c>
      <c r="CC128" s="86" t="str">
        <f t="shared" si="7"/>
        <v/>
      </c>
    </row>
    <row r="129" ht="15.0" customHeight="1">
      <c r="A129" s="50"/>
      <c r="B129" s="53"/>
      <c r="C129" s="54"/>
      <c r="D129" s="56"/>
      <c r="E129" s="57"/>
      <c r="F129" s="54"/>
      <c r="G129" s="60"/>
      <c r="H129" s="63"/>
      <c r="I129" s="67"/>
      <c r="J129" s="70"/>
      <c r="K129" s="54"/>
      <c r="L129" s="70"/>
      <c r="M129" s="77"/>
      <c r="N129" s="78"/>
      <c r="O129" s="80"/>
      <c r="P129" s="70"/>
      <c r="Q129" s="54"/>
      <c r="R129" s="84"/>
      <c r="S129" s="84"/>
      <c r="T129" s="54"/>
      <c r="U129" s="86"/>
      <c r="V129" s="54"/>
      <c r="W129" s="86"/>
      <c r="X129" s="54"/>
      <c r="Y129" s="78"/>
      <c r="Z129" s="54"/>
      <c r="AA129" s="70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54"/>
      <c r="AR129" s="83"/>
      <c r="AS129" s="83"/>
      <c r="AT129" s="93"/>
      <c r="AU129" s="93"/>
      <c r="AV129" s="93"/>
      <c r="AW129" s="83"/>
      <c r="AX129" s="83"/>
      <c r="AY129" s="83"/>
      <c r="AZ129" s="83"/>
      <c r="BA129" s="83"/>
      <c r="BB129" s="83"/>
      <c r="BC129" s="54"/>
      <c r="BD129" s="54" t="str">
        <f t="shared" si="1"/>
        <v/>
      </c>
      <c r="BE129" s="54"/>
      <c r="BF129" s="95"/>
      <c r="BG129" s="95"/>
      <c r="BH129" s="54"/>
      <c r="BI129" s="67"/>
      <c r="BJ129" s="67"/>
      <c r="BK129" s="54"/>
      <c r="BL129" s="54"/>
      <c r="BM129" s="54"/>
      <c r="BN129" s="104"/>
      <c r="BO129" s="83"/>
      <c r="BP129" s="54"/>
      <c r="BQ129" s="70"/>
      <c r="BR129" s="67"/>
      <c r="BS129" s="83"/>
      <c r="BT129" s="83"/>
      <c r="BU129" s="109" t="str">
        <f t="shared" si="8"/>
        <v/>
      </c>
      <c r="BV129" s="109" t="str">
        <f t="shared" si="9"/>
        <v/>
      </c>
      <c r="BW129" s="83" t="str">
        <f t="shared" si="10"/>
        <v/>
      </c>
      <c r="BX129" s="106"/>
      <c r="BY129" s="107"/>
      <c r="BZ129" s="113" t="str">
        <f t="shared" si="5"/>
        <v/>
      </c>
      <c r="CA129" s="113" t="str">
        <f t="array" ref="CA129">IF($A129&lt;&gt;"",INDEX(LISTA!$M$2:$N$27,MATCH($BC129,LISTA!$N$2:$N$27,0),1),"")</f>
        <v/>
      </c>
      <c r="CB129" s="54" t="str">
        <f t="shared" si="6"/>
        <v/>
      </c>
      <c r="CC129" s="86" t="str">
        <f t="shared" si="7"/>
        <v/>
      </c>
    </row>
    <row r="130" ht="15.0" customHeight="1">
      <c r="A130" s="50"/>
      <c r="B130" s="53"/>
      <c r="C130" s="54"/>
      <c r="D130" s="56"/>
      <c r="E130" s="57"/>
      <c r="F130" s="54"/>
      <c r="G130" s="60"/>
      <c r="H130" s="63"/>
      <c r="I130" s="67"/>
      <c r="J130" s="70"/>
      <c r="K130" s="54"/>
      <c r="L130" s="70"/>
      <c r="M130" s="77"/>
      <c r="N130" s="78"/>
      <c r="O130" s="80"/>
      <c r="P130" s="70"/>
      <c r="Q130" s="54"/>
      <c r="R130" s="84"/>
      <c r="S130" s="84"/>
      <c r="T130" s="54"/>
      <c r="U130" s="86"/>
      <c r="V130" s="54"/>
      <c r="W130" s="86"/>
      <c r="X130" s="54"/>
      <c r="Y130" s="78"/>
      <c r="Z130" s="54"/>
      <c r="AA130" s="70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54"/>
      <c r="AR130" s="83"/>
      <c r="AS130" s="83"/>
      <c r="AT130" s="93"/>
      <c r="AU130" s="93"/>
      <c r="AV130" s="93"/>
      <c r="AW130" s="83"/>
      <c r="AX130" s="83"/>
      <c r="AY130" s="83"/>
      <c r="AZ130" s="83"/>
      <c r="BA130" s="83"/>
      <c r="BB130" s="83"/>
      <c r="BC130" s="54"/>
      <c r="BD130" s="54" t="str">
        <f t="shared" si="1"/>
        <v/>
      </c>
      <c r="BE130" s="54"/>
      <c r="BF130" s="95"/>
      <c r="BG130" s="95"/>
      <c r="BH130" s="54"/>
      <c r="BI130" s="67"/>
      <c r="BJ130" s="67"/>
      <c r="BK130" s="54"/>
      <c r="BL130" s="54"/>
      <c r="BM130" s="54"/>
      <c r="BN130" s="104"/>
      <c r="BO130" s="83"/>
      <c r="BP130" s="54"/>
      <c r="BQ130" s="70"/>
      <c r="BR130" s="67"/>
      <c r="BS130" s="83"/>
      <c r="BT130" s="83"/>
      <c r="BU130" s="109" t="str">
        <f t="shared" si="8"/>
        <v/>
      </c>
      <c r="BV130" s="109" t="str">
        <f t="shared" si="9"/>
        <v/>
      </c>
      <c r="BW130" s="83" t="str">
        <f t="shared" si="10"/>
        <v/>
      </c>
      <c r="BX130" s="106"/>
      <c r="BY130" s="107"/>
      <c r="BZ130" s="113" t="str">
        <f t="shared" si="5"/>
        <v/>
      </c>
      <c r="CA130" s="113" t="str">
        <f t="array" ref="CA130">IF($A130&lt;&gt;"",INDEX(LISTA!$M$2:$N$27,MATCH($BC130,LISTA!$N$2:$N$27,0),1),"")</f>
        <v/>
      </c>
      <c r="CB130" s="54" t="str">
        <f t="shared" si="6"/>
        <v/>
      </c>
      <c r="CC130" s="86" t="str">
        <f t="shared" si="7"/>
        <v/>
      </c>
    </row>
    <row r="131" ht="15.0" customHeight="1">
      <c r="A131" s="50"/>
      <c r="B131" s="53"/>
      <c r="C131" s="54"/>
      <c r="D131" s="56"/>
      <c r="E131" s="57"/>
      <c r="F131" s="54"/>
      <c r="G131" s="60"/>
      <c r="H131" s="63"/>
      <c r="I131" s="67"/>
      <c r="J131" s="70"/>
      <c r="K131" s="54"/>
      <c r="L131" s="70"/>
      <c r="M131" s="77"/>
      <c r="N131" s="78"/>
      <c r="O131" s="80"/>
      <c r="P131" s="70"/>
      <c r="Q131" s="54"/>
      <c r="R131" s="84"/>
      <c r="S131" s="84"/>
      <c r="T131" s="54"/>
      <c r="U131" s="86"/>
      <c r="V131" s="54"/>
      <c r="W131" s="86"/>
      <c r="X131" s="54"/>
      <c r="Y131" s="78"/>
      <c r="Z131" s="54"/>
      <c r="AA131" s="70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54"/>
      <c r="AR131" s="83"/>
      <c r="AS131" s="83"/>
      <c r="AT131" s="93"/>
      <c r="AU131" s="93"/>
      <c r="AV131" s="93"/>
      <c r="AW131" s="83"/>
      <c r="AX131" s="83"/>
      <c r="AY131" s="83"/>
      <c r="AZ131" s="83"/>
      <c r="BA131" s="83"/>
      <c r="BB131" s="83"/>
      <c r="BC131" s="54"/>
      <c r="BD131" s="54" t="str">
        <f t="shared" si="1"/>
        <v/>
      </c>
      <c r="BE131" s="54"/>
      <c r="BF131" s="95"/>
      <c r="BG131" s="95"/>
      <c r="BH131" s="54"/>
      <c r="BI131" s="67"/>
      <c r="BJ131" s="67"/>
      <c r="BK131" s="54"/>
      <c r="BL131" s="54"/>
      <c r="BM131" s="54"/>
      <c r="BN131" s="104"/>
      <c r="BO131" s="83"/>
      <c r="BP131" s="54"/>
      <c r="BQ131" s="70"/>
      <c r="BR131" s="67"/>
      <c r="BS131" s="83"/>
      <c r="BT131" s="83"/>
      <c r="BU131" s="109" t="str">
        <f t="shared" si="8"/>
        <v/>
      </c>
      <c r="BV131" s="109" t="str">
        <f t="shared" si="9"/>
        <v/>
      </c>
      <c r="BW131" s="83" t="str">
        <f t="shared" si="10"/>
        <v/>
      </c>
      <c r="BX131" s="106"/>
      <c r="BY131" s="107"/>
      <c r="BZ131" s="113" t="str">
        <f t="shared" si="5"/>
        <v/>
      </c>
      <c r="CA131" s="113" t="str">
        <f t="array" ref="CA131">IF($A131&lt;&gt;"",INDEX(LISTA!$M$2:$N$27,MATCH($BC131,LISTA!$N$2:$N$27,0),1),"")</f>
        <v/>
      </c>
      <c r="CB131" s="54" t="str">
        <f t="shared" si="6"/>
        <v/>
      </c>
      <c r="CC131" s="86" t="str">
        <f t="shared" si="7"/>
        <v/>
      </c>
    </row>
    <row r="132" ht="15.0" customHeight="1">
      <c r="A132" s="50"/>
      <c r="B132" s="53"/>
      <c r="C132" s="54"/>
      <c r="D132" s="56"/>
      <c r="E132" s="57"/>
      <c r="F132" s="54"/>
      <c r="G132" s="60"/>
      <c r="H132" s="63"/>
      <c r="I132" s="67"/>
      <c r="J132" s="70"/>
      <c r="K132" s="54"/>
      <c r="L132" s="70"/>
      <c r="M132" s="77"/>
      <c r="N132" s="78"/>
      <c r="O132" s="80"/>
      <c r="P132" s="70"/>
      <c r="Q132" s="54"/>
      <c r="R132" s="84"/>
      <c r="S132" s="84"/>
      <c r="T132" s="54"/>
      <c r="U132" s="86"/>
      <c r="V132" s="54"/>
      <c r="W132" s="86"/>
      <c r="X132" s="54"/>
      <c r="Y132" s="78"/>
      <c r="Z132" s="54"/>
      <c r="AA132" s="70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54"/>
      <c r="AR132" s="83"/>
      <c r="AS132" s="83"/>
      <c r="AT132" s="93"/>
      <c r="AU132" s="93"/>
      <c r="AV132" s="93"/>
      <c r="AW132" s="83"/>
      <c r="AX132" s="83"/>
      <c r="AY132" s="83"/>
      <c r="AZ132" s="83"/>
      <c r="BA132" s="83"/>
      <c r="BB132" s="83"/>
      <c r="BC132" s="54"/>
      <c r="BD132" s="54" t="str">
        <f t="shared" si="1"/>
        <v/>
      </c>
      <c r="BE132" s="54"/>
      <c r="BF132" s="95"/>
      <c r="BG132" s="95"/>
      <c r="BH132" s="54"/>
      <c r="BI132" s="67"/>
      <c r="BJ132" s="67"/>
      <c r="BK132" s="54"/>
      <c r="BL132" s="54"/>
      <c r="BM132" s="54"/>
      <c r="BN132" s="104"/>
      <c r="BO132" s="83"/>
      <c r="BP132" s="54"/>
      <c r="BQ132" s="70"/>
      <c r="BR132" s="67"/>
      <c r="BS132" s="83"/>
      <c r="BT132" s="83"/>
      <c r="BU132" s="109" t="str">
        <f t="shared" si="8"/>
        <v/>
      </c>
      <c r="BV132" s="109" t="str">
        <f t="shared" si="9"/>
        <v/>
      </c>
      <c r="BW132" s="83" t="str">
        <f t="shared" si="10"/>
        <v/>
      </c>
      <c r="BX132" s="106"/>
      <c r="BY132" s="107"/>
      <c r="BZ132" s="113" t="str">
        <f t="shared" si="5"/>
        <v/>
      </c>
      <c r="CA132" s="113" t="str">
        <f t="array" ref="CA132">IF($A132&lt;&gt;"",INDEX(LISTA!$M$2:$N$27,MATCH($BC132,LISTA!$N$2:$N$27,0),1),"")</f>
        <v/>
      </c>
      <c r="CB132" s="54" t="str">
        <f t="shared" si="6"/>
        <v/>
      </c>
      <c r="CC132" s="86" t="str">
        <f t="shared" si="7"/>
        <v/>
      </c>
    </row>
    <row r="133" ht="15.0" customHeight="1">
      <c r="A133" s="50"/>
      <c r="B133" s="53"/>
      <c r="C133" s="54"/>
      <c r="D133" s="56"/>
      <c r="E133" s="57"/>
      <c r="F133" s="54"/>
      <c r="G133" s="60"/>
      <c r="H133" s="63"/>
      <c r="I133" s="67"/>
      <c r="J133" s="70"/>
      <c r="K133" s="54"/>
      <c r="L133" s="70"/>
      <c r="M133" s="77"/>
      <c r="N133" s="78"/>
      <c r="O133" s="80"/>
      <c r="P133" s="70"/>
      <c r="Q133" s="54"/>
      <c r="R133" s="84"/>
      <c r="S133" s="84"/>
      <c r="T133" s="54"/>
      <c r="U133" s="86"/>
      <c r="V133" s="54"/>
      <c r="W133" s="86"/>
      <c r="X133" s="54"/>
      <c r="Y133" s="78"/>
      <c r="Z133" s="54"/>
      <c r="AA133" s="70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54"/>
      <c r="AR133" s="83"/>
      <c r="AS133" s="83"/>
      <c r="AT133" s="93"/>
      <c r="AU133" s="93"/>
      <c r="AV133" s="93"/>
      <c r="AW133" s="83"/>
      <c r="AX133" s="83"/>
      <c r="AY133" s="83"/>
      <c r="AZ133" s="83"/>
      <c r="BA133" s="83"/>
      <c r="BB133" s="83"/>
      <c r="BC133" s="54"/>
      <c r="BD133" s="54" t="str">
        <f t="shared" si="1"/>
        <v/>
      </c>
      <c r="BE133" s="54"/>
      <c r="BF133" s="95"/>
      <c r="BG133" s="95"/>
      <c r="BH133" s="54"/>
      <c r="BI133" s="67"/>
      <c r="BJ133" s="67"/>
      <c r="BK133" s="54"/>
      <c r="BL133" s="54"/>
      <c r="BM133" s="54"/>
      <c r="BN133" s="104"/>
      <c r="BO133" s="83"/>
      <c r="BP133" s="54"/>
      <c r="BQ133" s="70"/>
      <c r="BR133" s="67"/>
      <c r="BS133" s="83"/>
      <c r="BT133" s="83"/>
      <c r="BU133" s="109" t="str">
        <f t="shared" si="8"/>
        <v/>
      </c>
      <c r="BV133" s="109" t="str">
        <f t="shared" si="9"/>
        <v/>
      </c>
      <c r="BW133" s="83" t="str">
        <f t="shared" si="10"/>
        <v/>
      </c>
      <c r="BX133" s="106"/>
      <c r="BY133" s="107"/>
      <c r="BZ133" s="113" t="str">
        <f t="shared" si="5"/>
        <v/>
      </c>
      <c r="CA133" s="113" t="str">
        <f t="array" ref="CA133">IF($A133&lt;&gt;"",INDEX(LISTA!$M$2:$N$27,MATCH($BC133,LISTA!$N$2:$N$27,0),1),"")</f>
        <v/>
      </c>
      <c r="CB133" s="54" t="str">
        <f t="shared" si="6"/>
        <v/>
      </c>
      <c r="CC133" s="86" t="str">
        <f t="shared" si="7"/>
        <v/>
      </c>
    </row>
    <row r="134" ht="15.0" customHeight="1">
      <c r="A134" s="50"/>
      <c r="B134" s="53"/>
      <c r="C134" s="54"/>
      <c r="D134" s="56"/>
      <c r="E134" s="57"/>
      <c r="F134" s="54"/>
      <c r="G134" s="60"/>
      <c r="H134" s="63"/>
      <c r="I134" s="67"/>
      <c r="J134" s="70"/>
      <c r="K134" s="54"/>
      <c r="L134" s="70"/>
      <c r="M134" s="77"/>
      <c r="N134" s="78"/>
      <c r="O134" s="80"/>
      <c r="P134" s="70"/>
      <c r="Q134" s="54"/>
      <c r="R134" s="84"/>
      <c r="S134" s="84"/>
      <c r="T134" s="54"/>
      <c r="U134" s="86"/>
      <c r="V134" s="54"/>
      <c r="W134" s="86"/>
      <c r="X134" s="54"/>
      <c r="Y134" s="78"/>
      <c r="Z134" s="54"/>
      <c r="AA134" s="70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54"/>
      <c r="AR134" s="83"/>
      <c r="AS134" s="83"/>
      <c r="AT134" s="93"/>
      <c r="AU134" s="93"/>
      <c r="AV134" s="93"/>
      <c r="AW134" s="83"/>
      <c r="AX134" s="83"/>
      <c r="AY134" s="83"/>
      <c r="AZ134" s="83"/>
      <c r="BA134" s="83"/>
      <c r="BB134" s="83"/>
      <c r="BC134" s="54"/>
      <c r="BD134" s="54" t="str">
        <f t="shared" si="1"/>
        <v/>
      </c>
      <c r="BE134" s="54"/>
      <c r="BF134" s="95"/>
      <c r="BG134" s="95"/>
      <c r="BH134" s="54"/>
      <c r="BI134" s="67"/>
      <c r="BJ134" s="67"/>
      <c r="BK134" s="54"/>
      <c r="BL134" s="54"/>
      <c r="BM134" s="54"/>
      <c r="BN134" s="104"/>
      <c r="BO134" s="83"/>
      <c r="BP134" s="54"/>
      <c r="BQ134" s="70"/>
      <c r="BR134" s="67"/>
      <c r="BS134" s="83"/>
      <c r="BT134" s="83"/>
      <c r="BU134" s="109" t="str">
        <f t="shared" si="8"/>
        <v/>
      </c>
      <c r="BV134" s="109" t="str">
        <f t="shared" si="9"/>
        <v/>
      </c>
      <c r="BW134" s="83" t="str">
        <f t="shared" si="10"/>
        <v/>
      </c>
      <c r="BX134" s="106"/>
      <c r="BY134" s="107"/>
      <c r="BZ134" s="113" t="str">
        <f t="shared" si="5"/>
        <v/>
      </c>
      <c r="CA134" s="113" t="str">
        <f t="array" ref="CA134">IF($A134&lt;&gt;"",INDEX(LISTA!$M$2:$N$27,MATCH($BC134,LISTA!$N$2:$N$27,0),1),"")</f>
        <v/>
      </c>
      <c r="CB134" s="54" t="str">
        <f t="shared" si="6"/>
        <v/>
      </c>
      <c r="CC134" s="86" t="str">
        <f t="shared" si="7"/>
        <v/>
      </c>
    </row>
    <row r="135" ht="15.0" customHeight="1">
      <c r="A135" s="50"/>
      <c r="B135" s="53"/>
      <c r="C135" s="54"/>
      <c r="D135" s="56"/>
      <c r="E135" s="57"/>
      <c r="F135" s="54"/>
      <c r="G135" s="60"/>
      <c r="H135" s="63"/>
      <c r="I135" s="67"/>
      <c r="J135" s="70"/>
      <c r="K135" s="54"/>
      <c r="L135" s="70"/>
      <c r="M135" s="77"/>
      <c r="N135" s="78"/>
      <c r="O135" s="80"/>
      <c r="P135" s="70"/>
      <c r="Q135" s="54"/>
      <c r="R135" s="84"/>
      <c r="S135" s="84"/>
      <c r="T135" s="54"/>
      <c r="U135" s="86"/>
      <c r="V135" s="54"/>
      <c r="W135" s="86"/>
      <c r="X135" s="54"/>
      <c r="Y135" s="78"/>
      <c r="Z135" s="54"/>
      <c r="AA135" s="70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54"/>
      <c r="AR135" s="83"/>
      <c r="AS135" s="83"/>
      <c r="AT135" s="93"/>
      <c r="AU135" s="93"/>
      <c r="AV135" s="93"/>
      <c r="AW135" s="83"/>
      <c r="AX135" s="83"/>
      <c r="AY135" s="83"/>
      <c r="AZ135" s="83"/>
      <c r="BA135" s="83"/>
      <c r="BB135" s="83"/>
      <c r="BC135" s="54"/>
      <c r="BD135" s="54" t="str">
        <f t="shared" si="1"/>
        <v/>
      </c>
      <c r="BE135" s="54"/>
      <c r="BF135" s="95"/>
      <c r="BG135" s="95"/>
      <c r="BH135" s="54"/>
      <c r="BI135" s="67"/>
      <c r="BJ135" s="67"/>
      <c r="BK135" s="54"/>
      <c r="BL135" s="54"/>
      <c r="BM135" s="54"/>
      <c r="BN135" s="104"/>
      <c r="BO135" s="83"/>
      <c r="BP135" s="54"/>
      <c r="BQ135" s="70"/>
      <c r="BR135" s="67"/>
      <c r="BS135" s="83"/>
      <c r="BT135" s="83"/>
      <c r="BU135" s="109" t="str">
        <f t="shared" si="8"/>
        <v/>
      </c>
      <c r="BV135" s="109" t="str">
        <f t="shared" si="9"/>
        <v/>
      </c>
      <c r="BW135" s="83" t="str">
        <f t="shared" si="10"/>
        <v/>
      </c>
      <c r="BX135" s="106"/>
      <c r="BY135" s="107"/>
      <c r="BZ135" s="113" t="str">
        <f t="shared" si="5"/>
        <v/>
      </c>
      <c r="CA135" s="113" t="str">
        <f t="array" ref="CA135">IF($A135&lt;&gt;"",INDEX(LISTA!$M$2:$N$27,MATCH($BC135,LISTA!$N$2:$N$27,0),1),"")</f>
        <v/>
      </c>
      <c r="CB135" s="54" t="str">
        <f t="shared" si="6"/>
        <v/>
      </c>
      <c r="CC135" s="86" t="str">
        <f t="shared" si="7"/>
        <v/>
      </c>
    </row>
    <row r="136" ht="15.0" customHeight="1">
      <c r="A136" s="50"/>
      <c r="B136" s="53"/>
      <c r="C136" s="54"/>
      <c r="D136" s="56"/>
      <c r="E136" s="57"/>
      <c r="F136" s="54"/>
      <c r="G136" s="60"/>
      <c r="H136" s="63"/>
      <c r="I136" s="67"/>
      <c r="J136" s="70"/>
      <c r="K136" s="54"/>
      <c r="L136" s="70"/>
      <c r="M136" s="77"/>
      <c r="N136" s="78"/>
      <c r="O136" s="80"/>
      <c r="P136" s="70"/>
      <c r="Q136" s="54"/>
      <c r="R136" s="84"/>
      <c r="S136" s="84"/>
      <c r="T136" s="54"/>
      <c r="U136" s="86"/>
      <c r="V136" s="54"/>
      <c r="W136" s="86"/>
      <c r="X136" s="54"/>
      <c r="Y136" s="78"/>
      <c r="Z136" s="54"/>
      <c r="AA136" s="70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54"/>
      <c r="AR136" s="83"/>
      <c r="AS136" s="83"/>
      <c r="AT136" s="93"/>
      <c r="AU136" s="93"/>
      <c r="AV136" s="93"/>
      <c r="AW136" s="83"/>
      <c r="AX136" s="83"/>
      <c r="AY136" s="83"/>
      <c r="AZ136" s="83"/>
      <c r="BA136" s="83"/>
      <c r="BB136" s="83"/>
      <c r="BC136" s="54"/>
      <c r="BD136" s="54" t="str">
        <f t="shared" si="1"/>
        <v/>
      </c>
      <c r="BE136" s="54"/>
      <c r="BF136" s="95"/>
      <c r="BG136" s="95"/>
      <c r="BH136" s="54"/>
      <c r="BI136" s="67"/>
      <c r="BJ136" s="67"/>
      <c r="BK136" s="54"/>
      <c r="BL136" s="54"/>
      <c r="BM136" s="54"/>
      <c r="BN136" s="104"/>
      <c r="BO136" s="83"/>
      <c r="BP136" s="54"/>
      <c r="BQ136" s="70"/>
      <c r="BR136" s="67"/>
      <c r="BS136" s="83"/>
      <c r="BT136" s="83"/>
      <c r="BU136" s="109" t="str">
        <f t="shared" si="8"/>
        <v/>
      </c>
      <c r="BV136" s="109" t="str">
        <f t="shared" si="9"/>
        <v/>
      </c>
      <c r="BW136" s="83" t="str">
        <f t="shared" si="10"/>
        <v/>
      </c>
      <c r="BX136" s="106"/>
      <c r="BY136" s="107"/>
      <c r="BZ136" s="113" t="str">
        <f t="shared" si="5"/>
        <v/>
      </c>
      <c r="CA136" s="113" t="str">
        <f t="array" ref="CA136">IF($A136&lt;&gt;"",INDEX(LISTA!$M$2:$N$27,MATCH($BC136,LISTA!$N$2:$N$27,0),1),"")</f>
        <v/>
      </c>
      <c r="CB136" s="54" t="str">
        <f t="shared" si="6"/>
        <v/>
      </c>
      <c r="CC136" s="86" t="str">
        <f t="shared" si="7"/>
        <v/>
      </c>
    </row>
    <row r="137" ht="15.0" customHeight="1">
      <c r="A137" s="50"/>
      <c r="B137" s="53"/>
      <c r="C137" s="54"/>
      <c r="D137" s="56"/>
      <c r="E137" s="57"/>
      <c r="F137" s="54"/>
      <c r="G137" s="60"/>
      <c r="H137" s="63"/>
      <c r="I137" s="67"/>
      <c r="J137" s="70"/>
      <c r="K137" s="54"/>
      <c r="L137" s="70"/>
      <c r="M137" s="77"/>
      <c r="N137" s="78"/>
      <c r="O137" s="80"/>
      <c r="P137" s="70"/>
      <c r="Q137" s="54"/>
      <c r="R137" s="84"/>
      <c r="S137" s="84"/>
      <c r="T137" s="54"/>
      <c r="U137" s="86"/>
      <c r="V137" s="54"/>
      <c r="W137" s="86"/>
      <c r="X137" s="54"/>
      <c r="Y137" s="78"/>
      <c r="Z137" s="54"/>
      <c r="AA137" s="70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54"/>
      <c r="AR137" s="83"/>
      <c r="AS137" s="83"/>
      <c r="AT137" s="93"/>
      <c r="AU137" s="93"/>
      <c r="AV137" s="93"/>
      <c r="AW137" s="83"/>
      <c r="AX137" s="83"/>
      <c r="AY137" s="83"/>
      <c r="AZ137" s="83"/>
      <c r="BA137" s="83"/>
      <c r="BB137" s="83"/>
      <c r="BC137" s="54"/>
      <c r="BD137" s="54" t="str">
        <f t="shared" si="1"/>
        <v/>
      </c>
      <c r="BE137" s="54"/>
      <c r="BF137" s="95"/>
      <c r="BG137" s="95"/>
      <c r="BH137" s="54"/>
      <c r="BI137" s="67"/>
      <c r="BJ137" s="67"/>
      <c r="BK137" s="54"/>
      <c r="BL137" s="54"/>
      <c r="BM137" s="54"/>
      <c r="BN137" s="104"/>
      <c r="BO137" s="83"/>
      <c r="BP137" s="54"/>
      <c r="BQ137" s="70"/>
      <c r="BR137" s="67"/>
      <c r="BS137" s="83"/>
      <c r="BT137" s="83"/>
      <c r="BU137" s="109" t="str">
        <f t="shared" si="8"/>
        <v/>
      </c>
      <c r="BV137" s="109" t="str">
        <f t="shared" si="9"/>
        <v/>
      </c>
      <c r="BW137" s="83" t="str">
        <f t="shared" si="10"/>
        <v/>
      </c>
      <c r="BX137" s="106"/>
      <c r="BY137" s="107"/>
      <c r="BZ137" s="113" t="str">
        <f t="shared" si="5"/>
        <v/>
      </c>
      <c r="CA137" s="113" t="str">
        <f t="array" ref="CA137">IF($A137&lt;&gt;"",INDEX(LISTA!$M$2:$N$27,MATCH($BC137,LISTA!$N$2:$N$27,0),1),"")</f>
        <v/>
      </c>
      <c r="CB137" s="54" t="str">
        <f t="shared" si="6"/>
        <v/>
      </c>
      <c r="CC137" s="86" t="str">
        <f t="shared" si="7"/>
        <v/>
      </c>
    </row>
    <row r="138" ht="15.0" customHeight="1">
      <c r="A138" s="50"/>
      <c r="B138" s="53"/>
      <c r="C138" s="54"/>
      <c r="D138" s="56"/>
      <c r="E138" s="57"/>
      <c r="F138" s="54"/>
      <c r="G138" s="60"/>
      <c r="H138" s="63"/>
      <c r="I138" s="67"/>
      <c r="J138" s="70"/>
      <c r="K138" s="54"/>
      <c r="L138" s="70"/>
      <c r="M138" s="77"/>
      <c r="N138" s="78"/>
      <c r="O138" s="80"/>
      <c r="P138" s="70"/>
      <c r="Q138" s="54"/>
      <c r="R138" s="84"/>
      <c r="S138" s="84"/>
      <c r="T138" s="54"/>
      <c r="U138" s="86"/>
      <c r="V138" s="54"/>
      <c r="W138" s="86"/>
      <c r="X138" s="54"/>
      <c r="Y138" s="78"/>
      <c r="Z138" s="54"/>
      <c r="AA138" s="70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54"/>
      <c r="AR138" s="83"/>
      <c r="AS138" s="83"/>
      <c r="AT138" s="93"/>
      <c r="AU138" s="93"/>
      <c r="AV138" s="93"/>
      <c r="AW138" s="83"/>
      <c r="AX138" s="83"/>
      <c r="AY138" s="83"/>
      <c r="AZ138" s="83"/>
      <c r="BA138" s="83"/>
      <c r="BB138" s="83"/>
      <c r="BC138" s="54"/>
      <c r="BD138" s="54" t="str">
        <f t="shared" si="1"/>
        <v/>
      </c>
      <c r="BE138" s="54"/>
      <c r="BF138" s="95"/>
      <c r="BG138" s="95"/>
      <c r="BH138" s="54"/>
      <c r="BI138" s="67"/>
      <c r="BJ138" s="67"/>
      <c r="BK138" s="54"/>
      <c r="BL138" s="54"/>
      <c r="BM138" s="54"/>
      <c r="BN138" s="104"/>
      <c r="BO138" s="83"/>
      <c r="BP138" s="54"/>
      <c r="BQ138" s="70"/>
      <c r="BR138" s="67"/>
      <c r="BS138" s="83"/>
      <c r="BT138" s="83"/>
      <c r="BU138" s="109" t="str">
        <f t="shared" si="8"/>
        <v/>
      </c>
      <c r="BV138" s="109" t="str">
        <f t="shared" si="9"/>
        <v/>
      </c>
      <c r="BW138" s="83" t="str">
        <f t="shared" si="10"/>
        <v/>
      </c>
      <c r="BX138" s="106"/>
      <c r="BY138" s="107"/>
      <c r="BZ138" s="113" t="str">
        <f t="shared" si="5"/>
        <v/>
      </c>
      <c r="CA138" s="113" t="str">
        <f t="array" ref="CA138">IF($A138&lt;&gt;"",INDEX(LISTA!$M$2:$N$27,MATCH($BC138,LISTA!$N$2:$N$27,0),1),"")</f>
        <v/>
      </c>
      <c r="CB138" s="54" t="str">
        <f t="shared" si="6"/>
        <v/>
      </c>
      <c r="CC138" s="86" t="str">
        <f t="shared" si="7"/>
        <v/>
      </c>
    </row>
    <row r="139" ht="15.0" customHeight="1">
      <c r="A139" s="50"/>
      <c r="B139" s="53"/>
      <c r="C139" s="54"/>
      <c r="D139" s="56"/>
      <c r="E139" s="57"/>
      <c r="F139" s="54"/>
      <c r="G139" s="60"/>
      <c r="H139" s="63"/>
      <c r="I139" s="67"/>
      <c r="J139" s="70"/>
      <c r="K139" s="54"/>
      <c r="L139" s="70"/>
      <c r="M139" s="77"/>
      <c r="N139" s="78"/>
      <c r="O139" s="80"/>
      <c r="P139" s="70"/>
      <c r="Q139" s="54"/>
      <c r="R139" s="84"/>
      <c r="S139" s="84"/>
      <c r="T139" s="54"/>
      <c r="U139" s="86"/>
      <c r="V139" s="54"/>
      <c r="W139" s="86"/>
      <c r="X139" s="54"/>
      <c r="Y139" s="78"/>
      <c r="Z139" s="54"/>
      <c r="AA139" s="70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54"/>
      <c r="AR139" s="83"/>
      <c r="AS139" s="83"/>
      <c r="AT139" s="93"/>
      <c r="AU139" s="93"/>
      <c r="AV139" s="93"/>
      <c r="AW139" s="83"/>
      <c r="AX139" s="83"/>
      <c r="AY139" s="83"/>
      <c r="AZ139" s="83"/>
      <c r="BA139" s="83"/>
      <c r="BB139" s="83"/>
      <c r="BC139" s="54"/>
      <c r="BD139" s="54" t="str">
        <f t="shared" si="1"/>
        <v/>
      </c>
      <c r="BE139" s="54"/>
      <c r="BF139" s="95"/>
      <c r="BG139" s="95"/>
      <c r="BH139" s="54"/>
      <c r="BI139" s="67"/>
      <c r="BJ139" s="67"/>
      <c r="BK139" s="54"/>
      <c r="BL139" s="54"/>
      <c r="BM139" s="54"/>
      <c r="BN139" s="104"/>
      <c r="BO139" s="83"/>
      <c r="BP139" s="54"/>
      <c r="BQ139" s="70"/>
      <c r="BR139" s="67"/>
      <c r="BS139" s="83"/>
      <c r="BT139" s="83"/>
      <c r="BU139" s="109" t="str">
        <f t="shared" si="8"/>
        <v/>
      </c>
      <c r="BV139" s="109" t="str">
        <f t="shared" si="9"/>
        <v/>
      </c>
      <c r="BW139" s="83" t="str">
        <f t="shared" si="10"/>
        <v/>
      </c>
      <c r="BX139" s="106"/>
      <c r="BY139" s="107"/>
      <c r="BZ139" s="113" t="str">
        <f t="shared" si="5"/>
        <v/>
      </c>
      <c r="CA139" s="113" t="str">
        <f t="array" ref="CA139">IF($A139&lt;&gt;"",INDEX(LISTA!$M$2:$N$27,MATCH($BC139,LISTA!$N$2:$N$27,0),1),"")</f>
        <v/>
      </c>
      <c r="CB139" s="54" t="str">
        <f t="shared" si="6"/>
        <v/>
      </c>
      <c r="CC139" s="86" t="str">
        <f t="shared" si="7"/>
        <v/>
      </c>
    </row>
    <row r="140" ht="15.0" customHeight="1">
      <c r="A140" s="50"/>
      <c r="B140" s="53"/>
      <c r="C140" s="54"/>
      <c r="D140" s="56"/>
      <c r="E140" s="57"/>
      <c r="F140" s="54"/>
      <c r="G140" s="60"/>
      <c r="H140" s="63"/>
      <c r="I140" s="67"/>
      <c r="J140" s="70"/>
      <c r="K140" s="54"/>
      <c r="L140" s="70"/>
      <c r="M140" s="77"/>
      <c r="N140" s="78"/>
      <c r="O140" s="80"/>
      <c r="P140" s="70"/>
      <c r="Q140" s="54"/>
      <c r="R140" s="84"/>
      <c r="S140" s="84"/>
      <c r="T140" s="54"/>
      <c r="U140" s="86"/>
      <c r="V140" s="54"/>
      <c r="W140" s="86"/>
      <c r="X140" s="54"/>
      <c r="Y140" s="78"/>
      <c r="Z140" s="54"/>
      <c r="AA140" s="70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54"/>
      <c r="AR140" s="83"/>
      <c r="AS140" s="83"/>
      <c r="AT140" s="93"/>
      <c r="AU140" s="93"/>
      <c r="AV140" s="93"/>
      <c r="AW140" s="83"/>
      <c r="AX140" s="83"/>
      <c r="AY140" s="83"/>
      <c r="AZ140" s="83"/>
      <c r="BA140" s="83"/>
      <c r="BB140" s="83"/>
      <c r="BC140" s="54"/>
      <c r="BD140" s="54" t="str">
        <f t="shared" si="1"/>
        <v/>
      </c>
      <c r="BE140" s="54"/>
      <c r="BF140" s="95"/>
      <c r="BG140" s="95"/>
      <c r="BH140" s="54"/>
      <c r="BI140" s="67"/>
      <c r="BJ140" s="67"/>
      <c r="BK140" s="54"/>
      <c r="BL140" s="54"/>
      <c r="BM140" s="54"/>
      <c r="BN140" s="104"/>
      <c r="BO140" s="83"/>
      <c r="BP140" s="54"/>
      <c r="BQ140" s="70"/>
      <c r="BR140" s="67"/>
      <c r="BS140" s="83"/>
      <c r="BT140" s="83"/>
      <c r="BU140" s="109" t="str">
        <f t="shared" si="8"/>
        <v/>
      </c>
      <c r="BV140" s="109" t="str">
        <f t="shared" si="9"/>
        <v/>
      </c>
      <c r="BW140" s="83" t="str">
        <f t="shared" si="10"/>
        <v/>
      </c>
      <c r="BX140" s="106"/>
      <c r="BY140" s="107"/>
      <c r="BZ140" s="113" t="str">
        <f t="shared" si="5"/>
        <v/>
      </c>
      <c r="CA140" s="113" t="str">
        <f t="array" ref="CA140">IF($A140&lt;&gt;"",INDEX(LISTA!$M$2:$N$27,MATCH($BC140,LISTA!$N$2:$N$27,0),1),"")</f>
        <v/>
      </c>
      <c r="CB140" s="54" t="str">
        <f t="shared" si="6"/>
        <v/>
      </c>
      <c r="CC140" s="86" t="str">
        <f t="shared" si="7"/>
        <v/>
      </c>
    </row>
    <row r="141" ht="15.0" customHeight="1">
      <c r="A141" s="50"/>
      <c r="B141" s="53"/>
      <c r="C141" s="54"/>
      <c r="D141" s="56"/>
      <c r="E141" s="57"/>
      <c r="F141" s="54"/>
      <c r="G141" s="60"/>
      <c r="H141" s="63"/>
      <c r="I141" s="67"/>
      <c r="J141" s="70"/>
      <c r="K141" s="54"/>
      <c r="L141" s="70"/>
      <c r="M141" s="77"/>
      <c r="N141" s="78"/>
      <c r="O141" s="80"/>
      <c r="P141" s="70"/>
      <c r="Q141" s="54"/>
      <c r="R141" s="84"/>
      <c r="S141" s="84"/>
      <c r="T141" s="54"/>
      <c r="U141" s="86"/>
      <c r="V141" s="54"/>
      <c r="W141" s="86"/>
      <c r="X141" s="54"/>
      <c r="Y141" s="78"/>
      <c r="Z141" s="54"/>
      <c r="AA141" s="70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54"/>
      <c r="AR141" s="83"/>
      <c r="AS141" s="83"/>
      <c r="AT141" s="93"/>
      <c r="AU141" s="93"/>
      <c r="AV141" s="93"/>
      <c r="AW141" s="83"/>
      <c r="AX141" s="83"/>
      <c r="AY141" s="83"/>
      <c r="AZ141" s="83"/>
      <c r="BA141" s="83"/>
      <c r="BB141" s="83"/>
      <c r="BC141" s="54"/>
      <c r="BD141" s="54" t="str">
        <f t="shared" si="1"/>
        <v/>
      </c>
      <c r="BE141" s="54"/>
      <c r="BF141" s="95"/>
      <c r="BG141" s="95"/>
      <c r="BH141" s="54"/>
      <c r="BI141" s="67"/>
      <c r="BJ141" s="67"/>
      <c r="BK141" s="54"/>
      <c r="BL141" s="54"/>
      <c r="BM141" s="54"/>
      <c r="BN141" s="104"/>
      <c r="BO141" s="83"/>
      <c r="BP141" s="54"/>
      <c r="BQ141" s="70"/>
      <c r="BR141" s="67"/>
      <c r="BS141" s="83"/>
      <c r="BT141" s="83"/>
      <c r="BU141" s="109" t="str">
        <f t="shared" si="8"/>
        <v/>
      </c>
      <c r="BV141" s="109" t="str">
        <f t="shared" si="9"/>
        <v/>
      </c>
      <c r="BW141" s="83" t="str">
        <f t="shared" si="10"/>
        <v/>
      </c>
      <c r="BX141" s="106"/>
      <c r="BY141" s="107"/>
      <c r="BZ141" s="113" t="str">
        <f t="shared" si="5"/>
        <v/>
      </c>
      <c r="CA141" s="113" t="str">
        <f t="array" ref="CA141">IF($A141&lt;&gt;"",INDEX(LISTA!$M$2:$N$27,MATCH($BC141,LISTA!$N$2:$N$27,0),1),"")</f>
        <v/>
      </c>
      <c r="CB141" s="54" t="str">
        <f t="shared" si="6"/>
        <v/>
      </c>
      <c r="CC141" s="86" t="str">
        <f t="shared" si="7"/>
        <v/>
      </c>
    </row>
    <row r="142" ht="15.0" customHeight="1">
      <c r="A142" s="50"/>
      <c r="B142" s="53"/>
      <c r="C142" s="54"/>
      <c r="D142" s="56"/>
      <c r="E142" s="57"/>
      <c r="F142" s="54"/>
      <c r="G142" s="60"/>
      <c r="H142" s="63"/>
      <c r="I142" s="67"/>
      <c r="J142" s="70"/>
      <c r="K142" s="54"/>
      <c r="L142" s="70"/>
      <c r="M142" s="77"/>
      <c r="N142" s="78"/>
      <c r="O142" s="80"/>
      <c r="P142" s="70"/>
      <c r="Q142" s="54"/>
      <c r="R142" s="84"/>
      <c r="S142" s="84"/>
      <c r="T142" s="54"/>
      <c r="U142" s="86"/>
      <c r="V142" s="54"/>
      <c r="W142" s="86"/>
      <c r="X142" s="54"/>
      <c r="Y142" s="78"/>
      <c r="Z142" s="54"/>
      <c r="AA142" s="70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54"/>
      <c r="AR142" s="83"/>
      <c r="AS142" s="83"/>
      <c r="AT142" s="93"/>
      <c r="AU142" s="93"/>
      <c r="AV142" s="93"/>
      <c r="AW142" s="83"/>
      <c r="AX142" s="83"/>
      <c r="AY142" s="83"/>
      <c r="AZ142" s="83"/>
      <c r="BA142" s="83"/>
      <c r="BB142" s="83"/>
      <c r="BC142" s="54"/>
      <c r="BD142" s="54" t="str">
        <f t="shared" si="1"/>
        <v/>
      </c>
      <c r="BE142" s="54"/>
      <c r="BF142" s="95"/>
      <c r="BG142" s="95"/>
      <c r="BH142" s="54"/>
      <c r="BI142" s="67"/>
      <c r="BJ142" s="67"/>
      <c r="BK142" s="54"/>
      <c r="BL142" s="54"/>
      <c r="BM142" s="54"/>
      <c r="BN142" s="104"/>
      <c r="BO142" s="83"/>
      <c r="BP142" s="54"/>
      <c r="BQ142" s="70"/>
      <c r="BR142" s="67"/>
      <c r="BS142" s="83"/>
      <c r="BT142" s="83"/>
      <c r="BU142" s="109" t="str">
        <f t="shared" si="8"/>
        <v/>
      </c>
      <c r="BV142" s="109" t="str">
        <f t="shared" si="9"/>
        <v/>
      </c>
      <c r="BW142" s="83" t="str">
        <f t="shared" si="10"/>
        <v/>
      </c>
      <c r="BX142" s="106"/>
      <c r="BY142" s="107"/>
      <c r="BZ142" s="113" t="str">
        <f t="shared" si="5"/>
        <v/>
      </c>
      <c r="CA142" s="113" t="str">
        <f t="array" ref="CA142">IF($A142&lt;&gt;"",INDEX(LISTA!$M$2:$N$27,MATCH($BC142,LISTA!$N$2:$N$27,0),1),"")</f>
        <v/>
      </c>
      <c r="CB142" s="54" t="str">
        <f t="shared" si="6"/>
        <v/>
      </c>
      <c r="CC142" s="86" t="str">
        <f t="shared" si="7"/>
        <v/>
      </c>
    </row>
    <row r="143" ht="15.0" customHeight="1">
      <c r="A143" s="50"/>
      <c r="B143" s="53"/>
      <c r="C143" s="54"/>
      <c r="D143" s="56"/>
      <c r="E143" s="57"/>
      <c r="F143" s="54"/>
      <c r="G143" s="60"/>
      <c r="H143" s="63"/>
      <c r="I143" s="67"/>
      <c r="J143" s="70"/>
      <c r="K143" s="54"/>
      <c r="L143" s="70"/>
      <c r="M143" s="77"/>
      <c r="N143" s="78"/>
      <c r="O143" s="80"/>
      <c r="P143" s="70"/>
      <c r="Q143" s="54"/>
      <c r="R143" s="84"/>
      <c r="S143" s="84"/>
      <c r="T143" s="54"/>
      <c r="U143" s="86"/>
      <c r="V143" s="54"/>
      <c r="W143" s="86"/>
      <c r="X143" s="54"/>
      <c r="Y143" s="78"/>
      <c r="Z143" s="54"/>
      <c r="AA143" s="70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54"/>
      <c r="AR143" s="83"/>
      <c r="AS143" s="83"/>
      <c r="AT143" s="93"/>
      <c r="AU143" s="93"/>
      <c r="AV143" s="93"/>
      <c r="AW143" s="83"/>
      <c r="AX143" s="83"/>
      <c r="AY143" s="83"/>
      <c r="AZ143" s="83"/>
      <c r="BA143" s="83"/>
      <c r="BB143" s="83"/>
      <c r="BC143" s="54"/>
      <c r="BD143" s="54" t="str">
        <f t="shared" si="1"/>
        <v/>
      </c>
      <c r="BE143" s="54"/>
      <c r="BF143" s="95"/>
      <c r="BG143" s="95"/>
      <c r="BH143" s="54"/>
      <c r="BI143" s="67"/>
      <c r="BJ143" s="67"/>
      <c r="BK143" s="54"/>
      <c r="BL143" s="54"/>
      <c r="BM143" s="54"/>
      <c r="BN143" s="104"/>
      <c r="BO143" s="83"/>
      <c r="BP143" s="54"/>
      <c r="BQ143" s="70"/>
      <c r="BR143" s="67"/>
      <c r="BS143" s="83"/>
      <c r="BT143" s="83"/>
      <c r="BU143" s="109" t="str">
        <f t="shared" si="8"/>
        <v/>
      </c>
      <c r="BV143" s="109" t="str">
        <f t="shared" si="9"/>
        <v/>
      </c>
      <c r="BW143" s="83" t="str">
        <f t="shared" si="10"/>
        <v/>
      </c>
      <c r="BX143" s="106"/>
      <c r="BY143" s="107"/>
      <c r="BZ143" s="113" t="str">
        <f t="shared" si="5"/>
        <v/>
      </c>
      <c r="CA143" s="113" t="str">
        <f t="array" ref="CA143">IF($A143&lt;&gt;"",INDEX(LISTA!$M$2:$N$27,MATCH($BC143,LISTA!$N$2:$N$27,0),1),"")</f>
        <v/>
      </c>
      <c r="CB143" s="54" t="str">
        <f t="shared" si="6"/>
        <v/>
      </c>
      <c r="CC143" s="86" t="str">
        <f t="shared" si="7"/>
        <v/>
      </c>
    </row>
    <row r="144" ht="15.0" customHeight="1">
      <c r="A144" s="50"/>
      <c r="B144" s="53"/>
      <c r="C144" s="54"/>
      <c r="D144" s="56"/>
      <c r="E144" s="57"/>
      <c r="F144" s="54"/>
      <c r="G144" s="60"/>
      <c r="H144" s="63"/>
      <c r="I144" s="67"/>
      <c r="J144" s="70"/>
      <c r="K144" s="54"/>
      <c r="L144" s="70"/>
      <c r="M144" s="77"/>
      <c r="N144" s="78"/>
      <c r="O144" s="80"/>
      <c r="P144" s="70"/>
      <c r="Q144" s="54"/>
      <c r="R144" s="84"/>
      <c r="S144" s="84"/>
      <c r="T144" s="54"/>
      <c r="U144" s="86"/>
      <c r="V144" s="54"/>
      <c r="W144" s="86"/>
      <c r="X144" s="54"/>
      <c r="Y144" s="78"/>
      <c r="Z144" s="54"/>
      <c r="AA144" s="70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54"/>
      <c r="AR144" s="83"/>
      <c r="AS144" s="83"/>
      <c r="AT144" s="93"/>
      <c r="AU144" s="93"/>
      <c r="AV144" s="93"/>
      <c r="AW144" s="83"/>
      <c r="AX144" s="83"/>
      <c r="AY144" s="83"/>
      <c r="AZ144" s="83"/>
      <c r="BA144" s="83"/>
      <c r="BB144" s="83"/>
      <c r="BC144" s="54"/>
      <c r="BD144" s="54" t="str">
        <f t="shared" si="1"/>
        <v/>
      </c>
      <c r="BE144" s="54"/>
      <c r="BF144" s="95"/>
      <c r="BG144" s="95"/>
      <c r="BH144" s="54"/>
      <c r="BI144" s="67"/>
      <c r="BJ144" s="67"/>
      <c r="BK144" s="54"/>
      <c r="BL144" s="54"/>
      <c r="BM144" s="54"/>
      <c r="BN144" s="104"/>
      <c r="BO144" s="83"/>
      <c r="BP144" s="54"/>
      <c r="BQ144" s="70"/>
      <c r="BR144" s="67"/>
      <c r="BS144" s="83"/>
      <c r="BT144" s="83"/>
      <c r="BU144" s="109" t="str">
        <f t="shared" si="8"/>
        <v/>
      </c>
      <c r="BV144" s="109" t="str">
        <f t="shared" si="9"/>
        <v/>
      </c>
      <c r="BW144" s="83" t="str">
        <f t="shared" si="10"/>
        <v/>
      </c>
      <c r="BX144" s="106"/>
      <c r="BY144" s="107"/>
      <c r="BZ144" s="113" t="str">
        <f t="shared" si="5"/>
        <v/>
      </c>
      <c r="CA144" s="113" t="str">
        <f t="array" ref="CA144">IF($A144&lt;&gt;"",INDEX(LISTA!$M$2:$N$27,MATCH($BC144,LISTA!$N$2:$N$27,0),1),"")</f>
        <v/>
      </c>
      <c r="CB144" s="54" t="str">
        <f t="shared" si="6"/>
        <v/>
      </c>
      <c r="CC144" s="86" t="str">
        <f t="shared" si="7"/>
        <v/>
      </c>
    </row>
    <row r="145" ht="15.0" customHeight="1">
      <c r="A145" s="50"/>
      <c r="B145" s="53"/>
      <c r="C145" s="54"/>
      <c r="D145" s="56"/>
      <c r="E145" s="57"/>
      <c r="F145" s="54"/>
      <c r="G145" s="60"/>
      <c r="H145" s="63"/>
      <c r="I145" s="67"/>
      <c r="J145" s="70"/>
      <c r="K145" s="54"/>
      <c r="L145" s="70"/>
      <c r="M145" s="77"/>
      <c r="N145" s="78"/>
      <c r="O145" s="80"/>
      <c r="P145" s="70"/>
      <c r="Q145" s="54"/>
      <c r="R145" s="84"/>
      <c r="S145" s="84"/>
      <c r="T145" s="54"/>
      <c r="U145" s="86"/>
      <c r="V145" s="54"/>
      <c r="W145" s="86"/>
      <c r="X145" s="54"/>
      <c r="Y145" s="78"/>
      <c r="Z145" s="54"/>
      <c r="AA145" s="70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54"/>
      <c r="AR145" s="83"/>
      <c r="AS145" s="83"/>
      <c r="AT145" s="93"/>
      <c r="AU145" s="93"/>
      <c r="AV145" s="93"/>
      <c r="AW145" s="83"/>
      <c r="AX145" s="83"/>
      <c r="AY145" s="83"/>
      <c r="AZ145" s="83"/>
      <c r="BA145" s="83"/>
      <c r="BB145" s="83"/>
      <c r="BC145" s="54"/>
      <c r="BD145" s="54" t="str">
        <f t="shared" si="1"/>
        <v/>
      </c>
      <c r="BE145" s="54"/>
      <c r="BF145" s="95"/>
      <c r="BG145" s="95"/>
      <c r="BH145" s="54"/>
      <c r="BI145" s="67"/>
      <c r="BJ145" s="67"/>
      <c r="BK145" s="54"/>
      <c r="BL145" s="54"/>
      <c r="BM145" s="54"/>
      <c r="BN145" s="104"/>
      <c r="BO145" s="83"/>
      <c r="BP145" s="54"/>
      <c r="BQ145" s="70"/>
      <c r="BR145" s="67"/>
      <c r="BS145" s="83"/>
      <c r="BT145" s="83"/>
      <c r="BU145" s="109" t="str">
        <f t="shared" si="8"/>
        <v/>
      </c>
      <c r="BV145" s="109" t="str">
        <f t="shared" si="9"/>
        <v/>
      </c>
      <c r="BW145" s="83" t="str">
        <f t="shared" si="10"/>
        <v/>
      </c>
      <c r="BX145" s="106"/>
      <c r="BY145" s="107"/>
      <c r="BZ145" s="113" t="str">
        <f t="shared" si="5"/>
        <v/>
      </c>
      <c r="CA145" s="113" t="str">
        <f t="array" ref="CA145">IF($A145&lt;&gt;"",INDEX(LISTA!$M$2:$N$27,MATCH($BC145,LISTA!$N$2:$N$27,0),1),"")</f>
        <v/>
      </c>
      <c r="CB145" s="54" t="str">
        <f t="shared" si="6"/>
        <v/>
      </c>
      <c r="CC145" s="86" t="str">
        <f t="shared" si="7"/>
        <v/>
      </c>
    </row>
    <row r="146" ht="15.0" customHeight="1">
      <c r="A146" s="50"/>
      <c r="B146" s="53"/>
      <c r="C146" s="54"/>
      <c r="D146" s="56"/>
      <c r="E146" s="57"/>
      <c r="F146" s="54"/>
      <c r="G146" s="60"/>
      <c r="H146" s="63"/>
      <c r="I146" s="67"/>
      <c r="J146" s="70"/>
      <c r="K146" s="54"/>
      <c r="L146" s="70"/>
      <c r="M146" s="77"/>
      <c r="N146" s="78"/>
      <c r="O146" s="80"/>
      <c r="P146" s="70"/>
      <c r="Q146" s="54"/>
      <c r="R146" s="84"/>
      <c r="S146" s="84"/>
      <c r="T146" s="54"/>
      <c r="U146" s="86"/>
      <c r="V146" s="54"/>
      <c r="W146" s="86"/>
      <c r="X146" s="54"/>
      <c r="Y146" s="78"/>
      <c r="Z146" s="54"/>
      <c r="AA146" s="70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54"/>
      <c r="AR146" s="83"/>
      <c r="AS146" s="83"/>
      <c r="AT146" s="93"/>
      <c r="AU146" s="93"/>
      <c r="AV146" s="93"/>
      <c r="AW146" s="83"/>
      <c r="AX146" s="83"/>
      <c r="AY146" s="83"/>
      <c r="AZ146" s="83"/>
      <c r="BA146" s="83"/>
      <c r="BB146" s="83"/>
      <c r="BC146" s="54"/>
      <c r="BD146" s="54" t="str">
        <f t="shared" si="1"/>
        <v/>
      </c>
      <c r="BE146" s="54"/>
      <c r="BF146" s="95"/>
      <c r="BG146" s="95"/>
      <c r="BH146" s="54"/>
      <c r="BI146" s="67"/>
      <c r="BJ146" s="67"/>
      <c r="BK146" s="54"/>
      <c r="BL146" s="54"/>
      <c r="BM146" s="54"/>
      <c r="BN146" s="104"/>
      <c r="BO146" s="83"/>
      <c r="BP146" s="54"/>
      <c r="BQ146" s="70"/>
      <c r="BR146" s="67"/>
      <c r="BS146" s="83"/>
      <c r="BT146" s="83"/>
      <c r="BU146" s="109" t="str">
        <f t="shared" si="8"/>
        <v/>
      </c>
      <c r="BV146" s="109" t="str">
        <f t="shared" si="9"/>
        <v/>
      </c>
      <c r="BW146" s="83" t="str">
        <f t="shared" si="10"/>
        <v/>
      </c>
      <c r="BX146" s="106"/>
      <c r="BY146" s="107"/>
      <c r="BZ146" s="113" t="str">
        <f t="shared" si="5"/>
        <v/>
      </c>
      <c r="CA146" s="113" t="str">
        <f t="array" ref="CA146">IF($A146&lt;&gt;"",INDEX(LISTA!$M$2:$N$27,MATCH($BC146,LISTA!$N$2:$N$27,0),1),"")</f>
        <v/>
      </c>
      <c r="CB146" s="54" t="str">
        <f t="shared" si="6"/>
        <v/>
      </c>
      <c r="CC146" s="86" t="str">
        <f t="shared" si="7"/>
        <v/>
      </c>
    </row>
    <row r="147" ht="15.0" customHeight="1">
      <c r="A147" s="50"/>
      <c r="B147" s="53"/>
      <c r="C147" s="54"/>
      <c r="D147" s="56"/>
      <c r="E147" s="57"/>
      <c r="F147" s="54"/>
      <c r="G147" s="60"/>
      <c r="H147" s="63"/>
      <c r="I147" s="67"/>
      <c r="J147" s="70"/>
      <c r="K147" s="54"/>
      <c r="L147" s="70"/>
      <c r="M147" s="77"/>
      <c r="N147" s="78"/>
      <c r="O147" s="80"/>
      <c r="P147" s="70"/>
      <c r="Q147" s="54"/>
      <c r="R147" s="84"/>
      <c r="S147" s="84"/>
      <c r="T147" s="54"/>
      <c r="U147" s="86"/>
      <c r="V147" s="54"/>
      <c r="W147" s="86"/>
      <c r="X147" s="54"/>
      <c r="Y147" s="78"/>
      <c r="Z147" s="54"/>
      <c r="AA147" s="70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54"/>
      <c r="AR147" s="83"/>
      <c r="AS147" s="83"/>
      <c r="AT147" s="93"/>
      <c r="AU147" s="93"/>
      <c r="AV147" s="93"/>
      <c r="AW147" s="83"/>
      <c r="AX147" s="83"/>
      <c r="AY147" s="83"/>
      <c r="AZ147" s="83"/>
      <c r="BA147" s="83"/>
      <c r="BB147" s="83"/>
      <c r="BC147" s="54"/>
      <c r="BD147" s="54" t="str">
        <f t="shared" si="1"/>
        <v/>
      </c>
      <c r="BE147" s="54"/>
      <c r="BF147" s="95"/>
      <c r="BG147" s="95"/>
      <c r="BH147" s="54"/>
      <c r="BI147" s="67"/>
      <c r="BJ147" s="67"/>
      <c r="BK147" s="54"/>
      <c r="BL147" s="54"/>
      <c r="BM147" s="54"/>
      <c r="BN147" s="104"/>
      <c r="BO147" s="83"/>
      <c r="BP147" s="54"/>
      <c r="BQ147" s="70"/>
      <c r="BR147" s="67"/>
      <c r="BS147" s="83"/>
      <c r="BT147" s="83"/>
      <c r="BU147" s="109" t="str">
        <f t="shared" si="8"/>
        <v/>
      </c>
      <c r="BV147" s="109" t="str">
        <f t="shared" si="9"/>
        <v/>
      </c>
      <c r="BW147" s="83" t="str">
        <f t="shared" si="10"/>
        <v/>
      </c>
      <c r="BX147" s="106"/>
      <c r="BY147" s="107"/>
      <c r="BZ147" s="113" t="str">
        <f t="shared" si="5"/>
        <v/>
      </c>
      <c r="CA147" s="113" t="str">
        <f t="array" ref="CA147">IF($A147&lt;&gt;"",INDEX(LISTA!$M$2:$N$27,MATCH($BC147,LISTA!$N$2:$N$27,0),1),"")</f>
        <v/>
      </c>
      <c r="CB147" s="54" t="str">
        <f t="shared" si="6"/>
        <v/>
      </c>
      <c r="CC147" s="86" t="str">
        <f t="shared" si="7"/>
        <v/>
      </c>
    </row>
    <row r="148" ht="15.0" customHeight="1">
      <c r="A148" s="50"/>
      <c r="B148" s="53"/>
      <c r="C148" s="54"/>
      <c r="D148" s="56"/>
      <c r="E148" s="57"/>
      <c r="F148" s="54"/>
      <c r="G148" s="60"/>
      <c r="H148" s="63"/>
      <c r="I148" s="67"/>
      <c r="J148" s="70"/>
      <c r="K148" s="54"/>
      <c r="L148" s="70"/>
      <c r="M148" s="77"/>
      <c r="N148" s="78"/>
      <c r="O148" s="80"/>
      <c r="P148" s="70"/>
      <c r="Q148" s="54"/>
      <c r="R148" s="84"/>
      <c r="S148" s="84"/>
      <c r="T148" s="54"/>
      <c r="U148" s="86"/>
      <c r="V148" s="54"/>
      <c r="W148" s="86"/>
      <c r="X148" s="54"/>
      <c r="Y148" s="78"/>
      <c r="Z148" s="54"/>
      <c r="AA148" s="70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54"/>
      <c r="AR148" s="83"/>
      <c r="AS148" s="83"/>
      <c r="AT148" s="93"/>
      <c r="AU148" s="93"/>
      <c r="AV148" s="93"/>
      <c r="AW148" s="83"/>
      <c r="AX148" s="83"/>
      <c r="AY148" s="83"/>
      <c r="AZ148" s="83"/>
      <c r="BA148" s="83"/>
      <c r="BB148" s="83"/>
      <c r="BC148" s="54"/>
      <c r="BD148" s="54" t="str">
        <f t="shared" si="1"/>
        <v/>
      </c>
      <c r="BE148" s="54"/>
      <c r="BF148" s="95"/>
      <c r="BG148" s="95"/>
      <c r="BH148" s="54"/>
      <c r="BI148" s="67"/>
      <c r="BJ148" s="67"/>
      <c r="BK148" s="54"/>
      <c r="BL148" s="54"/>
      <c r="BM148" s="54"/>
      <c r="BN148" s="104"/>
      <c r="BO148" s="83"/>
      <c r="BP148" s="54"/>
      <c r="BQ148" s="70"/>
      <c r="BR148" s="67"/>
      <c r="BS148" s="83"/>
      <c r="BT148" s="83"/>
      <c r="BU148" s="109" t="str">
        <f t="shared" si="8"/>
        <v/>
      </c>
      <c r="BV148" s="109" t="str">
        <f t="shared" si="9"/>
        <v/>
      </c>
      <c r="BW148" s="83" t="str">
        <f t="shared" si="10"/>
        <v/>
      </c>
      <c r="BX148" s="106"/>
      <c r="BY148" s="107"/>
      <c r="BZ148" s="113" t="str">
        <f t="shared" si="5"/>
        <v/>
      </c>
      <c r="CA148" s="113" t="str">
        <f t="array" ref="CA148">IF($A148&lt;&gt;"",INDEX(LISTA!$M$2:$N$27,MATCH($BC148,LISTA!$N$2:$N$27,0),1),"")</f>
        <v/>
      </c>
      <c r="CB148" s="54" t="str">
        <f t="shared" si="6"/>
        <v/>
      </c>
      <c r="CC148" s="86" t="str">
        <f t="shared" si="7"/>
        <v/>
      </c>
    </row>
    <row r="149" ht="15.0" customHeight="1">
      <c r="A149" s="50"/>
      <c r="B149" s="53"/>
      <c r="C149" s="54"/>
      <c r="D149" s="56"/>
      <c r="E149" s="57"/>
      <c r="F149" s="54"/>
      <c r="G149" s="60"/>
      <c r="H149" s="63"/>
      <c r="I149" s="67"/>
      <c r="J149" s="70"/>
      <c r="K149" s="54"/>
      <c r="L149" s="70"/>
      <c r="M149" s="77"/>
      <c r="N149" s="78"/>
      <c r="O149" s="80"/>
      <c r="P149" s="70"/>
      <c r="Q149" s="54"/>
      <c r="R149" s="84"/>
      <c r="S149" s="84"/>
      <c r="T149" s="54"/>
      <c r="U149" s="86"/>
      <c r="V149" s="54"/>
      <c r="W149" s="86"/>
      <c r="X149" s="54"/>
      <c r="Y149" s="78"/>
      <c r="Z149" s="54"/>
      <c r="AA149" s="70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54"/>
      <c r="AR149" s="83"/>
      <c r="AS149" s="83"/>
      <c r="AT149" s="93"/>
      <c r="AU149" s="93"/>
      <c r="AV149" s="93"/>
      <c r="AW149" s="83"/>
      <c r="AX149" s="83"/>
      <c r="AY149" s="83"/>
      <c r="AZ149" s="83"/>
      <c r="BA149" s="83"/>
      <c r="BB149" s="83"/>
      <c r="BC149" s="54"/>
      <c r="BD149" s="54" t="str">
        <f t="shared" si="1"/>
        <v/>
      </c>
      <c r="BE149" s="54"/>
      <c r="BF149" s="95"/>
      <c r="BG149" s="95"/>
      <c r="BH149" s="54"/>
      <c r="BI149" s="67"/>
      <c r="BJ149" s="67"/>
      <c r="BK149" s="54"/>
      <c r="BL149" s="54"/>
      <c r="BM149" s="54"/>
      <c r="BN149" s="104"/>
      <c r="BO149" s="83"/>
      <c r="BP149" s="54"/>
      <c r="BQ149" s="70"/>
      <c r="BR149" s="67"/>
      <c r="BS149" s="83"/>
      <c r="BT149" s="83"/>
      <c r="BU149" s="109" t="str">
        <f t="shared" si="8"/>
        <v/>
      </c>
      <c r="BV149" s="109" t="str">
        <f t="shared" si="9"/>
        <v/>
      </c>
      <c r="BW149" s="83" t="str">
        <f t="shared" si="10"/>
        <v/>
      </c>
      <c r="BX149" s="106"/>
      <c r="BY149" s="107"/>
      <c r="BZ149" s="113" t="str">
        <f t="shared" si="5"/>
        <v/>
      </c>
      <c r="CA149" s="113" t="str">
        <f t="array" ref="CA149">IF($A149&lt;&gt;"",INDEX(LISTA!$M$2:$N$27,MATCH($BC149,LISTA!$N$2:$N$27,0),1),"")</f>
        <v/>
      </c>
      <c r="CB149" s="54" t="str">
        <f t="shared" si="6"/>
        <v/>
      </c>
      <c r="CC149" s="86" t="str">
        <f t="shared" si="7"/>
        <v/>
      </c>
    </row>
    <row r="150" ht="15.0" customHeight="1">
      <c r="A150" s="50"/>
      <c r="B150" s="53"/>
      <c r="C150" s="54"/>
      <c r="D150" s="56"/>
      <c r="E150" s="57"/>
      <c r="F150" s="54"/>
      <c r="G150" s="60"/>
      <c r="H150" s="63"/>
      <c r="I150" s="67"/>
      <c r="J150" s="70"/>
      <c r="K150" s="54"/>
      <c r="L150" s="70"/>
      <c r="M150" s="77"/>
      <c r="N150" s="78"/>
      <c r="O150" s="80"/>
      <c r="P150" s="70"/>
      <c r="Q150" s="54"/>
      <c r="R150" s="84"/>
      <c r="S150" s="84"/>
      <c r="T150" s="54"/>
      <c r="U150" s="86"/>
      <c r="V150" s="54"/>
      <c r="W150" s="86"/>
      <c r="X150" s="54"/>
      <c r="Y150" s="78"/>
      <c r="Z150" s="54"/>
      <c r="AA150" s="70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54"/>
      <c r="AR150" s="83"/>
      <c r="AS150" s="83"/>
      <c r="AT150" s="93"/>
      <c r="AU150" s="93"/>
      <c r="AV150" s="93"/>
      <c r="AW150" s="83"/>
      <c r="AX150" s="83"/>
      <c r="AY150" s="83"/>
      <c r="AZ150" s="83"/>
      <c r="BA150" s="83"/>
      <c r="BB150" s="83"/>
      <c r="BC150" s="54"/>
      <c r="BD150" s="54" t="str">
        <f t="shared" si="1"/>
        <v/>
      </c>
      <c r="BE150" s="54"/>
      <c r="BF150" s="95"/>
      <c r="BG150" s="95"/>
      <c r="BH150" s="54"/>
      <c r="BI150" s="67"/>
      <c r="BJ150" s="67"/>
      <c r="BK150" s="54"/>
      <c r="BL150" s="54"/>
      <c r="BM150" s="54"/>
      <c r="BN150" s="104"/>
      <c r="BO150" s="83"/>
      <c r="BP150" s="54"/>
      <c r="BQ150" s="70"/>
      <c r="BR150" s="67"/>
      <c r="BS150" s="83"/>
      <c r="BT150" s="83"/>
      <c r="BU150" s="109" t="str">
        <f t="shared" si="8"/>
        <v/>
      </c>
      <c r="BV150" s="109" t="str">
        <f t="shared" si="9"/>
        <v/>
      </c>
      <c r="BW150" s="83" t="str">
        <f t="shared" si="10"/>
        <v/>
      </c>
      <c r="BX150" s="106"/>
      <c r="BY150" s="107"/>
      <c r="BZ150" s="113" t="str">
        <f t="shared" si="5"/>
        <v/>
      </c>
      <c r="CA150" s="113" t="str">
        <f t="array" ref="CA150">IF($A150&lt;&gt;"",INDEX(LISTA!$M$2:$N$27,MATCH($BC150,LISTA!$N$2:$N$27,0),1),"")</f>
        <v/>
      </c>
      <c r="CB150" s="54" t="str">
        <f t="shared" si="6"/>
        <v/>
      </c>
      <c r="CC150" s="86" t="str">
        <f t="shared" si="7"/>
        <v/>
      </c>
    </row>
    <row r="151" ht="15.0" customHeight="1">
      <c r="A151" s="50"/>
      <c r="B151" s="53"/>
      <c r="C151" s="54"/>
      <c r="D151" s="56"/>
      <c r="E151" s="57"/>
      <c r="F151" s="54"/>
      <c r="G151" s="60"/>
      <c r="H151" s="63"/>
      <c r="I151" s="67"/>
      <c r="J151" s="70"/>
      <c r="K151" s="54"/>
      <c r="L151" s="70"/>
      <c r="M151" s="77"/>
      <c r="N151" s="78"/>
      <c r="O151" s="80"/>
      <c r="P151" s="70"/>
      <c r="Q151" s="54"/>
      <c r="R151" s="84"/>
      <c r="S151" s="84"/>
      <c r="T151" s="54"/>
      <c r="U151" s="86"/>
      <c r="V151" s="54"/>
      <c r="W151" s="86"/>
      <c r="X151" s="54"/>
      <c r="Y151" s="78"/>
      <c r="Z151" s="54"/>
      <c r="AA151" s="70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54"/>
      <c r="AR151" s="83"/>
      <c r="AS151" s="83"/>
      <c r="AT151" s="93"/>
      <c r="AU151" s="93"/>
      <c r="AV151" s="93"/>
      <c r="AW151" s="83"/>
      <c r="AX151" s="83"/>
      <c r="AY151" s="83"/>
      <c r="AZ151" s="83"/>
      <c r="BA151" s="83"/>
      <c r="BB151" s="83"/>
      <c r="BC151" s="54"/>
      <c r="BD151" s="54" t="str">
        <f t="shared" si="1"/>
        <v/>
      </c>
      <c r="BE151" s="54"/>
      <c r="BF151" s="95"/>
      <c r="BG151" s="95"/>
      <c r="BH151" s="54"/>
      <c r="BI151" s="67"/>
      <c r="BJ151" s="67"/>
      <c r="BK151" s="54"/>
      <c r="BL151" s="54"/>
      <c r="BM151" s="54"/>
      <c r="BN151" s="104"/>
      <c r="BO151" s="83"/>
      <c r="BP151" s="54"/>
      <c r="BQ151" s="70"/>
      <c r="BR151" s="67"/>
      <c r="BS151" s="83"/>
      <c r="BT151" s="83"/>
      <c r="BU151" s="109" t="str">
        <f t="shared" si="8"/>
        <v/>
      </c>
      <c r="BV151" s="109" t="str">
        <f t="shared" si="9"/>
        <v/>
      </c>
      <c r="BW151" s="83" t="str">
        <f t="shared" si="10"/>
        <v/>
      </c>
      <c r="BX151" s="106"/>
      <c r="BY151" s="107"/>
      <c r="BZ151" s="113" t="str">
        <f t="shared" si="5"/>
        <v/>
      </c>
      <c r="CA151" s="113" t="str">
        <f t="array" ref="CA151">IF($A151&lt;&gt;"",INDEX(LISTA!$M$2:$N$27,MATCH($BC151,LISTA!$N$2:$N$27,0),1),"")</f>
        <v/>
      </c>
      <c r="CB151" s="54" t="str">
        <f t="shared" si="6"/>
        <v/>
      </c>
      <c r="CC151" s="86" t="str">
        <f t="shared" si="7"/>
        <v/>
      </c>
    </row>
    <row r="152" ht="15.0" customHeight="1">
      <c r="A152" s="50"/>
      <c r="B152" s="53"/>
      <c r="C152" s="54"/>
      <c r="D152" s="56"/>
      <c r="E152" s="57"/>
      <c r="F152" s="54"/>
      <c r="G152" s="60"/>
      <c r="H152" s="63"/>
      <c r="I152" s="67"/>
      <c r="J152" s="70"/>
      <c r="K152" s="54"/>
      <c r="L152" s="70"/>
      <c r="M152" s="77"/>
      <c r="N152" s="78"/>
      <c r="O152" s="80"/>
      <c r="P152" s="70"/>
      <c r="Q152" s="54"/>
      <c r="R152" s="84"/>
      <c r="S152" s="84"/>
      <c r="T152" s="54"/>
      <c r="U152" s="86"/>
      <c r="V152" s="54"/>
      <c r="W152" s="86"/>
      <c r="X152" s="54"/>
      <c r="Y152" s="78"/>
      <c r="Z152" s="54"/>
      <c r="AA152" s="70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54"/>
      <c r="AR152" s="83"/>
      <c r="AS152" s="83"/>
      <c r="AT152" s="93"/>
      <c r="AU152" s="93"/>
      <c r="AV152" s="93"/>
      <c r="AW152" s="83"/>
      <c r="AX152" s="83"/>
      <c r="AY152" s="83"/>
      <c r="AZ152" s="83"/>
      <c r="BA152" s="83"/>
      <c r="BB152" s="83"/>
      <c r="BC152" s="54"/>
      <c r="BD152" s="54" t="str">
        <f t="shared" si="1"/>
        <v/>
      </c>
      <c r="BE152" s="54"/>
      <c r="BF152" s="95"/>
      <c r="BG152" s="95"/>
      <c r="BH152" s="54"/>
      <c r="BI152" s="67"/>
      <c r="BJ152" s="67"/>
      <c r="BK152" s="54"/>
      <c r="BL152" s="54"/>
      <c r="BM152" s="54"/>
      <c r="BN152" s="104"/>
      <c r="BO152" s="83"/>
      <c r="BP152" s="54"/>
      <c r="BQ152" s="70"/>
      <c r="BR152" s="67"/>
      <c r="BS152" s="83"/>
      <c r="BT152" s="83"/>
      <c r="BU152" s="109" t="str">
        <f t="shared" si="8"/>
        <v/>
      </c>
      <c r="BV152" s="109" t="str">
        <f t="shared" si="9"/>
        <v/>
      </c>
      <c r="BW152" s="83" t="str">
        <f t="shared" si="10"/>
        <v/>
      </c>
      <c r="BX152" s="106"/>
      <c r="BY152" s="107"/>
      <c r="BZ152" s="113" t="str">
        <f t="shared" si="5"/>
        <v/>
      </c>
      <c r="CA152" s="113" t="str">
        <f t="array" ref="CA152">IF($A152&lt;&gt;"",INDEX(LISTA!$M$2:$N$27,MATCH($BC152,LISTA!$N$2:$N$27,0),1),"")</f>
        <v/>
      </c>
      <c r="CB152" s="54" t="str">
        <f t="shared" si="6"/>
        <v/>
      </c>
      <c r="CC152" s="86" t="str">
        <f t="shared" si="7"/>
        <v/>
      </c>
    </row>
    <row r="153" ht="15.0" customHeight="1">
      <c r="A153" s="50"/>
      <c r="B153" s="53"/>
      <c r="C153" s="54"/>
      <c r="D153" s="56"/>
      <c r="E153" s="57"/>
      <c r="F153" s="54"/>
      <c r="G153" s="60"/>
      <c r="H153" s="63"/>
      <c r="I153" s="67"/>
      <c r="J153" s="70"/>
      <c r="K153" s="54"/>
      <c r="L153" s="70"/>
      <c r="M153" s="77"/>
      <c r="N153" s="78"/>
      <c r="O153" s="80"/>
      <c r="P153" s="70"/>
      <c r="Q153" s="54"/>
      <c r="R153" s="84"/>
      <c r="S153" s="84"/>
      <c r="T153" s="54"/>
      <c r="U153" s="86"/>
      <c r="V153" s="54"/>
      <c r="W153" s="86"/>
      <c r="X153" s="54"/>
      <c r="Y153" s="78"/>
      <c r="Z153" s="54"/>
      <c r="AA153" s="70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54"/>
      <c r="AR153" s="83"/>
      <c r="AS153" s="83"/>
      <c r="AT153" s="93"/>
      <c r="AU153" s="93"/>
      <c r="AV153" s="93"/>
      <c r="AW153" s="83"/>
      <c r="AX153" s="83"/>
      <c r="AY153" s="83"/>
      <c r="AZ153" s="83"/>
      <c r="BA153" s="83"/>
      <c r="BB153" s="83"/>
      <c r="BC153" s="54"/>
      <c r="BD153" s="54" t="str">
        <f t="shared" si="1"/>
        <v/>
      </c>
      <c r="BE153" s="54"/>
      <c r="BF153" s="95"/>
      <c r="BG153" s="95"/>
      <c r="BH153" s="54"/>
      <c r="BI153" s="67"/>
      <c r="BJ153" s="67"/>
      <c r="BK153" s="54"/>
      <c r="BL153" s="54"/>
      <c r="BM153" s="54"/>
      <c r="BN153" s="104"/>
      <c r="BO153" s="83"/>
      <c r="BP153" s="54"/>
      <c r="BQ153" s="70"/>
      <c r="BR153" s="67"/>
      <c r="BS153" s="83"/>
      <c r="BT153" s="83"/>
      <c r="BU153" s="109" t="str">
        <f t="shared" si="8"/>
        <v/>
      </c>
      <c r="BV153" s="109" t="str">
        <f t="shared" si="9"/>
        <v/>
      </c>
      <c r="BW153" s="83" t="str">
        <f t="shared" si="10"/>
        <v/>
      </c>
      <c r="BX153" s="106"/>
      <c r="BY153" s="107"/>
      <c r="BZ153" s="113" t="str">
        <f t="shared" si="5"/>
        <v/>
      </c>
      <c r="CA153" s="113" t="str">
        <f t="array" ref="CA153">IF($A153&lt;&gt;"",INDEX(LISTA!$M$2:$N$27,MATCH($BC153,LISTA!$N$2:$N$27,0),1),"")</f>
        <v/>
      </c>
      <c r="CB153" s="54" t="str">
        <f t="shared" si="6"/>
        <v/>
      </c>
      <c r="CC153" s="86" t="str">
        <f t="shared" si="7"/>
        <v/>
      </c>
    </row>
    <row r="154" ht="15.0" customHeight="1">
      <c r="A154" s="50"/>
      <c r="B154" s="53"/>
      <c r="C154" s="54"/>
      <c r="D154" s="56"/>
      <c r="E154" s="57"/>
      <c r="F154" s="54"/>
      <c r="G154" s="60"/>
      <c r="H154" s="63"/>
      <c r="I154" s="67"/>
      <c r="J154" s="70"/>
      <c r="K154" s="54"/>
      <c r="L154" s="70"/>
      <c r="M154" s="77"/>
      <c r="N154" s="78"/>
      <c r="O154" s="80"/>
      <c r="P154" s="70"/>
      <c r="Q154" s="54"/>
      <c r="R154" s="84"/>
      <c r="S154" s="84"/>
      <c r="T154" s="54"/>
      <c r="U154" s="86"/>
      <c r="V154" s="54"/>
      <c r="W154" s="86"/>
      <c r="X154" s="54"/>
      <c r="Y154" s="78"/>
      <c r="Z154" s="54"/>
      <c r="AA154" s="70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54"/>
      <c r="AR154" s="83"/>
      <c r="AS154" s="83"/>
      <c r="AT154" s="93"/>
      <c r="AU154" s="93"/>
      <c r="AV154" s="93"/>
      <c r="AW154" s="83"/>
      <c r="AX154" s="83"/>
      <c r="AY154" s="83"/>
      <c r="AZ154" s="83"/>
      <c r="BA154" s="83"/>
      <c r="BB154" s="83"/>
      <c r="BC154" s="54"/>
      <c r="BD154" s="54" t="str">
        <f t="shared" si="1"/>
        <v/>
      </c>
      <c r="BE154" s="54"/>
      <c r="BF154" s="95"/>
      <c r="BG154" s="95"/>
      <c r="BH154" s="54"/>
      <c r="BI154" s="67"/>
      <c r="BJ154" s="67"/>
      <c r="BK154" s="54"/>
      <c r="BL154" s="54"/>
      <c r="BM154" s="54"/>
      <c r="BN154" s="104"/>
      <c r="BO154" s="83"/>
      <c r="BP154" s="54"/>
      <c r="BQ154" s="70"/>
      <c r="BR154" s="67"/>
      <c r="BS154" s="83"/>
      <c r="BT154" s="83"/>
      <c r="BU154" s="109" t="str">
        <f t="shared" si="8"/>
        <v/>
      </c>
      <c r="BV154" s="109" t="str">
        <f t="shared" si="9"/>
        <v/>
      </c>
      <c r="BW154" s="83" t="str">
        <f t="shared" si="10"/>
        <v/>
      </c>
      <c r="BX154" s="106"/>
      <c r="BY154" s="107"/>
      <c r="BZ154" s="113" t="str">
        <f t="shared" si="5"/>
        <v/>
      </c>
      <c r="CA154" s="113" t="str">
        <f t="array" ref="CA154">IF($A154&lt;&gt;"",INDEX(LISTA!$M$2:$N$27,MATCH($BC154,LISTA!$N$2:$N$27,0),1),"")</f>
        <v/>
      </c>
      <c r="CB154" s="54" t="str">
        <f t="shared" si="6"/>
        <v/>
      </c>
      <c r="CC154" s="86" t="str">
        <f t="shared" si="7"/>
        <v/>
      </c>
    </row>
    <row r="155" ht="15.0" customHeight="1">
      <c r="A155" s="50"/>
      <c r="B155" s="53"/>
      <c r="C155" s="54"/>
      <c r="D155" s="56"/>
      <c r="E155" s="57"/>
      <c r="F155" s="54"/>
      <c r="G155" s="60"/>
      <c r="H155" s="63"/>
      <c r="I155" s="67"/>
      <c r="J155" s="70"/>
      <c r="K155" s="54"/>
      <c r="L155" s="70"/>
      <c r="M155" s="77"/>
      <c r="N155" s="78"/>
      <c r="O155" s="80"/>
      <c r="P155" s="70"/>
      <c r="Q155" s="54"/>
      <c r="R155" s="84"/>
      <c r="S155" s="84"/>
      <c r="T155" s="54"/>
      <c r="U155" s="86"/>
      <c r="V155" s="54"/>
      <c r="W155" s="86"/>
      <c r="X155" s="54"/>
      <c r="Y155" s="78"/>
      <c r="Z155" s="54"/>
      <c r="AA155" s="70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54"/>
      <c r="AR155" s="83"/>
      <c r="AS155" s="83"/>
      <c r="AT155" s="93"/>
      <c r="AU155" s="93"/>
      <c r="AV155" s="93"/>
      <c r="AW155" s="83"/>
      <c r="AX155" s="83"/>
      <c r="AY155" s="83"/>
      <c r="AZ155" s="83"/>
      <c r="BA155" s="83"/>
      <c r="BB155" s="83"/>
      <c r="BC155" s="54"/>
      <c r="BD155" s="54" t="str">
        <f t="shared" si="1"/>
        <v/>
      </c>
      <c r="BE155" s="54"/>
      <c r="BF155" s="95"/>
      <c r="BG155" s="95"/>
      <c r="BH155" s="54"/>
      <c r="BI155" s="67"/>
      <c r="BJ155" s="67"/>
      <c r="BK155" s="54"/>
      <c r="BL155" s="54"/>
      <c r="BM155" s="54"/>
      <c r="BN155" s="104"/>
      <c r="BO155" s="83"/>
      <c r="BP155" s="54"/>
      <c r="BQ155" s="70"/>
      <c r="BR155" s="67"/>
      <c r="BS155" s="83"/>
      <c r="BT155" s="83"/>
      <c r="BU155" s="109" t="str">
        <f t="shared" si="8"/>
        <v/>
      </c>
      <c r="BV155" s="109" t="str">
        <f t="shared" si="9"/>
        <v/>
      </c>
      <c r="BW155" s="83" t="str">
        <f t="shared" si="10"/>
        <v/>
      </c>
      <c r="BX155" s="106"/>
      <c r="BY155" s="107"/>
      <c r="BZ155" s="113" t="str">
        <f t="shared" si="5"/>
        <v/>
      </c>
      <c r="CA155" s="113" t="str">
        <f t="array" ref="CA155">IF($A155&lt;&gt;"",INDEX(LISTA!$M$2:$N$27,MATCH($BC155,LISTA!$N$2:$N$27,0),1),"")</f>
        <v/>
      </c>
      <c r="CB155" s="54" t="str">
        <f t="shared" si="6"/>
        <v/>
      </c>
      <c r="CC155" s="86" t="str">
        <f t="shared" si="7"/>
        <v/>
      </c>
    </row>
    <row r="156" ht="15.0" customHeight="1">
      <c r="A156" s="50"/>
      <c r="B156" s="53"/>
      <c r="C156" s="54"/>
      <c r="D156" s="56"/>
      <c r="E156" s="57"/>
      <c r="F156" s="54"/>
      <c r="G156" s="60"/>
      <c r="H156" s="63"/>
      <c r="I156" s="67"/>
      <c r="J156" s="70"/>
      <c r="K156" s="54"/>
      <c r="L156" s="70"/>
      <c r="M156" s="77"/>
      <c r="N156" s="78"/>
      <c r="O156" s="80"/>
      <c r="P156" s="70"/>
      <c r="Q156" s="54"/>
      <c r="R156" s="84"/>
      <c r="S156" s="84"/>
      <c r="T156" s="54"/>
      <c r="U156" s="86"/>
      <c r="V156" s="54"/>
      <c r="W156" s="86"/>
      <c r="X156" s="54"/>
      <c r="Y156" s="78"/>
      <c r="Z156" s="54"/>
      <c r="AA156" s="70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54"/>
      <c r="AR156" s="83"/>
      <c r="AS156" s="83"/>
      <c r="AT156" s="93"/>
      <c r="AU156" s="93"/>
      <c r="AV156" s="93"/>
      <c r="AW156" s="83"/>
      <c r="AX156" s="83"/>
      <c r="AY156" s="83"/>
      <c r="AZ156" s="83"/>
      <c r="BA156" s="83"/>
      <c r="BB156" s="83"/>
      <c r="BC156" s="54"/>
      <c r="BD156" s="54" t="str">
        <f t="shared" si="1"/>
        <v/>
      </c>
      <c r="BE156" s="54"/>
      <c r="BF156" s="95"/>
      <c r="BG156" s="95"/>
      <c r="BH156" s="54"/>
      <c r="BI156" s="67"/>
      <c r="BJ156" s="67"/>
      <c r="BK156" s="54"/>
      <c r="BL156" s="54"/>
      <c r="BM156" s="54"/>
      <c r="BN156" s="104"/>
      <c r="BO156" s="83"/>
      <c r="BP156" s="54"/>
      <c r="BQ156" s="70"/>
      <c r="BR156" s="67"/>
      <c r="BS156" s="83"/>
      <c r="BT156" s="83"/>
      <c r="BU156" s="109" t="str">
        <f t="shared" si="8"/>
        <v/>
      </c>
      <c r="BV156" s="109" t="str">
        <f t="shared" si="9"/>
        <v/>
      </c>
      <c r="BW156" s="83" t="str">
        <f t="shared" si="10"/>
        <v/>
      </c>
      <c r="BX156" s="106"/>
      <c r="BY156" s="107"/>
      <c r="BZ156" s="113" t="str">
        <f t="shared" si="5"/>
        <v/>
      </c>
      <c r="CA156" s="113" t="str">
        <f t="array" ref="CA156">IF($A156&lt;&gt;"",INDEX(LISTA!$M$2:$N$27,MATCH($BC156,LISTA!$N$2:$N$27,0),1),"")</f>
        <v/>
      </c>
      <c r="CB156" s="54" t="str">
        <f t="shared" si="6"/>
        <v/>
      </c>
      <c r="CC156" s="86" t="str">
        <f t="shared" si="7"/>
        <v/>
      </c>
    </row>
    <row r="157" ht="15.0" customHeight="1">
      <c r="A157" s="50"/>
      <c r="B157" s="53"/>
      <c r="C157" s="54"/>
      <c r="D157" s="56"/>
      <c r="E157" s="57"/>
      <c r="F157" s="54"/>
      <c r="G157" s="60"/>
      <c r="H157" s="63"/>
      <c r="I157" s="67"/>
      <c r="J157" s="70"/>
      <c r="K157" s="54"/>
      <c r="L157" s="70"/>
      <c r="M157" s="77"/>
      <c r="N157" s="78"/>
      <c r="O157" s="80"/>
      <c r="P157" s="70"/>
      <c r="Q157" s="54"/>
      <c r="R157" s="84"/>
      <c r="S157" s="84"/>
      <c r="T157" s="54"/>
      <c r="U157" s="86"/>
      <c r="V157" s="54"/>
      <c r="W157" s="86"/>
      <c r="X157" s="54"/>
      <c r="Y157" s="78"/>
      <c r="Z157" s="54"/>
      <c r="AA157" s="70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54"/>
      <c r="AR157" s="83"/>
      <c r="AS157" s="83"/>
      <c r="AT157" s="93"/>
      <c r="AU157" s="93"/>
      <c r="AV157" s="93"/>
      <c r="AW157" s="83"/>
      <c r="AX157" s="83"/>
      <c r="AY157" s="83"/>
      <c r="AZ157" s="83"/>
      <c r="BA157" s="83"/>
      <c r="BB157" s="83"/>
      <c r="BC157" s="54"/>
      <c r="BD157" s="54" t="str">
        <f t="shared" si="1"/>
        <v/>
      </c>
      <c r="BE157" s="54"/>
      <c r="BF157" s="95"/>
      <c r="BG157" s="95"/>
      <c r="BH157" s="54"/>
      <c r="BI157" s="67"/>
      <c r="BJ157" s="67"/>
      <c r="BK157" s="54"/>
      <c r="BL157" s="54"/>
      <c r="BM157" s="54"/>
      <c r="BN157" s="104"/>
      <c r="BO157" s="83"/>
      <c r="BP157" s="54"/>
      <c r="BQ157" s="70"/>
      <c r="BR157" s="67"/>
      <c r="BS157" s="83"/>
      <c r="BT157" s="83"/>
      <c r="BU157" s="109" t="str">
        <f t="shared" si="8"/>
        <v/>
      </c>
      <c r="BV157" s="109" t="str">
        <f t="shared" si="9"/>
        <v/>
      </c>
      <c r="BW157" s="83" t="str">
        <f t="shared" si="10"/>
        <v/>
      </c>
      <c r="BX157" s="106"/>
      <c r="BY157" s="107"/>
      <c r="BZ157" s="113" t="str">
        <f t="shared" si="5"/>
        <v/>
      </c>
      <c r="CA157" s="113" t="str">
        <f t="array" ref="CA157">IF($A157&lt;&gt;"",INDEX(LISTA!$M$2:$N$27,MATCH($BC157,LISTA!$N$2:$N$27,0),1),"")</f>
        <v/>
      </c>
      <c r="CB157" s="54" t="str">
        <f t="shared" si="6"/>
        <v/>
      </c>
      <c r="CC157" s="86" t="str">
        <f t="shared" si="7"/>
        <v/>
      </c>
    </row>
    <row r="158" ht="15.0" customHeight="1">
      <c r="A158" s="50"/>
      <c r="B158" s="53"/>
      <c r="C158" s="54"/>
      <c r="D158" s="56"/>
      <c r="E158" s="57"/>
      <c r="F158" s="54"/>
      <c r="G158" s="60"/>
      <c r="H158" s="63"/>
      <c r="I158" s="67"/>
      <c r="J158" s="70"/>
      <c r="K158" s="54"/>
      <c r="L158" s="70"/>
      <c r="M158" s="77"/>
      <c r="N158" s="78"/>
      <c r="O158" s="80"/>
      <c r="P158" s="70"/>
      <c r="Q158" s="54"/>
      <c r="R158" s="84"/>
      <c r="S158" s="84"/>
      <c r="T158" s="54"/>
      <c r="U158" s="86"/>
      <c r="V158" s="54"/>
      <c r="W158" s="86"/>
      <c r="X158" s="54"/>
      <c r="Y158" s="78"/>
      <c r="Z158" s="54"/>
      <c r="AA158" s="70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54"/>
      <c r="AR158" s="83"/>
      <c r="AS158" s="83"/>
      <c r="AT158" s="93"/>
      <c r="AU158" s="93"/>
      <c r="AV158" s="93"/>
      <c r="AW158" s="83"/>
      <c r="AX158" s="83"/>
      <c r="AY158" s="83"/>
      <c r="AZ158" s="83"/>
      <c r="BA158" s="83"/>
      <c r="BB158" s="83"/>
      <c r="BC158" s="54"/>
      <c r="BD158" s="54" t="str">
        <f t="shared" si="1"/>
        <v/>
      </c>
      <c r="BE158" s="54"/>
      <c r="BF158" s="95"/>
      <c r="BG158" s="95"/>
      <c r="BH158" s="54"/>
      <c r="BI158" s="67"/>
      <c r="BJ158" s="67"/>
      <c r="BK158" s="54"/>
      <c r="BL158" s="54"/>
      <c r="BM158" s="54"/>
      <c r="BN158" s="104"/>
      <c r="BO158" s="83"/>
      <c r="BP158" s="54"/>
      <c r="BQ158" s="70"/>
      <c r="BR158" s="67"/>
      <c r="BS158" s="83"/>
      <c r="BT158" s="83"/>
      <c r="BU158" s="109" t="str">
        <f t="shared" si="8"/>
        <v/>
      </c>
      <c r="BV158" s="109" t="str">
        <f t="shared" si="9"/>
        <v/>
      </c>
      <c r="BW158" s="83" t="str">
        <f t="shared" si="10"/>
        <v/>
      </c>
      <c r="BX158" s="106"/>
      <c r="BY158" s="107"/>
      <c r="BZ158" s="113" t="str">
        <f t="shared" si="5"/>
        <v/>
      </c>
      <c r="CA158" s="113" t="str">
        <f t="array" ref="CA158">IF($A158&lt;&gt;"",INDEX(LISTA!$M$2:$N$27,MATCH($BC158,LISTA!$N$2:$N$27,0),1),"")</f>
        <v/>
      </c>
      <c r="CB158" s="54" t="str">
        <f t="shared" si="6"/>
        <v/>
      </c>
      <c r="CC158" s="86" t="str">
        <f t="shared" si="7"/>
        <v/>
      </c>
    </row>
    <row r="159" ht="15.0" customHeight="1">
      <c r="A159" s="50"/>
      <c r="B159" s="53"/>
      <c r="C159" s="54"/>
      <c r="D159" s="56"/>
      <c r="E159" s="57"/>
      <c r="F159" s="54"/>
      <c r="G159" s="60"/>
      <c r="H159" s="63"/>
      <c r="I159" s="67"/>
      <c r="J159" s="70"/>
      <c r="K159" s="54"/>
      <c r="L159" s="70"/>
      <c r="M159" s="77"/>
      <c r="N159" s="78"/>
      <c r="O159" s="80"/>
      <c r="P159" s="70"/>
      <c r="Q159" s="54"/>
      <c r="R159" s="84"/>
      <c r="S159" s="84"/>
      <c r="T159" s="54"/>
      <c r="U159" s="86"/>
      <c r="V159" s="54"/>
      <c r="W159" s="86"/>
      <c r="X159" s="54"/>
      <c r="Y159" s="78"/>
      <c r="Z159" s="54"/>
      <c r="AA159" s="70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54"/>
      <c r="AR159" s="83"/>
      <c r="AS159" s="83"/>
      <c r="AT159" s="93"/>
      <c r="AU159" s="93"/>
      <c r="AV159" s="93"/>
      <c r="AW159" s="83"/>
      <c r="AX159" s="83"/>
      <c r="AY159" s="83"/>
      <c r="AZ159" s="83"/>
      <c r="BA159" s="83"/>
      <c r="BB159" s="83"/>
      <c r="BC159" s="54"/>
      <c r="BD159" s="54" t="str">
        <f t="shared" si="1"/>
        <v/>
      </c>
      <c r="BE159" s="54"/>
      <c r="BF159" s="95"/>
      <c r="BG159" s="95"/>
      <c r="BH159" s="54"/>
      <c r="BI159" s="67"/>
      <c r="BJ159" s="67"/>
      <c r="BK159" s="54"/>
      <c r="BL159" s="54"/>
      <c r="BM159" s="54"/>
      <c r="BN159" s="104"/>
      <c r="BO159" s="83"/>
      <c r="BP159" s="54"/>
      <c r="BQ159" s="70"/>
      <c r="BR159" s="67"/>
      <c r="BS159" s="83"/>
      <c r="BT159" s="83"/>
      <c r="BU159" s="109" t="str">
        <f t="shared" si="8"/>
        <v/>
      </c>
      <c r="BV159" s="109" t="str">
        <f t="shared" si="9"/>
        <v/>
      </c>
      <c r="BW159" s="83" t="str">
        <f t="shared" si="10"/>
        <v/>
      </c>
      <c r="BX159" s="106"/>
      <c r="BY159" s="107"/>
      <c r="BZ159" s="113" t="str">
        <f t="shared" si="5"/>
        <v/>
      </c>
      <c r="CA159" s="113" t="str">
        <f t="array" ref="CA159">IF($A159&lt;&gt;"",INDEX(LISTA!$M$2:$N$27,MATCH($BC159,LISTA!$N$2:$N$27,0),1),"")</f>
        <v/>
      </c>
      <c r="CB159" s="54" t="str">
        <f t="shared" si="6"/>
        <v/>
      </c>
      <c r="CC159" s="86" t="str">
        <f t="shared" si="7"/>
        <v/>
      </c>
    </row>
    <row r="160" ht="15.0" customHeight="1">
      <c r="A160" s="50"/>
      <c r="B160" s="53"/>
      <c r="C160" s="54"/>
      <c r="D160" s="56"/>
      <c r="E160" s="57"/>
      <c r="F160" s="54"/>
      <c r="G160" s="60"/>
      <c r="H160" s="63"/>
      <c r="I160" s="67"/>
      <c r="J160" s="70"/>
      <c r="K160" s="54"/>
      <c r="L160" s="70"/>
      <c r="M160" s="77"/>
      <c r="N160" s="78"/>
      <c r="O160" s="80"/>
      <c r="P160" s="70"/>
      <c r="Q160" s="54"/>
      <c r="R160" s="84"/>
      <c r="S160" s="84"/>
      <c r="T160" s="54"/>
      <c r="U160" s="86"/>
      <c r="V160" s="54"/>
      <c r="W160" s="86"/>
      <c r="X160" s="54"/>
      <c r="Y160" s="78"/>
      <c r="Z160" s="54"/>
      <c r="AA160" s="70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54"/>
      <c r="AR160" s="83"/>
      <c r="AS160" s="83"/>
      <c r="AT160" s="93"/>
      <c r="AU160" s="93"/>
      <c r="AV160" s="93"/>
      <c r="AW160" s="83"/>
      <c r="AX160" s="83"/>
      <c r="AY160" s="83"/>
      <c r="AZ160" s="83"/>
      <c r="BA160" s="83"/>
      <c r="BB160" s="83"/>
      <c r="BC160" s="54"/>
      <c r="BD160" s="54" t="str">
        <f t="shared" si="1"/>
        <v/>
      </c>
      <c r="BE160" s="54"/>
      <c r="BF160" s="95"/>
      <c r="BG160" s="95"/>
      <c r="BH160" s="54"/>
      <c r="BI160" s="67"/>
      <c r="BJ160" s="67"/>
      <c r="BK160" s="54"/>
      <c r="BL160" s="54"/>
      <c r="BM160" s="54"/>
      <c r="BN160" s="104"/>
      <c r="BO160" s="83"/>
      <c r="BP160" s="54"/>
      <c r="BQ160" s="70"/>
      <c r="BR160" s="67"/>
      <c r="BS160" s="83"/>
      <c r="BT160" s="83"/>
      <c r="BU160" s="109" t="str">
        <f t="shared" si="8"/>
        <v/>
      </c>
      <c r="BV160" s="109" t="str">
        <f t="shared" si="9"/>
        <v/>
      </c>
      <c r="BW160" s="83" t="str">
        <f t="shared" si="10"/>
        <v/>
      </c>
      <c r="BX160" s="106"/>
      <c r="BY160" s="107"/>
      <c r="BZ160" s="113" t="str">
        <f t="shared" si="5"/>
        <v/>
      </c>
      <c r="CA160" s="113" t="str">
        <f t="array" ref="CA160">IF($A160&lt;&gt;"",INDEX(LISTA!$M$2:$N$27,MATCH($BC160,LISTA!$N$2:$N$27,0),1),"")</f>
        <v/>
      </c>
      <c r="CB160" s="54" t="str">
        <f t="shared" si="6"/>
        <v/>
      </c>
      <c r="CC160" s="86" t="str">
        <f t="shared" si="7"/>
        <v/>
      </c>
    </row>
    <row r="161" ht="15.0" customHeight="1">
      <c r="A161" s="50"/>
      <c r="B161" s="53"/>
      <c r="C161" s="54"/>
      <c r="D161" s="56"/>
      <c r="E161" s="57"/>
      <c r="F161" s="54"/>
      <c r="G161" s="60"/>
      <c r="H161" s="63"/>
      <c r="I161" s="67"/>
      <c r="J161" s="70"/>
      <c r="K161" s="54"/>
      <c r="L161" s="70"/>
      <c r="M161" s="77"/>
      <c r="N161" s="78"/>
      <c r="O161" s="80"/>
      <c r="P161" s="70"/>
      <c r="Q161" s="54"/>
      <c r="R161" s="84"/>
      <c r="S161" s="84"/>
      <c r="T161" s="54"/>
      <c r="U161" s="86"/>
      <c r="V161" s="54"/>
      <c r="W161" s="86"/>
      <c r="X161" s="54"/>
      <c r="Y161" s="78"/>
      <c r="Z161" s="54"/>
      <c r="AA161" s="70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54"/>
      <c r="AR161" s="83"/>
      <c r="AS161" s="83"/>
      <c r="AT161" s="93"/>
      <c r="AU161" s="93"/>
      <c r="AV161" s="93"/>
      <c r="AW161" s="83"/>
      <c r="AX161" s="83"/>
      <c r="AY161" s="83"/>
      <c r="AZ161" s="83"/>
      <c r="BA161" s="83"/>
      <c r="BB161" s="83"/>
      <c r="BC161" s="54"/>
      <c r="BD161" s="54" t="str">
        <f t="shared" si="1"/>
        <v/>
      </c>
      <c r="BE161" s="54"/>
      <c r="BF161" s="95"/>
      <c r="BG161" s="95"/>
      <c r="BH161" s="54"/>
      <c r="BI161" s="67"/>
      <c r="BJ161" s="67"/>
      <c r="BK161" s="54"/>
      <c r="BL161" s="54"/>
      <c r="BM161" s="54"/>
      <c r="BN161" s="104"/>
      <c r="BO161" s="83"/>
      <c r="BP161" s="54"/>
      <c r="BQ161" s="70"/>
      <c r="BR161" s="67"/>
      <c r="BS161" s="83"/>
      <c r="BT161" s="83"/>
      <c r="BU161" s="109" t="str">
        <f t="shared" si="8"/>
        <v/>
      </c>
      <c r="BV161" s="109" t="str">
        <f t="shared" si="9"/>
        <v/>
      </c>
      <c r="BW161" s="83" t="str">
        <f t="shared" si="10"/>
        <v/>
      </c>
      <c r="BX161" s="106"/>
      <c r="BY161" s="107"/>
      <c r="BZ161" s="113" t="str">
        <f t="shared" si="5"/>
        <v/>
      </c>
      <c r="CA161" s="113" t="str">
        <f t="array" ref="CA161">IF($A161&lt;&gt;"",INDEX(LISTA!$M$2:$N$27,MATCH($BC161,LISTA!$N$2:$N$27,0),1),"")</f>
        <v/>
      </c>
      <c r="CB161" s="54" t="str">
        <f t="shared" si="6"/>
        <v/>
      </c>
      <c r="CC161" s="86" t="str">
        <f t="shared" si="7"/>
        <v/>
      </c>
    </row>
    <row r="162" ht="15.0" customHeight="1">
      <c r="A162" s="50"/>
      <c r="B162" s="53"/>
      <c r="C162" s="54"/>
      <c r="D162" s="56"/>
      <c r="E162" s="57"/>
      <c r="F162" s="54"/>
      <c r="G162" s="60"/>
      <c r="H162" s="63"/>
      <c r="I162" s="67"/>
      <c r="J162" s="70"/>
      <c r="K162" s="54"/>
      <c r="L162" s="70"/>
      <c r="M162" s="77"/>
      <c r="N162" s="78"/>
      <c r="O162" s="80"/>
      <c r="P162" s="70"/>
      <c r="Q162" s="54"/>
      <c r="R162" s="84"/>
      <c r="S162" s="84"/>
      <c r="T162" s="54"/>
      <c r="U162" s="86"/>
      <c r="V162" s="54"/>
      <c r="W162" s="86"/>
      <c r="X162" s="54"/>
      <c r="Y162" s="78"/>
      <c r="Z162" s="54"/>
      <c r="AA162" s="70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54"/>
      <c r="AR162" s="83"/>
      <c r="AS162" s="83"/>
      <c r="AT162" s="93"/>
      <c r="AU162" s="93"/>
      <c r="AV162" s="93"/>
      <c r="AW162" s="83"/>
      <c r="AX162" s="83"/>
      <c r="AY162" s="83"/>
      <c r="AZ162" s="83"/>
      <c r="BA162" s="83"/>
      <c r="BB162" s="83"/>
      <c r="BC162" s="54"/>
      <c r="BD162" s="54" t="str">
        <f t="shared" si="1"/>
        <v/>
      </c>
      <c r="BE162" s="54"/>
      <c r="BF162" s="95"/>
      <c r="BG162" s="95"/>
      <c r="BH162" s="54"/>
      <c r="BI162" s="67"/>
      <c r="BJ162" s="67"/>
      <c r="BK162" s="54"/>
      <c r="BL162" s="54"/>
      <c r="BM162" s="54"/>
      <c r="BN162" s="104"/>
      <c r="BO162" s="83"/>
      <c r="BP162" s="54"/>
      <c r="BQ162" s="70"/>
      <c r="BR162" s="67"/>
      <c r="BS162" s="83"/>
      <c r="BT162" s="83"/>
      <c r="BU162" s="109" t="str">
        <f t="shared" si="8"/>
        <v/>
      </c>
      <c r="BV162" s="109" t="str">
        <f t="shared" si="9"/>
        <v/>
      </c>
      <c r="BW162" s="83" t="str">
        <f t="shared" si="10"/>
        <v/>
      </c>
      <c r="BX162" s="106"/>
      <c r="BY162" s="107"/>
      <c r="BZ162" s="113" t="str">
        <f t="shared" si="5"/>
        <v/>
      </c>
      <c r="CA162" s="113" t="str">
        <f t="array" ref="CA162">IF($A162&lt;&gt;"",INDEX(LISTA!$M$2:$N$27,MATCH($BC162,LISTA!$N$2:$N$27,0),1),"")</f>
        <v/>
      </c>
      <c r="CB162" s="54" t="str">
        <f t="shared" si="6"/>
        <v/>
      </c>
      <c r="CC162" s="86" t="str">
        <f t="shared" si="7"/>
        <v/>
      </c>
    </row>
    <row r="163" ht="15.0" customHeight="1">
      <c r="A163" s="50"/>
      <c r="B163" s="53"/>
      <c r="C163" s="54"/>
      <c r="D163" s="56"/>
      <c r="E163" s="57"/>
      <c r="F163" s="54"/>
      <c r="G163" s="60"/>
      <c r="H163" s="63"/>
      <c r="I163" s="67"/>
      <c r="J163" s="70"/>
      <c r="K163" s="54"/>
      <c r="L163" s="70"/>
      <c r="M163" s="77"/>
      <c r="N163" s="78"/>
      <c r="O163" s="80"/>
      <c r="P163" s="70"/>
      <c r="Q163" s="54"/>
      <c r="R163" s="84"/>
      <c r="S163" s="84"/>
      <c r="T163" s="54"/>
      <c r="U163" s="86"/>
      <c r="V163" s="54"/>
      <c r="W163" s="86"/>
      <c r="X163" s="54"/>
      <c r="Y163" s="78"/>
      <c r="Z163" s="54"/>
      <c r="AA163" s="70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54"/>
      <c r="AR163" s="83"/>
      <c r="AS163" s="83"/>
      <c r="AT163" s="93"/>
      <c r="AU163" s="93"/>
      <c r="AV163" s="93"/>
      <c r="AW163" s="83"/>
      <c r="AX163" s="83"/>
      <c r="AY163" s="83"/>
      <c r="AZ163" s="83"/>
      <c r="BA163" s="83"/>
      <c r="BB163" s="83"/>
      <c r="BC163" s="54"/>
      <c r="BD163" s="54" t="str">
        <f t="shared" si="1"/>
        <v/>
      </c>
      <c r="BE163" s="54"/>
      <c r="BF163" s="95"/>
      <c r="BG163" s="95"/>
      <c r="BH163" s="54"/>
      <c r="BI163" s="67"/>
      <c r="BJ163" s="67"/>
      <c r="BK163" s="54"/>
      <c r="BL163" s="54"/>
      <c r="BM163" s="54"/>
      <c r="BN163" s="104"/>
      <c r="BO163" s="83"/>
      <c r="BP163" s="54"/>
      <c r="BQ163" s="70"/>
      <c r="BR163" s="67"/>
      <c r="BS163" s="83"/>
      <c r="BT163" s="83"/>
      <c r="BU163" s="109" t="str">
        <f t="shared" si="8"/>
        <v/>
      </c>
      <c r="BV163" s="109" t="str">
        <f t="shared" si="9"/>
        <v/>
      </c>
      <c r="BW163" s="83" t="str">
        <f t="shared" si="10"/>
        <v/>
      </c>
      <c r="BX163" s="106"/>
      <c r="BY163" s="107"/>
      <c r="BZ163" s="113" t="str">
        <f t="shared" si="5"/>
        <v/>
      </c>
      <c r="CA163" s="113" t="str">
        <f t="array" ref="CA163">IF($A163&lt;&gt;"",INDEX(LISTA!$M$2:$N$27,MATCH($BC163,LISTA!$N$2:$N$27,0),1),"")</f>
        <v/>
      </c>
      <c r="CB163" s="54" t="str">
        <f t="shared" si="6"/>
        <v/>
      </c>
      <c r="CC163" s="86" t="str">
        <f t="shared" si="7"/>
        <v/>
      </c>
    </row>
    <row r="164" ht="15.0" customHeight="1">
      <c r="A164" s="50"/>
      <c r="B164" s="53"/>
      <c r="C164" s="54"/>
      <c r="D164" s="56"/>
      <c r="E164" s="57"/>
      <c r="F164" s="54"/>
      <c r="G164" s="60"/>
      <c r="H164" s="63"/>
      <c r="I164" s="67"/>
      <c r="J164" s="70"/>
      <c r="K164" s="54"/>
      <c r="L164" s="70"/>
      <c r="M164" s="77"/>
      <c r="N164" s="78"/>
      <c r="O164" s="80"/>
      <c r="P164" s="70"/>
      <c r="Q164" s="54"/>
      <c r="R164" s="84"/>
      <c r="S164" s="84"/>
      <c r="T164" s="54"/>
      <c r="U164" s="86"/>
      <c r="V164" s="54"/>
      <c r="W164" s="86"/>
      <c r="X164" s="54"/>
      <c r="Y164" s="78"/>
      <c r="Z164" s="54"/>
      <c r="AA164" s="70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54"/>
      <c r="AR164" s="83"/>
      <c r="AS164" s="83"/>
      <c r="AT164" s="93"/>
      <c r="AU164" s="93"/>
      <c r="AV164" s="93"/>
      <c r="AW164" s="83"/>
      <c r="AX164" s="83"/>
      <c r="AY164" s="83"/>
      <c r="AZ164" s="83"/>
      <c r="BA164" s="83"/>
      <c r="BB164" s="83"/>
      <c r="BC164" s="54"/>
      <c r="BD164" s="54" t="str">
        <f t="shared" si="1"/>
        <v/>
      </c>
      <c r="BE164" s="54"/>
      <c r="BF164" s="95"/>
      <c r="BG164" s="95"/>
      <c r="BH164" s="54"/>
      <c r="BI164" s="67"/>
      <c r="BJ164" s="67"/>
      <c r="BK164" s="54"/>
      <c r="BL164" s="54"/>
      <c r="BM164" s="54"/>
      <c r="BN164" s="104"/>
      <c r="BO164" s="83"/>
      <c r="BP164" s="54"/>
      <c r="BQ164" s="70"/>
      <c r="BR164" s="67"/>
      <c r="BS164" s="83"/>
      <c r="BT164" s="83"/>
      <c r="BU164" s="109" t="str">
        <f t="shared" si="8"/>
        <v/>
      </c>
      <c r="BV164" s="109" t="str">
        <f t="shared" si="9"/>
        <v/>
      </c>
      <c r="BW164" s="83" t="str">
        <f t="shared" si="10"/>
        <v/>
      </c>
      <c r="BX164" s="106"/>
      <c r="BY164" s="107"/>
      <c r="BZ164" s="113" t="str">
        <f t="shared" si="5"/>
        <v/>
      </c>
      <c r="CA164" s="113" t="str">
        <f t="array" ref="CA164">IF($A164&lt;&gt;"",INDEX(LISTA!$M$2:$N$27,MATCH($BC164,LISTA!$N$2:$N$27,0),1),"")</f>
        <v/>
      </c>
      <c r="CB164" s="54" t="str">
        <f t="shared" si="6"/>
        <v/>
      </c>
      <c r="CC164" s="86" t="str">
        <f t="shared" si="7"/>
        <v/>
      </c>
    </row>
    <row r="165" ht="15.0" customHeight="1">
      <c r="A165" s="50"/>
      <c r="B165" s="53"/>
      <c r="C165" s="54"/>
      <c r="D165" s="56"/>
      <c r="E165" s="57"/>
      <c r="F165" s="54"/>
      <c r="G165" s="60"/>
      <c r="H165" s="63"/>
      <c r="I165" s="67"/>
      <c r="J165" s="70"/>
      <c r="K165" s="54"/>
      <c r="L165" s="70"/>
      <c r="M165" s="77"/>
      <c r="N165" s="78"/>
      <c r="O165" s="80"/>
      <c r="P165" s="70"/>
      <c r="Q165" s="54"/>
      <c r="R165" s="84"/>
      <c r="S165" s="84"/>
      <c r="T165" s="54"/>
      <c r="U165" s="86"/>
      <c r="V165" s="54"/>
      <c r="W165" s="86"/>
      <c r="X165" s="54"/>
      <c r="Y165" s="78"/>
      <c r="Z165" s="54"/>
      <c r="AA165" s="70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54"/>
      <c r="AR165" s="83"/>
      <c r="AS165" s="83"/>
      <c r="AT165" s="93"/>
      <c r="AU165" s="93"/>
      <c r="AV165" s="93"/>
      <c r="AW165" s="83"/>
      <c r="AX165" s="83"/>
      <c r="AY165" s="83"/>
      <c r="AZ165" s="83"/>
      <c r="BA165" s="83"/>
      <c r="BB165" s="83"/>
      <c r="BC165" s="54"/>
      <c r="BD165" s="54" t="str">
        <f t="shared" si="1"/>
        <v/>
      </c>
      <c r="BE165" s="54"/>
      <c r="BF165" s="95"/>
      <c r="BG165" s="95"/>
      <c r="BH165" s="54"/>
      <c r="BI165" s="67"/>
      <c r="BJ165" s="67"/>
      <c r="BK165" s="54"/>
      <c r="BL165" s="54"/>
      <c r="BM165" s="54"/>
      <c r="BN165" s="104"/>
      <c r="BO165" s="83"/>
      <c r="BP165" s="54"/>
      <c r="BQ165" s="70"/>
      <c r="BR165" s="67"/>
      <c r="BS165" s="83"/>
      <c r="BT165" s="83"/>
      <c r="BU165" s="109" t="str">
        <f t="shared" si="8"/>
        <v/>
      </c>
      <c r="BV165" s="109" t="str">
        <f t="shared" si="9"/>
        <v/>
      </c>
      <c r="BW165" s="83" t="str">
        <f t="shared" si="10"/>
        <v/>
      </c>
      <c r="BX165" s="106"/>
      <c r="BY165" s="107"/>
      <c r="BZ165" s="113" t="str">
        <f t="shared" si="5"/>
        <v/>
      </c>
      <c r="CA165" s="113" t="str">
        <f t="array" ref="CA165">IF($A165&lt;&gt;"",INDEX(LISTA!$M$2:$N$27,MATCH($BC165,LISTA!$N$2:$N$27,0),1),"")</f>
        <v/>
      </c>
      <c r="CB165" s="54" t="str">
        <f t="shared" si="6"/>
        <v/>
      </c>
      <c r="CC165" s="86" t="str">
        <f t="shared" si="7"/>
        <v/>
      </c>
    </row>
    <row r="166" ht="15.0" customHeight="1">
      <c r="A166" s="50"/>
      <c r="B166" s="53"/>
      <c r="C166" s="54"/>
      <c r="D166" s="56"/>
      <c r="E166" s="57"/>
      <c r="F166" s="54"/>
      <c r="G166" s="60"/>
      <c r="H166" s="63"/>
      <c r="I166" s="67"/>
      <c r="J166" s="70"/>
      <c r="K166" s="54"/>
      <c r="L166" s="70"/>
      <c r="M166" s="77"/>
      <c r="N166" s="78"/>
      <c r="O166" s="80"/>
      <c r="P166" s="70"/>
      <c r="Q166" s="54"/>
      <c r="R166" s="84"/>
      <c r="S166" s="84"/>
      <c r="T166" s="54"/>
      <c r="U166" s="86"/>
      <c r="V166" s="54"/>
      <c r="W166" s="86"/>
      <c r="X166" s="54"/>
      <c r="Y166" s="78"/>
      <c r="Z166" s="54"/>
      <c r="AA166" s="70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54"/>
      <c r="AR166" s="83"/>
      <c r="AS166" s="83"/>
      <c r="AT166" s="93"/>
      <c r="AU166" s="93"/>
      <c r="AV166" s="93"/>
      <c r="AW166" s="83"/>
      <c r="AX166" s="83"/>
      <c r="AY166" s="83"/>
      <c r="AZ166" s="83"/>
      <c r="BA166" s="83"/>
      <c r="BB166" s="83"/>
      <c r="BC166" s="54"/>
      <c r="BD166" s="54" t="str">
        <f t="shared" si="1"/>
        <v/>
      </c>
      <c r="BE166" s="54"/>
      <c r="BF166" s="95"/>
      <c r="BG166" s="95"/>
      <c r="BH166" s="54"/>
      <c r="BI166" s="67"/>
      <c r="BJ166" s="67"/>
      <c r="BK166" s="54"/>
      <c r="BL166" s="54"/>
      <c r="BM166" s="54"/>
      <c r="BN166" s="104"/>
      <c r="BO166" s="83"/>
      <c r="BP166" s="54"/>
      <c r="BQ166" s="70"/>
      <c r="BR166" s="67"/>
      <c r="BS166" s="83"/>
      <c r="BT166" s="83"/>
      <c r="BU166" s="109" t="str">
        <f t="shared" si="8"/>
        <v/>
      </c>
      <c r="BV166" s="109" t="str">
        <f t="shared" si="9"/>
        <v/>
      </c>
      <c r="BW166" s="83" t="str">
        <f t="shared" si="10"/>
        <v/>
      </c>
      <c r="BX166" s="106"/>
      <c r="BY166" s="107"/>
      <c r="BZ166" s="113" t="str">
        <f t="shared" si="5"/>
        <v/>
      </c>
      <c r="CA166" s="113" t="str">
        <f t="array" ref="CA166">IF($A166&lt;&gt;"",INDEX(LISTA!$M$2:$N$27,MATCH($BC166,LISTA!$N$2:$N$27,0),1),"")</f>
        <v/>
      </c>
      <c r="CB166" s="54" t="str">
        <f t="shared" si="6"/>
        <v/>
      </c>
      <c r="CC166" s="86" t="str">
        <f t="shared" si="7"/>
        <v/>
      </c>
    </row>
    <row r="167" ht="15.0" customHeight="1">
      <c r="A167" s="50"/>
      <c r="B167" s="53"/>
      <c r="C167" s="54"/>
      <c r="D167" s="56"/>
      <c r="E167" s="57"/>
      <c r="F167" s="54"/>
      <c r="G167" s="60"/>
      <c r="H167" s="63"/>
      <c r="I167" s="67"/>
      <c r="J167" s="70"/>
      <c r="K167" s="54"/>
      <c r="L167" s="70"/>
      <c r="M167" s="77"/>
      <c r="N167" s="78"/>
      <c r="O167" s="80"/>
      <c r="P167" s="70"/>
      <c r="Q167" s="54"/>
      <c r="R167" s="84"/>
      <c r="S167" s="84"/>
      <c r="T167" s="54"/>
      <c r="U167" s="86"/>
      <c r="V167" s="54"/>
      <c r="W167" s="86"/>
      <c r="X167" s="54"/>
      <c r="Y167" s="78"/>
      <c r="Z167" s="54"/>
      <c r="AA167" s="70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54"/>
      <c r="AR167" s="83"/>
      <c r="AS167" s="83"/>
      <c r="AT167" s="93"/>
      <c r="AU167" s="93"/>
      <c r="AV167" s="93"/>
      <c r="AW167" s="83"/>
      <c r="AX167" s="83"/>
      <c r="AY167" s="83"/>
      <c r="AZ167" s="83"/>
      <c r="BA167" s="83"/>
      <c r="BB167" s="83"/>
      <c r="BC167" s="54"/>
      <c r="BD167" s="54" t="str">
        <f t="shared" si="1"/>
        <v/>
      </c>
      <c r="BE167" s="54"/>
      <c r="BF167" s="95"/>
      <c r="BG167" s="95"/>
      <c r="BH167" s="54"/>
      <c r="BI167" s="67"/>
      <c r="BJ167" s="67"/>
      <c r="BK167" s="54"/>
      <c r="BL167" s="54"/>
      <c r="BM167" s="54"/>
      <c r="BN167" s="104"/>
      <c r="BO167" s="83"/>
      <c r="BP167" s="54"/>
      <c r="BQ167" s="70"/>
      <c r="BR167" s="67"/>
      <c r="BS167" s="83"/>
      <c r="BT167" s="83"/>
      <c r="BU167" s="109" t="str">
        <f t="shared" si="8"/>
        <v/>
      </c>
      <c r="BV167" s="109" t="str">
        <f t="shared" si="9"/>
        <v/>
      </c>
      <c r="BW167" s="83" t="str">
        <f t="shared" si="10"/>
        <v/>
      </c>
      <c r="BX167" s="106"/>
      <c r="BY167" s="107"/>
      <c r="BZ167" s="113" t="str">
        <f t="shared" si="5"/>
        <v/>
      </c>
      <c r="CA167" s="113" t="str">
        <f t="array" ref="CA167">IF($A167&lt;&gt;"",INDEX(LISTA!$M$2:$N$27,MATCH($BC167,LISTA!$N$2:$N$27,0),1),"")</f>
        <v/>
      </c>
      <c r="CB167" s="54" t="str">
        <f t="shared" si="6"/>
        <v/>
      </c>
      <c r="CC167" s="86" t="str">
        <f t="shared" si="7"/>
        <v/>
      </c>
    </row>
    <row r="168" ht="15.0" customHeight="1">
      <c r="A168" s="50"/>
      <c r="B168" s="53"/>
      <c r="C168" s="54"/>
      <c r="D168" s="56"/>
      <c r="E168" s="57"/>
      <c r="F168" s="54"/>
      <c r="G168" s="60"/>
      <c r="H168" s="63"/>
      <c r="I168" s="67"/>
      <c r="J168" s="70"/>
      <c r="K168" s="54"/>
      <c r="L168" s="70"/>
      <c r="M168" s="77"/>
      <c r="N168" s="78"/>
      <c r="O168" s="80"/>
      <c r="P168" s="70"/>
      <c r="Q168" s="54"/>
      <c r="R168" s="84"/>
      <c r="S168" s="84"/>
      <c r="T168" s="54"/>
      <c r="U168" s="86"/>
      <c r="V168" s="54"/>
      <c r="W168" s="86"/>
      <c r="X168" s="54"/>
      <c r="Y168" s="78"/>
      <c r="Z168" s="54"/>
      <c r="AA168" s="70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54"/>
      <c r="AR168" s="83"/>
      <c r="AS168" s="83"/>
      <c r="AT168" s="93"/>
      <c r="AU168" s="93"/>
      <c r="AV168" s="93"/>
      <c r="AW168" s="83"/>
      <c r="AX168" s="83"/>
      <c r="AY168" s="83"/>
      <c r="AZ168" s="83"/>
      <c r="BA168" s="83"/>
      <c r="BB168" s="83"/>
      <c r="BC168" s="54"/>
      <c r="BD168" s="54" t="str">
        <f t="shared" si="1"/>
        <v/>
      </c>
      <c r="BE168" s="54"/>
      <c r="BF168" s="95"/>
      <c r="BG168" s="95"/>
      <c r="BH168" s="54"/>
      <c r="BI168" s="67"/>
      <c r="BJ168" s="67"/>
      <c r="BK168" s="54"/>
      <c r="BL168" s="54"/>
      <c r="BM168" s="54"/>
      <c r="BN168" s="104"/>
      <c r="BO168" s="83"/>
      <c r="BP168" s="54"/>
      <c r="BQ168" s="70"/>
      <c r="BR168" s="67"/>
      <c r="BS168" s="83"/>
      <c r="BT168" s="83"/>
      <c r="BU168" s="109" t="str">
        <f t="shared" si="8"/>
        <v/>
      </c>
      <c r="BV168" s="109" t="str">
        <f t="shared" si="9"/>
        <v/>
      </c>
      <c r="BW168" s="83" t="str">
        <f t="shared" si="10"/>
        <v/>
      </c>
      <c r="BX168" s="106"/>
      <c r="BY168" s="107"/>
      <c r="BZ168" s="113" t="str">
        <f t="shared" si="5"/>
        <v/>
      </c>
      <c r="CA168" s="113" t="str">
        <f t="array" ref="CA168">IF($A168&lt;&gt;"",INDEX(LISTA!$M$2:$N$27,MATCH($BC168,LISTA!$N$2:$N$27,0),1),"")</f>
        <v/>
      </c>
      <c r="CB168" s="54" t="str">
        <f t="shared" si="6"/>
        <v/>
      </c>
      <c r="CC168" s="86" t="str">
        <f t="shared" si="7"/>
        <v/>
      </c>
    </row>
    <row r="169" ht="15.0" customHeight="1">
      <c r="A169" s="50"/>
      <c r="B169" s="53"/>
      <c r="C169" s="54"/>
      <c r="D169" s="56"/>
      <c r="E169" s="57"/>
      <c r="F169" s="54"/>
      <c r="G169" s="60"/>
      <c r="H169" s="63"/>
      <c r="I169" s="67"/>
      <c r="J169" s="70"/>
      <c r="K169" s="54"/>
      <c r="L169" s="70"/>
      <c r="M169" s="77"/>
      <c r="N169" s="78"/>
      <c r="O169" s="80"/>
      <c r="P169" s="70"/>
      <c r="Q169" s="54"/>
      <c r="R169" s="84"/>
      <c r="S169" s="84"/>
      <c r="T169" s="54"/>
      <c r="U169" s="86"/>
      <c r="V169" s="54"/>
      <c r="W169" s="86"/>
      <c r="X169" s="54"/>
      <c r="Y169" s="78"/>
      <c r="Z169" s="54"/>
      <c r="AA169" s="70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54"/>
      <c r="AR169" s="83"/>
      <c r="AS169" s="83"/>
      <c r="AT169" s="93"/>
      <c r="AU169" s="93"/>
      <c r="AV169" s="93"/>
      <c r="AW169" s="83"/>
      <c r="AX169" s="83"/>
      <c r="AY169" s="83"/>
      <c r="AZ169" s="83"/>
      <c r="BA169" s="83"/>
      <c r="BB169" s="83"/>
      <c r="BC169" s="54"/>
      <c r="BD169" s="54" t="str">
        <f t="shared" si="1"/>
        <v/>
      </c>
      <c r="BE169" s="54"/>
      <c r="BF169" s="95"/>
      <c r="BG169" s="95"/>
      <c r="BH169" s="54"/>
      <c r="BI169" s="67"/>
      <c r="BJ169" s="67"/>
      <c r="BK169" s="54"/>
      <c r="BL169" s="54"/>
      <c r="BM169" s="54"/>
      <c r="BN169" s="104"/>
      <c r="BO169" s="83"/>
      <c r="BP169" s="54"/>
      <c r="BQ169" s="70"/>
      <c r="BR169" s="67"/>
      <c r="BS169" s="83"/>
      <c r="BT169" s="83"/>
      <c r="BU169" s="109" t="str">
        <f t="shared" si="8"/>
        <v/>
      </c>
      <c r="BV169" s="109" t="str">
        <f t="shared" si="9"/>
        <v/>
      </c>
      <c r="BW169" s="83" t="str">
        <f t="shared" si="10"/>
        <v/>
      </c>
      <c r="BX169" s="106"/>
      <c r="BY169" s="107"/>
      <c r="BZ169" s="113" t="str">
        <f t="shared" si="5"/>
        <v/>
      </c>
      <c r="CA169" s="113" t="str">
        <f t="array" ref="CA169">IF($A169&lt;&gt;"",INDEX(LISTA!$M$2:$N$27,MATCH($BC169,LISTA!$N$2:$N$27,0),1),"")</f>
        <v/>
      </c>
      <c r="CB169" s="54" t="str">
        <f t="shared" si="6"/>
        <v/>
      </c>
      <c r="CC169" s="86" t="str">
        <f t="shared" si="7"/>
        <v/>
      </c>
    </row>
    <row r="170" ht="15.0" customHeight="1">
      <c r="A170" s="50"/>
      <c r="B170" s="53"/>
      <c r="C170" s="54"/>
      <c r="D170" s="56"/>
      <c r="E170" s="57"/>
      <c r="F170" s="54"/>
      <c r="G170" s="60"/>
      <c r="H170" s="63"/>
      <c r="I170" s="67"/>
      <c r="J170" s="70"/>
      <c r="K170" s="54"/>
      <c r="L170" s="70"/>
      <c r="M170" s="77"/>
      <c r="N170" s="78"/>
      <c r="O170" s="80"/>
      <c r="P170" s="70"/>
      <c r="Q170" s="54"/>
      <c r="R170" s="84"/>
      <c r="S170" s="84"/>
      <c r="T170" s="54"/>
      <c r="U170" s="86"/>
      <c r="V170" s="54"/>
      <c r="W170" s="86"/>
      <c r="X170" s="54"/>
      <c r="Y170" s="78"/>
      <c r="Z170" s="54"/>
      <c r="AA170" s="70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54"/>
      <c r="AR170" s="83"/>
      <c r="AS170" s="83"/>
      <c r="AT170" s="93"/>
      <c r="AU170" s="93"/>
      <c r="AV170" s="93"/>
      <c r="AW170" s="83"/>
      <c r="AX170" s="83"/>
      <c r="AY170" s="83"/>
      <c r="AZ170" s="83"/>
      <c r="BA170" s="83"/>
      <c r="BB170" s="83"/>
      <c r="BC170" s="54"/>
      <c r="BD170" s="54" t="str">
        <f t="shared" si="1"/>
        <v/>
      </c>
      <c r="BE170" s="54"/>
      <c r="BF170" s="95"/>
      <c r="BG170" s="95"/>
      <c r="BH170" s="54"/>
      <c r="BI170" s="67"/>
      <c r="BJ170" s="67"/>
      <c r="BK170" s="54"/>
      <c r="BL170" s="54"/>
      <c r="BM170" s="54"/>
      <c r="BN170" s="104"/>
      <c r="BO170" s="83"/>
      <c r="BP170" s="54"/>
      <c r="BQ170" s="70"/>
      <c r="BR170" s="67"/>
      <c r="BS170" s="83"/>
      <c r="BT170" s="83"/>
      <c r="BU170" s="109" t="str">
        <f t="shared" si="8"/>
        <v/>
      </c>
      <c r="BV170" s="109" t="str">
        <f t="shared" si="9"/>
        <v/>
      </c>
      <c r="BW170" s="83" t="str">
        <f t="shared" si="10"/>
        <v/>
      </c>
      <c r="BX170" s="106"/>
      <c r="BY170" s="107"/>
      <c r="BZ170" s="113" t="str">
        <f t="shared" si="5"/>
        <v/>
      </c>
      <c r="CA170" s="113" t="str">
        <f t="array" ref="CA170">IF($A170&lt;&gt;"",INDEX(LISTA!$M$2:$N$27,MATCH($BC170,LISTA!$N$2:$N$27,0),1),"")</f>
        <v/>
      </c>
      <c r="CB170" s="54" t="str">
        <f t="shared" si="6"/>
        <v/>
      </c>
      <c r="CC170" s="86" t="str">
        <f t="shared" si="7"/>
        <v/>
      </c>
    </row>
    <row r="171" ht="15.0" customHeight="1">
      <c r="A171" s="50"/>
      <c r="B171" s="53"/>
      <c r="C171" s="54"/>
      <c r="D171" s="56"/>
      <c r="E171" s="57"/>
      <c r="F171" s="54"/>
      <c r="G171" s="60"/>
      <c r="H171" s="63"/>
      <c r="I171" s="67"/>
      <c r="J171" s="70"/>
      <c r="K171" s="54"/>
      <c r="L171" s="70"/>
      <c r="M171" s="77"/>
      <c r="N171" s="78"/>
      <c r="O171" s="80"/>
      <c r="P171" s="70"/>
      <c r="Q171" s="54"/>
      <c r="R171" s="84"/>
      <c r="S171" s="84"/>
      <c r="T171" s="54"/>
      <c r="U171" s="86"/>
      <c r="V171" s="54"/>
      <c r="W171" s="86"/>
      <c r="X171" s="54"/>
      <c r="Y171" s="78"/>
      <c r="Z171" s="54"/>
      <c r="AA171" s="70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54"/>
      <c r="AR171" s="83"/>
      <c r="AS171" s="83"/>
      <c r="AT171" s="93"/>
      <c r="AU171" s="93"/>
      <c r="AV171" s="93"/>
      <c r="AW171" s="83"/>
      <c r="AX171" s="83"/>
      <c r="AY171" s="83"/>
      <c r="AZ171" s="83"/>
      <c r="BA171" s="83"/>
      <c r="BB171" s="83"/>
      <c r="BC171" s="54"/>
      <c r="BD171" s="54" t="str">
        <f t="shared" si="1"/>
        <v/>
      </c>
      <c r="BE171" s="54"/>
      <c r="BF171" s="95"/>
      <c r="BG171" s="95"/>
      <c r="BH171" s="54"/>
      <c r="BI171" s="67"/>
      <c r="BJ171" s="67"/>
      <c r="BK171" s="54"/>
      <c r="BL171" s="54"/>
      <c r="BM171" s="54"/>
      <c r="BN171" s="104"/>
      <c r="BO171" s="83"/>
      <c r="BP171" s="54"/>
      <c r="BQ171" s="70"/>
      <c r="BR171" s="67"/>
      <c r="BS171" s="83"/>
      <c r="BT171" s="83"/>
      <c r="BU171" s="109" t="str">
        <f t="shared" si="8"/>
        <v/>
      </c>
      <c r="BV171" s="109" t="str">
        <f t="shared" si="9"/>
        <v/>
      </c>
      <c r="BW171" s="83" t="str">
        <f t="shared" si="10"/>
        <v/>
      </c>
      <c r="BX171" s="106"/>
      <c r="BY171" s="107"/>
      <c r="BZ171" s="113" t="str">
        <f t="shared" si="5"/>
        <v/>
      </c>
      <c r="CA171" s="113" t="str">
        <f t="array" ref="CA171">IF($A171&lt;&gt;"",INDEX(LISTA!$M$2:$N$27,MATCH($BC171,LISTA!$N$2:$N$27,0),1),"")</f>
        <v/>
      </c>
      <c r="CB171" s="54" t="str">
        <f t="shared" si="6"/>
        <v/>
      </c>
      <c r="CC171" s="86" t="str">
        <f t="shared" si="7"/>
        <v/>
      </c>
    </row>
    <row r="172" ht="15.0" customHeight="1">
      <c r="A172" s="50"/>
      <c r="B172" s="53"/>
      <c r="C172" s="54"/>
      <c r="D172" s="56"/>
      <c r="E172" s="57"/>
      <c r="F172" s="54"/>
      <c r="G172" s="60"/>
      <c r="H172" s="63"/>
      <c r="I172" s="67"/>
      <c r="J172" s="70"/>
      <c r="K172" s="54"/>
      <c r="L172" s="70"/>
      <c r="M172" s="77"/>
      <c r="N172" s="78"/>
      <c r="O172" s="80"/>
      <c r="P172" s="70"/>
      <c r="Q172" s="54"/>
      <c r="R172" s="84"/>
      <c r="S172" s="84"/>
      <c r="T172" s="54"/>
      <c r="U172" s="86"/>
      <c r="V172" s="54"/>
      <c r="W172" s="86"/>
      <c r="X172" s="54"/>
      <c r="Y172" s="78"/>
      <c r="Z172" s="54"/>
      <c r="AA172" s="70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54"/>
      <c r="AR172" s="83"/>
      <c r="AS172" s="83"/>
      <c r="AT172" s="93"/>
      <c r="AU172" s="93"/>
      <c r="AV172" s="93"/>
      <c r="AW172" s="83"/>
      <c r="AX172" s="83"/>
      <c r="AY172" s="83"/>
      <c r="AZ172" s="83"/>
      <c r="BA172" s="83"/>
      <c r="BB172" s="83"/>
      <c r="BC172" s="54"/>
      <c r="BD172" s="54" t="str">
        <f t="shared" si="1"/>
        <v/>
      </c>
      <c r="BE172" s="54"/>
      <c r="BF172" s="95"/>
      <c r="BG172" s="95"/>
      <c r="BH172" s="54"/>
      <c r="BI172" s="67"/>
      <c r="BJ172" s="67"/>
      <c r="BK172" s="54"/>
      <c r="BL172" s="54"/>
      <c r="BM172" s="54"/>
      <c r="BN172" s="104"/>
      <c r="BO172" s="83"/>
      <c r="BP172" s="54"/>
      <c r="BQ172" s="70"/>
      <c r="BR172" s="67"/>
      <c r="BS172" s="83"/>
      <c r="BT172" s="83"/>
      <c r="BU172" s="109" t="str">
        <f t="shared" si="8"/>
        <v/>
      </c>
      <c r="BV172" s="109" t="str">
        <f t="shared" si="9"/>
        <v/>
      </c>
      <c r="BW172" s="83" t="str">
        <f t="shared" si="10"/>
        <v/>
      </c>
      <c r="BX172" s="106"/>
      <c r="BY172" s="107"/>
      <c r="BZ172" s="113" t="str">
        <f t="shared" si="5"/>
        <v/>
      </c>
      <c r="CA172" s="113" t="str">
        <f t="array" ref="CA172">IF($A172&lt;&gt;"",INDEX(LISTA!$M$2:$N$27,MATCH($BC172,LISTA!$N$2:$N$27,0),1),"")</f>
        <v/>
      </c>
      <c r="CB172" s="54" t="str">
        <f t="shared" si="6"/>
        <v/>
      </c>
      <c r="CC172" s="86" t="str">
        <f t="shared" si="7"/>
        <v/>
      </c>
    </row>
    <row r="173" ht="15.0" customHeight="1">
      <c r="A173" s="50"/>
      <c r="B173" s="53"/>
      <c r="C173" s="54"/>
      <c r="D173" s="56"/>
      <c r="E173" s="57"/>
      <c r="F173" s="54"/>
      <c r="G173" s="60"/>
      <c r="H173" s="63"/>
      <c r="I173" s="67"/>
      <c r="J173" s="70"/>
      <c r="K173" s="54"/>
      <c r="L173" s="70"/>
      <c r="M173" s="77"/>
      <c r="N173" s="78"/>
      <c r="O173" s="80"/>
      <c r="P173" s="70"/>
      <c r="Q173" s="54"/>
      <c r="R173" s="84"/>
      <c r="S173" s="84"/>
      <c r="T173" s="54"/>
      <c r="U173" s="86"/>
      <c r="V173" s="54"/>
      <c r="W173" s="86"/>
      <c r="X173" s="54"/>
      <c r="Y173" s="78"/>
      <c r="Z173" s="54"/>
      <c r="AA173" s="70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54"/>
      <c r="AR173" s="83"/>
      <c r="AS173" s="83"/>
      <c r="AT173" s="93"/>
      <c r="AU173" s="93"/>
      <c r="AV173" s="93"/>
      <c r="AW173" s="83"/>
      <c r="AX173" s="83"/>
      <c r="AY173" s="83"/>
      <c r="AZ173" s="83"/>
      <c r="BA173" s="83"/>
      <c r="BB173" s="83"/>
      <c r="BC173" s="54"/>
      <c r="BD173" s="54" t="str">
        <f t="shared" si="1"/>
        <v/>
      </c>
      <c r="BE173" s="54"/>
      <c r="BF173" s="95"/>
      <c r="BG173" s="95"/>
      <c r="BH173" s="54"/>
      <c r="BI173" s="67"/>
      <c r="BJ173" s="67"/>
      <c r="BK173" s="54"/>
      <c r="BL173" s="54"/>
      <c r="BM173" s="54"/>
      <c r="BN173" s="104"/>
      <c r="BO173" s="83"/>
      <c r="BP173" s="54"/>
      <c r="BQ173" s="70"/>
      <c r="BR173" s="67"/>
      <c r="BS173" s="83"/>
      <c r="BT173" s="83"/>
      <c r="BU173" s="109" t="str">
        <f t="shared" si="8"/>
        <v/>
      </c>
      <c r="BV173" s="109" t="str">
        <f t="shared" si="9"/>
        <v/>
      </c>
      <c r="BW173" s="83" t="str">
        <f t="shared" si="10"/>
        <v/>
      </c>
      <c r="BX173" s="106"/>
      <c r="BY173" s="107"/>
      <c r="BZ173" s="113" t="str">
        <f t="shared" si="5"/>
        <v/>
      </c>
      <c r="CA173" s="113" t="str">
        <f t="array" ref="CA173">IF($A173&lt;&gt;"",INDEX(LISTA!$M$2:$N$27,MATCH($BC173,LISTA!$N$2:$N$27,0),1),"")</f>
        <v/>
      </c>
      <c r="CB173" s="54" t="str">
        <f t="shared" si="6"/>
        <v/>
      </c>
      <c r="CC173" s="86" t="str">
        <f t="shared" si="7"/>
        <v/>
      </c>
    </row>
    <row r="174" ht="15.0" customHeight="1">
      <c r="A174" s="50"/>
      <c r="B174" s="53"/>
      <c r="C174" s="54"/>
      <c r="D174" s="56"/>
      <c r="E174" s="57"/>
      <c r="F174" s="54"/>
      <c r="G174" s="60"/>
      <c r="H174" s="63"/>
      <c r="I174" s="67"/>
      <c r="J174" s="70"/>
      <c r="K174" s="54"/>
      <c r="L174" s="70"/>
      <c r="M174" s="77"/>
      <c r="N174" s="78"/>
      <c r="O174" s="80"/>
      <c r="P174" s="70"/>
      <c r="Q174" s="54"/>
      <c r="R174" s="84"/>
      <c r="S174" s="84"/>
      <c r="T174" s="54"/>
      <c r="U174" s="86"/>
      <c r="V174" s="54"/>
      <c r="W174" s="86"/>
      <c r="X174" s="54"/>
      <c r="Y174" s="78"/>
      <c r="Z174" s="54"/>
      <c r="AA174" s="70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54"/>
      <c r="AR174" s="83"/>
      <c r="AS174" s="83"/>
      <c r="AT174" s="93"/>
      <c r="AU174" s="93"/>
      <c r="AV174" s="93"/>
      <c r="AW174" s="83"/>
      <c r="AX174" s="83"/>
      <c r="AY174" s="83"/>
      <c r="AZ174" s="83"/>
      <c r="BA174" s="83"/>
      <c r="BB174" s="83"/>
      <c r="BC174" s="54"/>
      <c r="BD174" s="54" t="str">
        <f t="shared" si="1"/>
        <v/>
      </c>
      <c r="BE174" s="54"/>
      <c r="BF174" s="95"/>
      <c r="BG174" s="95"/>
      <c r="BH174" s="54"/>
      <c r="BI174" s="67"/>
      <c r="BJ174" s="67"/>
      <c r="BK174" s="54"/>
      <c r="BL174" s="54"/>
      <c r="BM174" s="54"/>
      <c r="BN174" s="104"/>
      <c r="BO174" s="83"/>
      <c r="BP174" s="54"/>
      <c r="BQ174" s="70"/>
      <c r="BR174" s="67"/>
      <c r="BS174" s="83"/>
      <c r="BT174" s="83"/>
      <c r="BU174" s="109" t="str">
        <f t="shared" si="8"/>
        <v/>
      </c>
      <c r="BV174" s="109" t="str">
        <f t="shared" si="9"/>
        <v/>
      </c>
      <c r="BW174" s="83" t="str">
        <f t="shared" si="10"/>
        <v/>
      </c>
      <c r="BX174" s="106"/>
      <c r="BY174" s="107"/>
      <c r="BZ174" s="113" t="str">
        <f t="shared" si="5"/>
        <v/>
      </c>
      <c r="CA174" s="113" t="str">
        <f t="array" ref="CA174">IF($A174&lt;&gt;"",INDEX(LISTA!$M$2:$N$27,MATCH($BC174,LISTA!$N$2:$N$27,0),1),"")</f>
        <v/>
      </c>
      <c r="CB174" s="54" t="str">
        <f t="shared" si="6"/>
        <v/>
      </c>
      <c r="CC174" s="86" t="str">
        <f t="shared" si="7"/>
        <v/>
      </c>
    </row>
    <row r="175" ht="15.0" customHeight="1">
      <c r="A175" s="50"/>
      <c r="B175" s="53"/>
      <c r="C175" s="54"/>
      <c r="D175" s="56"/>
      <c r="E175" s="57"/>
      <c r="F175" s="54"/>
      <c r="G175" s="60"/>
      <c r="H175" s="63"/>
      <c r="I175" s="67"/>
      <c r="J175" s="70"/>
      <c r="K175" s="54"/>
      <c r="L175" s="70"/>
      <c r="M175" s="77"/>
      <c r="N175" s="78"/>
      <c r="O175" s="80"/>
      <c r="P175" s="70"/>
      <c r="Q175" s="54"/>
      <c r="R175" s="84"/>
      <c r="S175" s="84"/>
      <c r="T175" s="54"/>
      <c r="U175" s="86"/>
      <c r="V175" s="54"/>
      <c r="W175" s="86"/>
      <c r="X175" s="54"/>
      <c r="Y175" s="78"/>
      <c r="Z175" s="54"/>
      <c r="AA175" s="70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54"/>
      <c r="AR175" s="83"/>
      <c r="AS175" s="83"/>
      <c r="AT175" s="93"/>
      <c r="AU175" s="93"/>
      <c r="AV175" s="93"/>
      <c r="AW175" s="83"/>
      <c r="AX175" s="83"/>
      <c r="AY175" s="83"/>
      <c r="AZ175" s="83"/>
      <c r="BA175" s="83"/>
      <c r="BB175" s="83"/>
      <c r="BC175" s="54"/>
      <c r="BD175" s="54" t="str">
        <f t="shared" si="1"/>
        <v/>
      </c>
      <c r="BE175" s="54"/>
      <c r="BF175" s="95"/>
      <c r="BG175" s="95"/>
      <c r="BH175" s="54"/>
      <c r="BI175" s="67"/>
      <c r="BJ175" s="67"/>
      <c r="BK175" s="54"/>
      <c r="BL175" s="54"/>
      <c r="BM175" s="54"/>
      <c r="BN175" s="104"/>
      <c r="BO175" s="83"/>
      <c r="BP175" s="54"/>
      <c r="BQ175" s="70"/>
      <c r="BR175" s="67"/>
      <c r="BS175" s="83"/>
      <c r="BT175" s="83"/>
      <c r="BU175" s="109" t="str">
        <f t="shared" si="8"/>
        <v/>
      </c>
      <c r="BV175" s="109" t="str">
        <f t="shared" si="9"/>
        <v/>
      </c>
      <c r="BW175" s="83" t="str">
        <f t="shared" si="10"/>
        <v/>
      </c>
      <c r="BX175" s="106"/>
      <c r="BY175" s="107"/>
      <c r="BZ175" s="113" t="str">
        <f t="shared" si="5"/>
        <v/>
      </c>
      <c r="CA175" s="113" t="str">
        <f t="array" ref="CA175">IF($A175&lt;&gt;"",INDEX(LISTA!$M$2:$N$27,MATCH($BC175,LISTA!$N$2:$N$27,0),1),"")</f>
        <v/>
      </c>
      <c r="CB175" s="54" t="str">
        <f t="shared" si="6"/>
        <v/>
      </c>
      <c r="CC175" s="86" t="str">
        <f t="shared" si="7"/>
        <v/>
      </c>
    </row>
    <row r="176" ht="15.0" customHeight="1">
      <c r="A176" s="50"/>
      <c r="B176" s="53"/>
      <c r="C176" s="54"/>
      <c r="D176" s="56"/>
      <c r="E176" s="57"/>
      <c r="F176" s="54"/>
      <c r="G176" s="60"/>
      <c r="H176" s="63"/>
      <c r="I176" s="67"/>
      <c r="J176" s="70"/>
      <c r="K176" s="54"/>
      <c r="L176" s="70"/>
      <c r="M176" s="77"/>
      <c r="N176" s="78"/>
      <c r="O176" s="80"/>
      <c r="P176" s="70"/>
      <c r="Q176" s="54"/>
      <c r="R176" s="84"/>
      <c r="S176" s="84"/>
      <c r="T176" s="54"/>
      <c r="U176" s="86"/>
      <c r="V176" s="54"/>
      <c r="W176" s="86"/>
      <c r="X176" s="54"/>
      <c r="Y176" s="78"/>
      <c r="Z176" s="54"/>
      <c r="AA176" s="70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54"/>
      <c r="AR176" s="83"/>
      <c r="AS176" s="83"/>
      <c r="AT176" s="93"/>
      <c r="AU176" s="93"/>
      <c r="AV176" s="93"/>
      <c r="AW176" s="83"/>
      <c r="AX176" s="83"/>
      <c r="AY176" s="83"/>
      <c r="AZ176" s="83"/>
      <c r="BA176" s="83"/>
      <c r="BB176" s="83"/>
      <c r="BC176" s="54"/>
      <c r="BD176" s="54" t="str">
        <f t="shared" si="1"/>
        <v/>
      </c>
      <c r="BE176" s="54"/>
      <c r="BF176" s="95"/>
      <c r="BG176" s="95"/>
      <c r="BH176" s="54"/>
      <c r="BI176" s="67"/>
      <c r="BJ176" s="67"/>
      <c r="BK176" s="54"/>
      <c r="BL176" s="54"/>
      <c r="BM176" s="54"/>
      <c r="BN176" s="104"/>
      <c r="BO176" s="83"/>
      <c r="BP176" s="54"/>
      <c r="BQ176" s="70"/>
      <c r="BR176" s="67"/>
      <c r="BS176" s="83"/>
      <c r="BT176" s="83"/>
      <c r="BU176" s="109" t="str">
        <f t="shared" si="8"/>
        <v/>
      </c>
      <c r="BV176" s="109" t="str">
        <f t="shared" si="9"/>
        <v/>
      </c>
      <c r="BW176" s="83" t="str">
        <f t="shared" si="10"/>
        <v/>
      </c>
      <c r="BX176" s="106"/>
      <c r="BY176" s="107"/>
      <c r="BZ176" s="113" t="str">
        <f t="shared" si="5"/>
        <v/>
      </c>
      <c r="CA176" s="113" t="str">
        <f t="array" ref="CA176">IF($A176&lt;&gt;"",INDEX(LISTA!$M$2:$N$27,MATCH($BC176,LISTA!$N$2:$N$27,0),1),"")</f>
        <v/>
      </c>
      <c r="CB176" s="54" t="str">
        <f t="shared" si="6"/>
        <v/>
      </c>
      <c r="CC176" s="86" t="str">
        <f t="shared" si="7"/>
        <v/>
      </c>
    </row>
    <row r="177" ht="15.0" customHeight="1">
      <c r="A177" s="50"/>
      <c r="B177" s="53"/>
      <c r="C177" s="54"/>
      <c r="D177" s="56"/>
      <c r="E177" s="57"/>
      <c r="F177" s="54"/>
      <c r="G177" s="60"/>
      <c r="H177" s="63"/>
      <c r="I177" s="67"/>
      <c r="J177" s="70"/>
      <c r="K177" s="54"/>
      <c r="L177" s="70"/>
      <c r="M177" s="77"/>
      <c r="N177" s="78"/>
      <c r="O177" s="80"/>
      <c r="P177" s="70"/>
      <c r="Q177" s="54"/>
      <c r="R177" s="84"/>
      <c r="S177" s="84"/>
      <c r="T177" s="54"/>
      <c r="U177" s="86"/>
      <c r="V177" s="54"/>
      <c r="W177" s="86"/>
      <c r="X177" s="54"/>
      <c r="Y177" s="78"/>
      <c r="Z177" s="54"/>
      <c r="AA177" s="70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54"/>
      <c r="AR177" s="83"/>
      <c r="AS177" s="83"/>
      <c r="AT177" s="93"/>
      <c r="AU177" s="93"/>
      <c r="AV177" s="93"/>
      <c r="AW177" s="83"/>
      <c r="AX177" s="83"/>
      <c r="AY177" s="83"/>
      <c r="AZ177" s="83"/>
      <c r="BA177" s="83"/>
      <c r="BB177" s="83"/>
      <c r="BC177" s="54"/>
      <c r="BD177" s="54" t="str">
        <f t="shared" si="1"/>
        <v/>
      </c>
      <c r="BE177" s="54"/>
      <c r="BF177" s="95"/>
      <c r="BG177" s="95"/>
      <c r="BH177" s="54"/>
      <c r="BI177" s="67"/>
      <c r="BJ177" s="67"/>
      <c r="BK177" s="54"/>
      <c r="BL177" s="54"/>
      <c r="BM177" s="54"/>
      <c r="BN177" s="104"/>
      <c r="BO177" s="83"/>
      <c r="BP177" s="54"/>
      <c r="BQ177" s="70"/>
      <c r="BR177" s="67"/>
      <c r="BS177" s="83"/>
      <c r="BT177" s="83"/>
      <c r="BU177" s="109" t="str">
        <f t="shared" si="8"/>
        <v/>
      </c>
      <c r="BV177" s="109" t="str">
        <f t="shared" si="9"/>
        <v/>
      </c>
      <c r="BW177" s="83" t="str">
        <f t="shared" si="10"/>
        <v/>
      </c>
      <c r="BX177" s="106"/>
      <c r="BY177" s="107"/>
      <c r="BZ177" s="113" t="str">
        <f t="shared" si="5"/>
        <v/>
      </c>
      <c r="CA177" s="113" t="str">
        <f t="array" ref="CA177">IF($A177&lt;&gt;"",INDEX(LISTA!$M$2:$N$27,MATCH($BC177,LISTA!$N$2:$N$27,0),1),"")</f>
        <v/>
      </c>
      <c r="CB177" s="54" t="str">
        <f t="shared" si="6"/>
        <v/>
      </c>
      <c r="CC177" s="86" t="str">
        <f t="shared" si="7"/>
        <v/>
      </c>
    </row>
    <row r="178" ht="15.0" customHeight="1">
      <c r="A178" s="50"/>
      <c r="B178" s="53"/>
      <c r="C178" s="54"/>
      <c r="D178" s="56"/>
      <c r="E178" s="57"/>
      <c r="F178" s="54"/>
      <c r="G178" s="60"/>
      <c r="H178" s="63"/>
      <c r="I178" s="67"/>
      <c r="J178" s="70"/>
      <c r="K178" s="54"/>
      <c r="L178" s="70"/>
      <c r="M178" s="77"/>
      <c r="N178" s="78"/>
      <c r="O178" s="80"/>
      <c r="P178" s="70"/>
      <c r="Q178" s="54"/>
      <c r="R178" s="84"/>
      <c r="S178" s="84"/>
      <c r="T178" s="54"/>
      <c r="U178" s="86"/>
      <c r="V178" s="54"/>
      <c r="W178" s="86"/>
      <c r="X178" s="54"/>
      <c r="Y178" s="78"/>
      <c r="Z178" s="54"/>
      <c r="AA178" s="70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54"/>
      <c r="AR178" s="83"/>
      <c r="AS178" s="83"/>
      <c r="AT178" s="93"/>
      <c r="AU178" s="93"/>
      <c r="AV178" s="93"/>
      <c r="AW178" s="83"/>
      <c r="AX178" s="83"/>
      <c r="AY178" s="83"/>
      <c r="AZ178" s="83"/>
      <c r="BA178" s="83"/>
      <c r="BB178" s="83"/>
      <c r="BC178" s="54"/>
      <c r="BD178" s="54" t="str">
        <f t="shared" si="1"/>
        <v/>
      </c>
      <c r="BE178" s="54"/>
      <c r="BF178" s="95"/>
      <c r="BG178" s="95"/>
      <c r="BH178" s="54"/>
      <c r="BI178" s="67"/>
      <c r="BJ178" s="67"/>
      <c r="BK178" s="54"/>
      <c r="BL178" s="54"/>
      <c r="BM178" s="54"/>
      <c r="BN178" s="104"/>
      <c r="BO178" s="83"/>
      <c r="BP178" s="54"/>
      <c r="BQ178" s="70"/>
      <c r="BR178" s="67"/>
      <c r="BS178" s="83"/>
      <c r="BT178" s="83"/>
      <c r="BU178" s="109" t="str">
        <f t="shared" si="8"/>
        <v/>
      </c>
      <c r="BV178" s="109" t="str">
        <f t="shared" si="9"/>
        <v/>
      </c>
      <c r="BW178" s="83" t="str">
        <f t="shared" si="10"/>
        <v/>
      </c>
      <c r="BX178" s="106"/>
      <c r="BY178" s="107"/>
      <c r="BZ178" s="113" t="str">
        <f t="shared" si="5"/>
        <v/>
      </c>
      <c r="CA178" s="113" t="str">
        <f t="array" ref="CA178">IF($A178&lt;&gt;"",INDEX(LISTA!$M$2:$N$27,MATCH($BC178,LISTA!$N$2:$N$27,0),1),"")</f>
        <v/>
      </c>
      <c r="CB178" s="54" t="str">
        <f t="shared" si="6"/>
        <v/>
      </c>
      <c r="CC178" s="86" t="str">
        <f t="shared" si="7"/>
        <v/>
      </c>
    </row>
    <row r="179" ht="15.0" customHeight="1">
      <c r="A179" s="50"/>
      <c r="B179" s="53"/>
      <c r="C179" s="54"/>
      <c r="D179" s="56"/>
      <c r="E179" s="57"/>
      <c r="F179" s="54"/>
      <c r="G179" s="60"/>
      <c r="H179" s="63"/>
      <c r="I179" s="67"/>
      <c r="J179" s="70"/>
      <c r="K179" s="54"/>
      <c r="L179" s="70"/>
      <c r="M179" s="77"/>
      <c r="N179" s="78"/>
      <c r="O179" s="80"/>
      <c r="P179" s="70"/>
      <c r="Q179" s="54"/>
      <c r="R179" s="84"/>
      <c r="S179" s="84"/>
      <c r="T179" s="54"/>
      <c r="U179" s="86"/>
      <c r="V179" s="54"/>
      <c r="W179" s="86"/>
      <c r="X179" s="54"/>
      <c r="Y179" s="78"/>
      <c r="Z179" s="54"/>
      <c r="AA179" s="70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54"/>
      <c r="AR179" s="83"/>
      <c r="AS179" s="83"/>
      <c r="AT179" s="93"/>
      <c r="AU179" s="93"/>
      <c r="AV179" s="93"/>
      <c r="AW179" s="83"/>
      <c r="AX179" s="83"/>
      <c r="AY179" s="83"/>
      <c r="AZ179" s="83"/>
      <c r="BA179" s="83"/>
      <c r="BB179" s="83"/>
      <c r="BC179" s="54"/>
      <c r="BD179" s="54" t="str">
        <f t="shared" si="1"/>
        <v/>
      </c>
      <c r="BE179" s="54"/>
      <c r="BF179" s="95"/>
      <c r="BG179" s="95"/>
      <c r="BH179" s="54"/>
      <c r="BI179" s="67"/>
      <c r="BJ179" s="67"/>
      <c r="BK179" s="54"/>
      <c r="BL179" s="54"/>
      <c r="BM179" s="54"/>
      <c r="BN179" s="104"/>
      <c r="BO179" s="83"/>
      <c r="BP179" s="54"/>
      <c r="BQ179" s="70"/>
      <c r="BR179" s="67"/>
      <c r="BS179" s="83"/>
      <c r="BT179" s="83"/>
      <c r="BU179" s="109" t="str">
        <f t="shared" si="8"/>
        <v/>
      </c>
      <c r="BV179" s="109" t="str">
        <f t="shared" si="9"/>
        <v/>
      </c>
      <c r="BW179" s="83" t="str">
        <f t="shared" si="10"/>
        <v/>
      </c>
      <c r="BX179" s="106"/>
      <c r="BY179" s="107"/>
      <c r="BZ179" s="113" t="str">
        <f t="shared" si="5"/>
        <v/>
      </c>
      <c r="CA179" s="113" t="str">
        <f t="array" ref="CA179">IF($A179&lt;&gt;"",INDEX(LISTA!$M$2:$N$27,MATCH($BC179,LISTA!$N$2:$N$27,0),1),"")</f>
        <v/>
      </c>
      <c r="CB179" s="54" t="str">
        <f t="shared" si="6"/>
        <v/>
      </c>
      <c r="CC179" s="86" t="str">
        <f t="shared" si="7"/>
        <v/>
      </c>
    </row>
    <row r="180" ht="15.0" customHeight="1">
      <c r="A180" s="50"/>
      <c r="B180" s="53"/>
      <c r="C180" s="54"/>
      <c r="D180" s="56"/>
      <c r="E180" s="57"/>
      <c r="F180" s="54"/>
      <c r="G180" s="60"/>
      <c r="H180" s="63"/>
      <c r="I180" s="67"/>
      <c r="J180" s="70"/>
      <c r="K180" s="54"/>
      <c r="L180" s="70"/>
      <c r="M180" s="77"/>
      <c r="N180" s="78"/>
      <c r="O180" s="80"/>
      <c r="P180" s="70"/>
      <c r="Q180" s="54"/>
      <c r="R180" s="84"/>
      <c r="S180" s="84"/>
      <c r="T180" s="54"/>
      <c r="U180" s="86"/>
      <c r="V180" s="54"/>
      <c r="W180" s="86"/>
      <c r="X180" s="54"/>
      <c r="Y180" s="78"/>
      <c r="Z180" s="54"/>
      <c r="AA180" s="70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54"/>
      <c r="AR180" s="83"/>
      <c r="AS180" s="83"/>
      <c r="AT180" s="93"/>
      <c r="AU180" s="93"/>
      <c r="AV180" s="93"/>
      <c r="AW180" s="83"/>
      <c r="AX180" s="83"/>
      <c r="AY180" s="83"/>
      <c r="AZ180" s="83"/>
      <c r="BA180" s="83"/>
      <c r="BB180" s="83"/>
      <c r="BC180" s="54"/>
      <c r="BD180" s="54" t="str">
        <f t="shared" si="1"/>
        <v/>
      </c>
      <c r="BE180" s="54"/>
      <c r="BF180" s="95"/>
      <c r="BG180" s="95"/>
      <c r="BH180" s="54"/>
      <c r="BI180" s="67"/>
      <c r="BJ180" s="67"/>
      <c r="BK180" s="54"/>
      <c r="BL180" s="54"/>
      <c r="BM180" s="54"/>
      <c r="BN180" s="104"/>
      <c r="BO180" s="83"/>
      <c r="BP180" s="54"/>
      <c r="BQ180" s="70"/>
      <c r="BR180" s="67"/>
      <c r="BS180" s="83"/>
      <c r="BT180" s="83"/>
      <c r="BU180" s="109" t="str">
        <f t="shared" si="8"/>
        <v/>
      </c>
      <c r="BV180" s="109" t="str">
        <f t="shared" si="9"/>
        <v/>
      </c>
      <c r="BW180" s="83" t="str">
        <f t="shared" si="10"/>
        <v/>
      </c>
      <c r="BX180" s="106"/>
      <c r="BY180" s="107"/>
      <c r="BZ180" s="113" t="str">
        <f t="shared" si="5"/>
        <v/>
      </c>
      <c r="CA180" s="113" t="str">
        <f t="array" ref="CA180">IF($A180&lt;&gt;"",INDEX(LISTA!$M$2:$N$27,MATCH($BC180,LISTA!$N$2:$N$27,0),1),"")</f>
        <v/>
      </c>
      <c r="CB180" s="54" t="str">
        <f t="shared" si="6"/>
        <v/>
      </c>
      <c r="CC180" s="86" t="str">
        <f t="shared" si="7"/>
        <v/>
      </c>
    </row>
    <row r="181" ht="15.0" customHeight="1">
      <c r="A181" s="50"/>
      <c r="B181" s="53"/>
      <c r="C181" s="54"/>
      <c r="D181" s="56"/>
      <c r="E181" s="57"/>
      <c r="F181" s="54"/>
      <c r="G181" s="60"/>
      <c r="H181" s="63"/>
      <c r="I181" s="67"/>
      <c r="J181" s="70"/>
      <c r="K181" s="54"/>
      <c r="L181" s="70"/>
      <c r="M181" s="77"/>
      <c r="N181" s="78"/>
      <c r="O181" s="80"/>
      <c r="P181" s="70"/>
      <c r="Q181" s="54"/>
      <c r="R181" s="84"/>
      <c r="S181" s="84"/>
      <c r="T181" s="54"/>
      <c r="U181" s="86"/>
      <c r="V181" s="54"/>
      <c r="W181" s="86"/>
      <c r="X181" s="54"/>
      <c r="Y181" s="78"/>
      <c r="Z181" s="54"/>
      <c r="AA181" s="70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54"/>
      <c r="AR181" s="83"/>
      <c r="AS181" s="83"/>
      <c r="AT181" s="93"/>
      <c r="AU181" s="93"/>
      <c r="AV181" s="93"/>
      <c r="AW181" s="83"/>
      <c r="AX181" s="83"/>
      <c r="AY181" s="83"/>
      <c r="AZ181" s="83"/>
      <c r="BA181" s="83"/>
      <c r="BB181" s="83"/>
      <c r="BC181" s="54"/>
      <c r="BD181" s="54" t="str">
        <f t="shared" si="1"/>
        <v/>
      </c>
      <c r="BE181" s="54"/>
      <c r="BF181" s="95"/>
      <c r="BG181" s="95"/>
      <c r="BH181" s="54"/>
      <c r="BI181" s="67"/>
      <c r="BJ181" s="67"/>
      <c r="BK181" s="54"/>
      <c r="BL181" s="54"/>
      <c r="BM181" s="54"/>
      <c r="BN181" s="104"/>
      <c r="BO181" s="83"/>
      <c r="BP181" s="54"/>
      <c r="BQ181" s="70"/>
      <c r="BR181" s="67"/>
      <c r="BS181" s="83"/>
      <c r="BT181" s="83"/>
      <c r="BU181" s="109" t="str">
        <f t="shared" si="8"/>
        <v/>
      </c>
      <c r="BV181" s="109" t="str">
        <f t="shared" si="9"/>
        <v/>
      </c>
      <c r="BW181" s="83" t="str">
        <f t="shared" si="10"/>
        <v/>
      </c>
      <c r="BX181" s="106"/>
      <c r="BY181" s="107"/>
      <c r="BZ181" s="113" t="str">
        <f t="shared" si="5"/>
        <v/>
      </c>
      <c r="CA181" s="113" t="str">
        <f t="array" ref="CA181">IF($A181&lt;&gt;"",INDEX(LISTA!$M$2:$N$27,MATCH($BC181,LISTA!$N$2:$N$27,0),1),"")</f>
        <v/>
      </c>
      <c r="CB181" s="54" t="str">
        <f t="shared" si="6"/>
        <v/>
      </c>
      <c r="CC181" s="86" t="str">
        <f t="shared" si="7"/>
        <v/>
      </c>
    </row>
    <row r="182" ht="15.0" customHeight="1">
      <c r="A182" s="50"/>
      <c r="B182" s="53"/>
      <c r="C182" s="54"/>
      <c r="D182" s="56"/>
      <c r="E182" s="57"/>
      <c r="F182" s="54"/>
      <c r="G182" s="60"/>
      <c r="H182" s="63"/>
      <c r="I182" s="67"/>
      <c r="J182" s="70"/>
      <c r="K182" s="54"/>
      <c r="L182" s="70"/>
      <c r="M182" s="77"/>
      <c r="N182" s="78"/>
      <c r="O182" s="80"/>
      <c r="P182" s="70"/>
      <c r="Q182" s="54"/>
      <c r="R182" s="84"/>
      <c r="S182" s="84"/>
      <c r="T182" s="54"/>
      <c r="U182" s="86"/>
      <c r="V182" s="54"/>
      <c r="W182" s="86"/>
      <c r="X182" s="54"/>
      <c r="Y182" s="78"/>
      <c r="Z182" s="54"/>
      <c r="AA182" s="70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54"/>
      <c r="AR182" s="83"/>
      <c r="AS182" s="83"/>
      <c r="AT182" s="93"/>
      <c r="AU182" s="93"/>
      <c r="AV182" s="93"/>
      <c r="AW182" s="83"/>
      <c r="AX182" s="83"/>
      <c r="AY182" s="83"/>
      <c r="AZ182" s="83"/>
      <c r="BA182" s="83"/>
      <c r="BB182" s="83"/>
      <c r="BC182" s="54"/>
      <c r="BD182" s="54" t="str">
        <f t="shared" si="1"/>
        <v/>
      </c>
      <c r="BE182" s="54"/>
      <c r="BF182" s="95"/>
      <c r="BG182" s="95"/>
      <c r="BH182" s="54"/>
      <c r="BI182" s="67"/>
      <c r="BJ182" s="67"/>
      <c r="BK182" s="54"/>
      <c r="BL182" s="54"/>
      <c r="BM182" s="54"/>
      <c r="BN182" s="104"/>
      <c r="BO182" s="83"/>
      <c r="BP182" s="54"/>
      <c r="BQ182" s="70"/>
      <c r="BR182" s="67"/>
      <c r="BS182" s="83"/>
      <c r="BT182" s="83"/>
      <c r="BU182" s="109" t="str">
        <f t="shared" si="8"/>
        <v/>
      </c>
      <c r="BV182" s="109" t="str">
        <f t="shared" si="9"/>
        <v/>
      </c>
      <c r="BW182" s="83" t="str">
        <f t="shared" si="10"/>
        <v/>
      </c>
      <c r="BX182" s="106"/>
      <c r="BY182" s="107"/>
      <c r="BZ182" s="113" t="str">
        <f t="shared" si="5"/>
        <v/>
      </c>
      <c r="CA182" s="113" t="str">
        <f t="array" ref="CA182">IF($A182&lt;&gt;"",INDEX(LISTA!$M$2:$N$27,MATCH($BC182,LISTA!$N$2:$N$27,0),1),"")</f>
        <v/>
      </c>
      <c r="CB182" s="54" t="str">
        <f t="shared" si="6"/>
        <v/>
      </c>
      <c r="CC182" s="86" t="str">
        <f t="shared" si="7"/>
        <v/>
      </c>
    </row>
    <row r="183" ht="15.0" customHeight="1">
      <c r="A183" s="50"/>
      <c r="B183" s="53"/>
      <c r="C183" s="54"/>
      <c r="D183" s="56"/>
      <c r="E183" s="57"/>
      <c r="F183" s="54"/>
      <c r="G183" s="60"/>
      <c r="H183" s="63"/>
      <c r="I183" s="67"/>
      <c r="J183" s="70"/>
      <c r="K183" s="54"/>
      <c r="L183" s="70"/>
      <c r="M183" s="77"/>
      <c r="N183" s="78"/>
      <c r="O183" s="80"/>
      <c r="P183" s="70"/>
      <c r="Q183" s="54"/>
      <c r="R183" s="84"/>
      <c r="S183" s="84"/>
      <c r="T183" s="54"/>
      <c r="U183" s="86"/>
      <c r="V183" s="54"/>
      <c r="W183" s="86"/>
      <c r="X183" s="54"/>
      <c r="Y183" s="78"/>
      <c r="Z183" s="54"/>
      <c r="AA183" s="70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54"/>
      <c r="AR183" s="83"/>
      <c r="AS183" s="83"/>
      <c r="AT183" s="93"/>
      <c r="AU183" s="93"/>
      <c r="AV183" s="93"/>
      <c r="AW183" s="83"/>
      <c r="AX183" s="83"/>
      <c r="AY183" s="83"/>
      <c r="AZ183" s="83"/>
      <c r="BA183" s="83"/>
      <c r="BB183" s="83"/>
      <c r="BC183" s="54"/>
      <c r="BD183" s="54" t="str">
        <f t="shared" si="1"/>
        <v/>
      </c>
      <c r="BE183" s="54"/>
      <c r="BF183" s="95"/>
      <c r="BG183" s="95"/>
      <c r="BH183" s="54"/>
      <c r="BI183" s="67"/>
      <c r="BJ183" s="67"/>
      <c r="BK183" s="54"/>
      <c r="BL183" s="54"/>
      <c r="BM183" s="54"/>
      <c r="BN183" s="104"/>
      <c r="BO183" s="83"/>
      <c r="BP183" s="54"/>
      <c r="BQ183" s="70"/>
      <c r="BR183" s="67"/>
      <c r="BS183" s="83"/>
      <c r="BT183" s="83"/>
      <c r="BU183" s="109" t="str">
        <f t="shared" si="8"/>
        <v/>
      </c>
      <c r="BV183" s="109" t="str">
        <f t="shared" si="9"/>
        <v/>
      </c>
      <c r="BW183" s="83" t="str">
        <f t="shared" si="10"/>
        <v/>
      </c>
      <c r="BX183" s="106"/>
      <c r="BY183" s="107"/>
      <c r="BZ183" s="113" t="str">
        <f t="shared" si="5"/>
        <v/>
      </c>
      <c r="CA183" s="113" t="str">
        <f t="array" ref="CA183">IF($A183&lt;&gt;"",INDEX(LISTA!$M$2:$N$27,MATCH($BC183,LISTA!$N$2:$N$27,0),1),"")</f>
        <v/>
      </c>
      <c r="CB183" s="54" t="str">
        <f t="shared" si="6"/>
        <v/>
      </c>
      <c r="CC183" s="86" t="str">
        <f t="shared" si="7"/>
        <v/>
      </c>
    </row>
    <row r="184" ht="15.0" customHeight="1">
      <c r="A184" s="50"/>
      <c r="B184" s="53"/>
      <c r="C184" s="54"/>
      <c r="D184" s="56"/>
      <c r="E184" s="57"/>
      <c r="F184" s="54"/>
      <c r="G184" s="60"/>
      <c r="H184" s="63"/>
      <c r="I184" s="67"/>
      <c r="J184" s="70"/>
      <c r="K184" s="54"/>
      <c r="L184" s="70"/>
      <c r="M184" s="77"/>
      <c r="N184" s="78"/>
      <c r="O184" s="80"/>
      <c r="P184" s="70"/>
      <c r="Q184" s="54"/>
      <c r="R184" s="84"/>
      <c r="S184" s="84"/>
      <c r="T184" s="54"/>
      <c r="U184" s="86"/>
      <c r="V184" s="54"/>
      <c r="W184" s="86"/>
      <c r="X184" s="54"/>
      <c r="Y184" s="78"/>
      <c r="Z184" s="54"/>
      <c r="AA184" s="70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54"/>
      <c r="AR184" s="83"/>
      <c r="AS184" s="83"/>
      <c r="AT184" s="93"/>
      <c r="AU184" s="93"/>
      <c r="AV184" s="93"/>
      <c r="AW184" s="83"/>
      <c r="AX184" s="83"/>
      <c r="AY184" s="83"/>
      <c r="AZ184" s="83"/>
      <c r="BA184" s="83"/>
      <c r="BB184" s="83"/>
      <c r="BC184" s="54"/>
      <c r="BD184" s="54" t="str">
        <f t="shared" si="1"/>
        <v/>
      </c>
      <c r="BE184" s="54"/>
      <c r="BF184" s="95"/>
      <c r="BG184" s="95"/>
      <c r="BH184" s="54"/>
      <c r="BI184" s="67"/>
      <c r="BJ184" s="67"/>
      <c r="BK184" s="54"/>
      <c r="BL184" s="54"/>
      <c r="BM184" s="54"/>
      <c r="BN184" s="104"/>
      <c r="BO184" s="83"/>
      <c r="BP184" s="54"/>
      <c r="BQ184" s="70"/>
      <c r="BR184" s="67"/>
      <c r="BS184" s="83"/>
      <c r="BT184" s="83"/>
      <c r="BU184" s="109" t="str">
        <f t="shared" si="8"/>
        <v/>
      </c>
      <c r="BV184" s="109" t="str">
        <f t="shared" si="9"/>
        <v/>
      </c>
      <c r="BW184" s="83" t="str">
        <f t="shared" si="10"/>
        <v/>
      </c>
      <c r="BX184" s="106"/>
      <c r="BY184" s="107"/>
      <c r="BZ184" s="113" t="str">
        <f t="shared" si="5"/>
        <v/>
      </c>
      <c r="CA184" s="113" t="str">
        <f t="array" ref="CA184">IF($A184&lt;&gt;"",INDEX(LISTA!$M$2:$N$27,MATCH($BC184,LISTA!$N$2:$N$27,0),1),"")</f>
        <v/>
      </c>
      <c r="CB184" s="54" t="str">
        <f t="shared" si="6"/>
        <v/>
      </c>
      <c r="CC184" s="86" t="str">
        <f t="shared" si="7"/>
        <v/>
      </c>
    </row>
    <row r="185" ht="15.0" customHeight="1">
      <c r="A185" s="50"/>
      <c r="B185" s="53"/>
      <c r="C185" s="54"/>
      <c r="D185" s="56"/>
      <c r="E185" s="57"/>
      <c r="F185" s="54"/>
      <c r="G185" s="60"/>
      <c r="H185" s="63"/>
      <c r="I185" s="67"/>
      <c r="J185" s="70"/>
      <c r="K185" s="54"/>
      <c r="L185" s="70"/>
      <c r="M185" s="77"/>
      <c r="N185" s="78"/>
      <c r="O185" s="80"/>
      <c r="P185" s="70"/>
      <c r="Q185" s="54"/>
      <c r="R185" s="84"/>
      <c r="S185" s="84"/>
      <c r="T185" s="54"/>
      <c r="U185" s="86"/>
      <c r="V185" s="54"/>
      <c r="W185" s="86"/>
      <c r="X185" s="54"/>
      <c r="Y185" s="78"/>
      <c r="Z185" s="54"/>
      <c r="AA185" s="70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54"/>
      <c r="AR185" s="83"/>
      <c r="AS185" s="83"/>
      <c r="AT185" s="93"/>
      <c r="AU185" s="93"/>
      <c r="AV185" s="93"/>
      <c r="AW185" s="83"/>
      <c r="AX185" s="83"/>
      <c r="AY185" s="83"/>
      <c r="AZ185" s="83"/>
      <c r="BA185" s="83"/>
      <c r="BB185" s="83"/>
      <c r="BC185" s="54"/>
      <c r="BD185" s="54" t="str">
        <f t="shared" si="1"/>
        <v/>
      </c>
      <c r="BE185" s="54"/>
      <c r="BF185" s="95"/>
      <c r="BG185" s="95"/>
      <c r="BH185" s="54"/>
      <c r="BI185" s="67"/>
      <c r="BJ185" s="67"/>
      <c r="BK185" s="54"/>
      <c r="BL185" s="54"/>
      <c r="BM185" s="54"/>
      <c r="BN185" s="104"/>
      <c r="BO185" s="83"/>
      <c r="BP185" s="54"/>
      <c r="BQ185" s="70"/>
      <c r="BR185" s="67"/>
      <c r="BS185" s="83"/>
      <c r="BT185" s="83"/>
      <c r="BU185" s="109" t="str">
        <f t="shared" si="8"/>
        <v/>
      </c>
      <c r="BV185" s="109" t="str">
        <f t="shared" si="9"/>
        <v/>
      </c>
      <c r="BW185" s="83" t="str">
        <f t="shared" si="10"/>
        <v/>
      </c>
      <c r="BX185" s="106"/>
      <c r="BY185" s="107"/>
      <c r="BZ185" s="113" t="str">
        <f t="shared" si="5"/>
        <v/>
      </c>
      <c r="CA185" s="113" t="str">
        <f t="array" ref="CA185">IF($A185&lt;&gt;"",INDEX(LISTA!$M$2:$N$27,MATCH($BC185,LISTA!$N$2:$N$27,0),1),"")</f>
        <v/>
      </c>
      <c r="CB185" s="54" t="str">
        <f t="shared" si="6"/>
        <v/>
      </c>
      <c r="CC185" s="86" t="str">
        <f t="shared" si="7"/>
        <v/>
      </c>
    </row>
    <row r="186" ht="15.0" customHeight="1">
      <c r="A186" s="50"/>
      <c r="B186" s="53"/>
      <c r="C186" s="54"/>
      <c r="D186" s="56"/>
      <c r="E186" s="57"/>
      <c r="F186" s="54"/>
      <c r="G186" s="60"/>
      <c r="H186" s="63"/>
      <c r="I186" s="67"/>
      <c r="J186" s="70"/>
      <c r="K186" s="54"/>
      <c r="L186" s="70"/>
      <c r="M186" s="77"/>
      <c r="N186" s="78"/>
      <c r="O186" s="80"/>
      <c r="P186" s="70"/>
      <c r="Q186" s="54"/>
      <c r="R186" s="84"/>
      <c r="S186" s="84"/>
      <c r="T186" s="54"/>
      <c r="U186" s="86"/>
      <c r="V186" s="54"/>
      <c r="W186" s="86"/>
      <c r="X186" s="54"/>
      <c r="Y186" s="78"/>
      <c r="Z186" s="54"/>
      <c r="AA186" s="70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54"/>
      <c r="AR186" s="83"/>
      <c r="AS186" s="83"/>
      <c r="AT186" s="93"/>
      <c r="AU186" s="93"/>
      <c r="AV186" s="93"/>
      <c r="AW186" s="83"/>
      <c r="AX186" s="83"/>
      <c r="AY186" s="83"/>
      <c r="AZ186" s="83"/>
      <c r="BA186" s="83"/>
      <c r="BB186" s="83"/>
      <c r="BC186" s="54"/>
      <c r="BD186" s="54" t="str">
        <f t="shared" si="1"/>
        <v/>
      </c>
      <c r="BE186" s="54"/>
      <c r="BF186" s="95"/>
      <c r="BG186" s="95"/>
      <c r="BH186" s="54"/>
      <c r="BI186" s="67"/>
      <c r="BJ186" s="67"/>
      <c r="BK186" s="54"/>
      <c r="BL186" s="54"/>
      <c r="BM186" s="54"/>
      <c r="BN186" s="104"/>
      <c r="BO186" s="83"/>
      <c r="BP186" s="54"/>
      <c r="BQ186" s="70"/>
      <c r="BR186" s="67"/>
      <c r="BS186" s="83"/>
      <c r="BT186" s="83"/>
      <c r="BU186" s="109" t="str">
        <f t="shared" si="8"/>
        <v/>
      </c>
      <c r="BV186" s="109" t="str">
        <f t="shared" si="9"/>
        <v/>
      </c>
      <c r="BW186" s="83" t="str">
        <f t="shared" si="10"/>
        <v/>
      </c>
      <c r="BX186" s="106"/>
      <c r="BY186" s="107"/>
      <c r="BZ186" s="113" t="str">
        <f t="shared" si="5"/>
        <v/>
      </c>
      <c r="CA186" s="113" t="str">
        <f t="array" ref="CA186">IF($A186&lt;&gt;"",INDEX(LISTA!$M$2:$N$27,MATCH($BC186,LISTA!$N$2:$N$27,0),1),"")</f>
        <v/>
      </c>
      <c r="CB186" s="54" t="str">
        <f t="shared" si="6"/>
        <v/>
      </c>
      <c r="CC186" s="86" t="str">
        <f t="shared" si="7"/>
        <v/>
      </c>
    </row>
    <row r="187" ht="15.0" customHeight="1">
      <c r="A187" s="50"/>
      <c r="B187" s="53"/>
      <c r="C187" s="54"/>
      <c r="D187" s="56"/>
      <c r="E187" s="57"/>
      <c r="F187" s="54"/>
      <c r="G187" s="60"/>
      <c r="H187" s="63"/>
      <c r="I187" s="67"/>
      <c r="J187" s="70"/>
      <c r="K187" s="54"/>
      <c r="L187" s="70"/>
      <c r="M187" s="77"/>
      <c r="N187" s="78"/>
      <c r="O187" s="80"/>
      <c r="P187" s="70"/>
      <c r="Q187" s="54"/>
      <c r="R187" s="84"/>
      <c r="S187" s="84"/>
      <c r="T187" s="54"/>
      <c r="U187" s="86"/>
      <c r="V187" s="54"/>
      <c r="W187" s="86"/>
      <c r="X187" s="54"/>
      <c r="Y187" s="78"/>
      <c r="Z187" s="54"/>
      <c r="AA187" s="70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54"/>
      <c r="AR187" s="83"/>
      <c r="AS187" s="83"/>
      <c r="AT187" s="93"/>
      <c r="AU187" s="93"/>
      <c r="AV187" s="93"/>
      <c r="AW187" s="83"/>
      <c r="AX187" s="83"/>
      <c r="AY187" s="83"/>
      <c r="AZ187" s="83"/>
      <c r="BA187" s="83"/>
      <c r="BB187" s="83"/>
      <c r="BC187" s="54"/>
      <c r="BD187" s="54" t="str">
        <f t="shared" si="1"/>
        <v/>
      </c>
      <c r="BE187" s="54"/>
      <c r="BF187" s="95"/>
      <c r="BG187" s="95"/>
      <c r="BH187" s="54"/>
      <c r="BI187" s="67"/>
      <c r="BJ187" s="67"/>
      <c r="BK187" s="54"/>
      <c r="BL187" s="54"/>
      <c r="BM187" s="54"/>
      <c r="BN187" s="104"/>
      <c r="BO187" s="83"/>
      <c r="BP187" s="54"/>
      <c r="BQ187" s="70"/>
      <c r="BR187" s="67"/>
      <c r="BS187" s="83"/>
      <c r="BT187" s="83"/>
      <c r="BU187" s="109" t="str">
        <f t="shared" si="8"/>
        <v/>
      </c>
      <c r="BV187" s="109" t="str">
        <f t="shared" si="9"/>
        <v/>
      </c>
      <c r="BW187" s="83" t="str">
        <f t="shared" si="10"/>
        <v/>
      </c>
      <c r="BX187" s="106"/>
      <c r="BY187" s="107"/>
      <c r="BZ187" s="113" t="str">
        <f t="shared" si="5"/>
        <v/>
      </c>
      <c r="CA187" s="113" t="str">
        <f t="array" ref="CA187">IF($A187&lt;&gt;"",INDEX(LISTA!$M$2:$N$27,MATCH($BC187,LISTA!$N$2:$N$27,0),1),"")</f>
        <v/>
      </c>
      <c r="CB187" s="54" t="str">
        <f t="shared" si="6"/>
        <v/>
      </c>
      <c r="CC187" s="86" t="str">
        <f t="shared" si="7"/>
        <v/>
      </c>
    </row>
    <row r="188" ht="15.0" customHeight="1">
      <c r="A188" s="50"/>
      <c r="B188" s="53"/>
      <c r="C188" s="54"/>
      <c r="D188" s="56"/>
      <c r="E188" s="57"/>
      <c r="F188" s="54"/>
      <c r="G188" s="60"/>
      <c r="H188" s="63"/>
      <c r="I188" s="67"/>
      <c r="J188" s="70"/>
      <c r="K188" s="54"/>
      <c r="L188" s="70"/>
      <c r="M188" s="77"/>
      <c r="N188" s="78"/>
      <c r="O188" s="80"/>
      <c r="P188" s="70"/>
      <c r="Q188" s="54"/>
      <c r="R188" s="84"/>
      <c r="S188" s="84"/>
      <c r="T188" s="54"/>
      <c r="U188" s="86"/>
      <c r="V188" s="54"/>
      <c r="W188" s="86"/>
      <c r="X188" s="54"/>
      <c r="Y188" s="78"/>
      <c r="Z188" s="54"/>
      <c r="AA188" s="70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54"/>
      <c r="AR188" s="83"/>
      <c r="AS188" s="83"/>
      <c r="AT188" s="93"/>
      <c r="AU188" s="93"/>
      <c r="AV188" s="93"/>
      <c r="AW188" s="83"/>
      <c r="AX188" s="83"/>
      <c r="AY188" s="83"/>
      <c r="AZ188" s="83"/>
      <c r="BA188" s="83"/>
      <c r="BB188" s="83"/>
      <c r="BC188" s="54"/>
      <c r="BD188" s="54" t="str">
        <f t="shared" si="1"/>
        <v/>
      </c>
      <c r="BE188" s="54"/>
      <c r="BF188" s="95"/>
      <c r="BG188" s="95"/>
      <c r="BH188" s="54"/>
      <c r="BI188" s="67"/>
      <c r="BJ188" s="67"/>
      <c r="BK188" s="54"/>
      <c r="BL188" s="54"/>
      <c r="BM188" s="54"/>
      <c r="BN188" s="104"/>
      <c r="BO188" s="83"/>
      <c r="BP188" s="54"/>
      <c r="BQ188" s="70"/>
      <c r="BR188" s="67"/>
      <c r="BS188" s="83"/>
      <c r="BT188" s="83"/>
      <c r="BU188" s="109" t="str">
        <f t="shared" si="8"/>
        <v/>
      </c>
      <c r="BV188" s="109" t="str">
        <f t="shared" si="9"/>
        <v/>
      </c>
      <c r="BW188" s="83" t="str">
        <f t="shared" si="10"/>
        <v/>
      </c>
      <c r="BX188" s="106"/>
      <c r="BY188" s="107"/>
      <c r="BZ188" s="113" t="str">
        <f t="shared" si="5"/>
        <v/>
      </c>
      <c r="CA188" s="113" t="str">
        <f t="array" ref="CA188">IF($A188&lt;&gt;"",INDEX(LISTA!$M$2:$N$27,MATCH($BC188,LISTA!$N$2:$N$27,0),1),"")</f>
        <v/>
      </c>
      <c r="CB188" s="54" t="str">
        <f t="shared" si="6"/>
        <v/>
      </c>
      <c r="CC188" s="86" t="str">
        <f t="shared" si="7"/>
        <v/>
      </c>
    </row>
    <row r="189" ht="15.0" customHeight="1">
      <c r="A189" s="50"/>
      <c r="B189" s="53"/>
      <c r="C189" s="54"/>
      <c r="D189" s="56"/>
      <c r="E189" s="57"/>
      <c r="F189" s="54"/>
      <c r="G189" s="60"/>
      <c r="H189" s="63"/>
      <c r="I189" s="67"/>
      <c r="J189" s="70"/>
      <c r="K189" s="54"/>
      <c r="L189" s="70"/>
      <c r="M189" s="77"/>
      <c r="N189" s="78"/>
      <c r="O189" s="80"/>
      <c r="P189" s="70"/>
      <c r="Q189" s="54"/>
      <c r="R189" s="84"/>
      <c r="S189" s="84"/>
      <c r="T189" s="54"/>
      <c r="U189" s="86"/>
      <c r="V189" s="54"/>
      <c r="W189" s="86"/>
      <c r="X189" s="54"/>
      <c r="Y189" s="78"/>
      <c r="Z189" s="54"/>
      <c r="AA189" s="70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54"/>
      <c r="AR189" s="83"/>
      <c r="AS189" s="83"/>
      <c r="AT189" s="93"/>
      <c r="AU189" s="93"/>
      <c r="AV189" s="93"/>
      <c r="AW189" s="83"/>
      <c r="AX189" s="83"/>
      <c r="AY189" s="83"/>
      <c r="AZ189" s="83"/>
      <c r="BA189" s="83"/>
      <c r="BB189" s="83"/>
      <c r="BC189" s="54"/>
      <c r="BD189" s="54" t="str">
        <f t="shared" si="1"/>
        <v/>
      </c>
      <c r="BE189" s="54"/>
      <c r="BF189" s="95"/>
      <c r="BG189" s="95"/>
      <c r="BH189" s="54"/>
      <c r="BI189" s="67"/>
      <c r="BJ189" s="67"/>
      <c r="BK189" s="54"/>
      <c r="BL189" s="54"/>
      <c r="BM189" s="54"/>
      <c r="BN189" s="104"/>
      <c r="BO189" s="83"/>
      <c r="BP189" s="54"/>
      <c r="BQ189" s="70"/>
      <c r="BR189" s="67"/>
      <c r="BS189" s="83"/>
      <c r="BT189" s="83"/>
      <c r="BU189" s="109" t="str">
        <f t="shared" si="8"/>
        <v/>
      </c>
      <c r="BV189" s="109" t="str">
        <f t="shared" si="9"/>
        <v/>
      </c>
      <c r="BW189" s="83" t="str">
        <f t="shared" si="10"/>
        <v/>
      </c>
      <c r="BX189" s="106"/>
      <c r="BY189" s="107"/>
      <c r="BZ189" s="113" t="str">
        <f t="shared" si="5"/>
        <v/>
      </c>
      <c r="CA189" s="113" t="str">
        <f t="array" ref="CA189">IF($A189&lt;&gt;"",INDEX(LISTA!$M$2:$N$27,MATCH($BC189,LISTA!$N$2:$N$27,0),1),"")</f>
        <v/>
      </c>
      <c r="CB189" s="54" t="str">
        <f t="shared" si="6"/>
        <v/>
      </c>
      <c r="CC189" s="86" t="str">
        <f t="shared" si="7"/>
        <v/>
      </c>
    </row>
    <row r="190" ht="15.0" customHeight="1">
      <c r="A190" s="50"/>
      <c r="B190" s="53"/>
      <c r="C190" s="54"/>
      <c r="D190" s="56"/>
      <c r="E190" s="57"/>
      <c r="F190" s="54"/>
      <c r="G190" s="60"/>
      <c r="H190" s="63"/>
      <c r="I190" s="67"/>
      <c r="J190" s="70"/>
      <c r="K190" s="54"/>
      <c r="L190" s="70"/>
      <c r="M190" s="77"/>
      <c r="N190" s="78"/>
      <c r="O190" s="80"/>
      <c r="P190" s="70"/>
      <c r="Q190" s="54"/>
      <c r="R190" s="84"/>
      <c r="S190" s="84"/>
      <c r="T190" s="54"/>
      <c r="U190" s="86"/>
      <c r="V190" s="54"/>
      <c r="W190" s="86"/>
      <c r="X190" s="54"/>
      <c r="Y190" s="78"/>
      <c r="Z190" s="54"/>
      <c r="AA190" s="70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54"/>
      <c r="AR190" s="83"/>
      <c r="AS190" s="83"/>
      <c r="AT190" s="93"/>
      <c r="AU190" s="93"/>
      <c r="AV190" s="93"/>
      <c r="AW190" s="83"/>
      <c r="AX190" s="83"/>
      <c r="AY190" s="83"/>
      <c r="AZ190" s="83"/>
      <c r="BA190" s="83"/>
      <c r="BB190" s="83"/>
      <c r="BC190" s="54"/>
      <c r="BD190" s="54" t="str">
        <f t="shared" si="1"/>
        <v/>
      </c>
      <c r="BE190" s="54"/>
      <c r="BF190" s="95"/>
      <c r="BG190" s="95"/>
      <c r="BH190" s="54"/>
      <c r="BI190" s="67"/>
      <c r="BJ190" s="67"/>
      <c r="BK190" s="54"/>
      <c r="BL190" s="54"/>
      <c r="BM190" s="54"/>
      <c r="BN190" s="104"/>
      <c r="BO190" s="83"/>
      <c r="BP190" s="54"/>
      <c r="BQ190" s="70"/>
      <c r="BR190" s="67"/>
      <c r="BS190" s="83"/>
      <c r="BT190" s="83"/>
      <c r="BU190" s="109" t="str">
        <f t="shared" si="8"/>
        <v/>
      </c>
      <c r="BV190" s="109" t="str">
        <f t="shared" si="9"/>
        <v/>
      </c>
      <c r="BW190" s="83" t="str">
        <f t="shared" si="10"/>
        <v/>
      </c>
      <c r="BX190" s="106"/>
      <c r="BY190" s="107"/>
      <c r="BZ190" s="113" t="str">
        <f t="shared" si="5"/>
        <v/>
      </c>
      <c r="CA190" s="113" t="str">
        <f t="array" ref="CA190">IF($A190&lt;&gt;"",INDEX(LISTA!$M$2:$N$27,MATCH($BC190,LISTA!$N$2:$N$27,0),1),"")</f>
        <v/>
      </c>
      <c r="CB190" s="54" t="str">
        <f t="shared" si="6"/>
        <v/>
      </c>
      <c r="CC190" s="86" t="str">
        <f t="shared" si="7"/>
        <v/>
      </c>
    </row>
    <row r="191" ht="15.0" customHeight="1">
      <c r="A191" s="50"/>
      <c r="B191" s="53"/>
      <c r="C191" s="54"/>
      <c r="D191" s="56"/>
      <c r="E191" s="57"/>
      <c r="F191" s="54"/>
      <c r="G191" s="60"/>
      <c r="H191" s="63"/>
      <c r="I191" s="67"/>
      <c r="J191" s="70"/>
      <c r="K191" s="54"/>
      <c r="L191" s="70"/>
      <c r="M191" s="77"/>
      <c r="N191" s="78"/>
      <c r="O191" s="80"/>
      <c r="P191" s="70"/>
      <c r="Q191" s="54"/>
      <c r="R191" s="84"/>
      <c r="S191" s="84"/>
      <c r="T191" s="54"/>
      <c r="U191" s="86"/>
      <c r="V191" s="54"/>
      <c r="W191" s="86"/>
      <c r="X191" s="54"/>
      <c r="Y191" s="78"/>
      <c r="Z191" s="54"/>
      <c r="AA191" s="70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54"/>
      <c r="AR191" s="83"/>
      <c r="AS191" s="83"/>
      <c r="AT191" s="93"/>
      <c r="AU191" s="93"/>
      <c r="AV191" s="93"/>
      <c r="AW191" s="83"/>
      <c r="AX191" s="83"/>
      <c r="AY191" s="83"/>
      <c r="AZ191" s="83"/>
      <c r="BA191" s="83"/>
      <c r="BB191" s="83"/>
      <c r="BC191" s="54"/>
      <c r="BD191" s="54" t="str">
        <f t="shared" si="1"/>
        <v/>
      </c>
      <c r="BE191" s="54"/>
      <c r="BF191" s="95"/>
      <c r="BG191" s="95"/>
      <c r="BH191" s="54"/>
      <c r="BI191" s="67"/>
      <c r="BJ191" s="67"/>
      <c r="BK191" s="54"/>
      <c r="BL191" s="54"/>
      <c r="BM191" s="54"/>
      <c r="BN191" s="104"/>
      <c r="BO191" s="83"/>
      <c r="BP191" s="54"/>
      <c r="BQ191" s="70"/>
      <c r="BR191" s="67"/>
      <c r="BS191" s="83"/>
      <c r="BT191" s="83"/>
      <c r="BU191" s="109" t="str">
        <f t="shared" si="8"/>
        <v/>
      </c>
      <c r="BV191" s="109" t="str">
        <f t="shared" si="9"/>
        <v/>
      </c>
      <c r="BW191" s="83" t="str">
        <f t="shared" si="10"/>
        <v/>
      </c>
      <c r="BX191" s="106"/>
      <c r="BY191" s="107"/>
      <c r="BZ191" s="113" t="str">
        <f t="shared" si="5"/>
        <v/>
      </c>
      <c r="CA191" s="113" t="str">
        <f t="array" ref="CA191">IF($A191&lt;&gt;"",INDEX(LISTA!$M$2:$N$27,MATCH($BC191,LISTA!$N$2:$N$27,0),1),"")</f>
        <v/>
      </c>
      <c r="CB191" s="54" t="str">
        <f t="shared" si="6"/>
        <v/>
      </c>
      <c r="CC191" s="86" t="str">
        <f t="shared" si="7"/>
        <v/>
      </c>
    </row>
    <row r="192" ht="15.0" customHeight="1">
      <c r="A192" s="50"/>
      <c r="B192" s="53"/>
      <c r="C192" s="54"/>
      <c r="D192" s="56"/>
      <c r="E192" s="57"/>
      <c r="F192" s="54"/>
      <c r="G192" s="60"/>
      <c r="H192" s="63"/>
      <c r="I192" s="67"/>
      <c r="J192" s="70"/>
      <c r="K192" s="54"/>
      <c r="L192" s="70"/>
      <c r="M192" s="77"/>
      <c r="N192" s="78"/>
      <c r="O192" s="80"/>
      <c r="P192" s="70"/>
      <c r="Q192" s="54"/>
      <c r="R192" s="84"/>
      <c r="S192" s="84"/>
      <c r="T192" s="54"/>
      <c r="U192" s="86"/>
      <c r="V192" s="54"/>
      <c r="W192" s="86"/>
      <c r="X192" s="54"/>
      <c r="Y192" s="78"/>
      <c r="Z192" s="54"/>
      <c r="AA192" s="70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54"/>
      <c r="AR192" s="83"/>
      <c r="AS192" s="83"/>
      <c r="AT192" s="93"/>
      <c r="AU192" s="93"/>
      <c r="AV192" s="93"/>
      <c r="AW192" s="83"/>
      <c r="AX192" s="83"/>
      <c r="AY192" s="83"/>
      <c r="AZ192" s="83"/>
      <c r="BA192" s="83"/>
      <c r="BB192" s="83"/>
      <c r="BC192" s="54"/>
      <c r="BD192" s="54" t="str">
        <f t="shared" si="1"/>
        <v/>
      </c>
      <c r="BE192" s="54"/>
      <c r="BF192" s="95"/>
      <c r="BG192" s="95"/>
      <c r="BH192" s="54"/>
      <c r="BI192" s="67"/>
      <c r="BJ192" s="67"/>
      <c r="BK192" s="54"/>
      <c r="BL192" s="54"/>
      <c r="BM192" s="54"/>
      <c r="BN192" s="104"/>
      <c r="BO192" s="83"/>
      <c r="BP192" s="54"/>
      <c r="BQ192" s="70"/>
      <c r="BR192" s="67"/>
      <c r="BS192" s="83"/>
      <c r="BT192" s="83"/>
      <c r="BU192" s="109" t="str">
        <f t="shared" si="8"/>
        <v/>
      </c>
      <c r="BV192" s="109" t="str">
        <f t="shared" si="9"/>
        <v/>
      </c>
      <c r="BW192" s="83" t="str">
        <f t="shared" si="10"/>
        <v/>
      </c>
      <c r="BX192" s="106"/>
      <c r="BY192" s="107"/>
      <c r="BZ192" s="113" t="str">
        <f t="shared" si="5"/>
        <v/>
      </c>
      <c r="CA192" s="113" t="str">
        <f t="array" ref="CA192">IF($A192&lt;&gt;"",INDEX(LISTA!$M$2:$N$27,MATCH($BC192,LISTA!$N$2:$N$27,0),1),"")</f>
        <v/>
      </c>
      <c r="CB192" s="54" t="str">
        <f t="shared" si="6"/>
        <v/>
      </c>
      <c r="CC192" s="86" t="str">
        <f t="shared" si="7"/>
        <v/>
      </c>
    </row>
    <row r="193" ht="15.0" customHeight="1">
      <c r="A193" s="50"/>
      <c r="B193" s="53"/>
      <c r="C193" s="54"/>
      <c r="D193" s="56"/>
      <c r="E193" s="57"/>
      <c r="F193" s="54"/>
      <c r="G193" s="60"/>
      <c r="H193" s="63"/>
      <c r="I193" s="67"/>
      <c r="J193" s="70"/>
      <c r="K193" s="54"/>
      <c r="L193" s="70"/>
      <c r="M193" s="77"/>
      <c r="N193" s="78"/>
      <c r="O193" s="80"/>
      <c r="P193" s="70"/>
      <c r="Q193" s="54"/>
      <c r="R193" s="84"/>
      <c r="S193" s="84"/>
      <c r="T193" s="54"/>
      <c r="U193" s="86"/>
      <c r="V193" s="54"/>
      <c r="W193" s="86"/>
      <c r="X193" s="54"/>
      <c r="Y193" s="78"/>
      <c r="Z193" s="54"/>
      <c r="AA193" s="70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54"/>
      <c r="AR193" s="83"/>
      <c r="AS193" s="83"/>
      <c r="AT193" s="93"/>
      <c r="AU193" s="93"/>
      <c r="AV193" s="93"/>
      <c r="AW193" s="83"/>
      <c r="AX193" s="83"/>
      <c r="AY193" s="83"/>
      <c r="AZ193" s="83"/>
      <c r="BA193" s="83"/>
      <c r="BB193" s="83"/>
      <c r="BC193" s="54"/>
      <c r="BD193" s="54" t="str">
        <f t="shared" si="1"/>
        <v/>
      </c>
      <c r="BE193" s="54"/>
      <c r="BF193" s="95"/>
      <c r="BG193" s="95"/>
      <c r="BH193" s="54"/>
      <c r="BI193" s="67"/>
      <c r="BJ193" s="67"/>
      <c r="BK193" s="54"/>
      <c r="BL193" s="54"/>
      <c r="BM193" s="54"/>
      <c r="BN193" s="104"/>
      <c r="BO193" s="83"/>
      <c r="BP193" s="54"/>
      <c r="BQ193" s="70"/>
      <c r="BR193" s="67"/>
      <c r="BS193" s="83"/>
      <c r="BT193" s="83"/>
      <c r="BU193" s="109" t="str">
        <f t="shared" si="8"/>
        <v/>
      </c>
      <c r="BV193" s="109" t="str">
        <f t="shared" si="9"/>
        <v/>
      </c>
      <c r="BW193" s="83" t="str">
        <f t="shared" si="10"/>
        <v/>
      </c>
      <c r="BX193" s="106"/>
      <c r="BY193" s="107"/>
      <c r="BZ193" s="113" t="str">
        <f t="shared" si="5"/>
        <v/>
      </c>
      <c r="CA193" s="113" t="str">
        <f t="array" ref="CA193">IF($A193&lt;&gt;"",INDEX(LISTA!$M$2:$N$27,MATCH($BC193,LISTA!$N$2:$N$27,0),1),"")</f>
        <v/>
      </c>
      <c r="CB193" s="54" t="str">
        <f t="shared" si="6"/>
        <v/>
      </c>
      <c r="CC193" s="86" t="str">
        <f t="shared" si="7"/>
        <v/>
      </c>
    </row>
    <row r="194" ht="15.0" customHeight="1">
      <c r="A194" s="50"/>
      <c r="B194" s="53"/>
      <c r="C194" s="54"/>
      <c r="D194" s="56"/>
      <c r="E194" s="57"/>
      <c r="F194" s="54"/>
      <c r="G194" s="60"/>
      <c r="H194" s="63"/>
      <c r="I194" s="67"/>
      <c r="J194" s="70"/>
      <c r="K194" s="54"/>
      <c r="L194" s="70"/>
      <c r="M194" s="77"/>
      <c r="N194" s="78"/>
      <c r="O194" s="80"/>
      <c r="P194" s="70"/>
      <c r="Q194" s="54"/>
      <c r="R194" s="84"/>
      <c r="S194" s="84"/>
      <c r="T194" s="54"/>
      <c r="U194" s="86"/>
      <c r="V194" s="54"/>
      <c r="W194" s="86"/>
      <c r="X194" s="54"/>
      <c r="Y194" s="78"/>
      <c r="Z194" s="54"/>
      <c r="AA194" s="70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54"/>
      <c r="AR194" s="83"/>
      <c r="AS194" s="83"/>
      <c r="AT194" s="93"/>
      <c r="AU194" s="93"/>
      <c r="AV194" s="93"/>
      <c r="AW194" s="83"/>
      <c r="AX194" s="83"/>
      <c r="AY194" s="83"/>
      <c r="AZ194" s="83"/>
      <c r="BA194" s="83"/>
      <c r="BB194" s="83"/>
      <c r="BC194" s="54"/>
      <c r="BD194" s="54" t="str">
        <f t="shared" si="1"/>
        <v/>
      </c>
      <c r="BE194" s="54"/>
      <c r="BF194" s="95"/>
      <c r="BG194" s="95"/>
      <c r="BH194" s="54"/>
      <c r="BI194" s="67"/>
      <c r="BJ194" s="67"/>
      <c r="BK194" s="54"/>
      <c r="BL194" s="54"/>
      <c r="BM194" s="54"/>
      <c r="BN194" s="104"/>
      <c r="BO194" s="83"/>
      <c r="BP194" s="54"/>
      <c r="BQ194" s="70"/>
      <c r="BR194" s="67"/>
      <c r="BS194" s="83"/>
      <c r="BT194" s="83"/>
      <c r="BU194" s="109" t="str">
        <f t="shared" si="8"/>
        <v/>
      </c>
      <c r="BV194" s="109" t="str">
        <f t="shared" si="9"/>
        <v/>
      </c>
      <c r="BW194" s="83" t="str">
        <f t="shared" si="10"/>
        <v/>
      </c>
      <c r="BX194" s="106"/>
      <c r="BY194" s="107"/>
      <c r="BZ194" s="113" t="str">
        <f t="shared" si="5"/>
        <v/>
      </c>
      <c r="CA194" s="113" t="str">
        <f t="array" ref="CA194">IF($A194&lt;&gt;"",INDEX(LISTA!$M$2:$N$27,MATCH($BC194,LISTA!$N$2:$N$27,0),1),"")</f>
        <v/>
      </c>
      <c r="CB194" s="54" t="str">
        <f t="shared" si="6"/>
        <v/>
      </c>
      <c r="CC194" s="86" t="str">
        <f t="shared" si="7"/>
        <v/>
      </c>
    </row>
    <row r="195" ht="15.0" customHeight="1">
      <c r="A195" s="50"/>
      <c r="B195" s="53"/>
      <c r="C195" s="54"/>
      <c r="D195" s="56"/>
      <c r="E195" s="57"/>
      <c r="F195" s="54"/>
      <c r="G195" s="60"/>
      <c r="H195" s="63"/>
      <c r="I195" s="67"/>
      <c r="J195" s="70"/>
      <c r="K195" s="54"/>
      <c r="L195" s="70"/>
      <c r="M195" s="77"/>
      <c r="N195" s="78"/>
      <c r="O195" s="80"/>
      <c r="P195" s="70"/>
      <c r="Q195" s="54"/>
      <c r="R195" s="84"/>
      <c r="S195" s="84"/>
      <c r="T195" s="54"/>
      <c r="U195" s="86"/>
      <c r="V195" s="54"/>
      <c r="W195" s="86"/>
      <c r="X195" s="54"/>
      <c r="Y195" s="78"/>
      <c r="Z195" s="54"/>
      <c r="AA195" s="70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54"/>
      <c r="AR195" s="83"/>
      <c r="AS195" s="83"/>
      <c r="AT195" s="93"/>
      <c r="AU195" s="93"/>
      <c r="AV195" s="93"/>
      <c r="AW195" s="83"/>
      <c r="AX195" s="83"/>
      <c r="AY195" s="83"/>
      <c r="AZ195" s="83"/>
      <c r="BA195" s="83"/>
      <c r="BB195" s="83"/>
      <c r="BC195" s="54"/>
      <c r="BD195" s="54" t="str">
        <f t="shared" si="1"/>
        <v/>
      </c>
      <c r="BE195" s="54"/>
      <c r="BF195" s="95"/>
      <c r="BG195" s="95"/>
      <c r="BH195" s="54"/>
      <c r="BI195" s="67"/>
      <c r="BJ195" s="67"/>
      <c r="BK195" s="54"/>
      <c r="BL195" s="54"/>
      <c r="BM195" s="54"/>
      <c r="BN195" s="104"/>
      <c r="BO195" s="83"/>
      <c r="BP195" s="54"/>
      <c r="BQ195" s="70"/>
      <c r="BR195" s="67"/>
      <c r="BS195" s="83"/>
      <c r="BT195" s="83"/>
      <c r="BU195" s="109" t="str">
        <f t="shared" si="8"/>
        <v/>
      </c>
      <c r="BV195" s="109" t="str">
        <f t="shared" si="9"/>
        <v/>
      </c>
      <c r="BW195" s="83" t="str">
        <f t="shared" si="10"/>
        <v/>
      </c>
      <c r="BX195" s="106"/>
      <c r="BY195" s="107"/>
      <c r="BZ195" s="113" t="str">
        <f t="shared" si="5"/>
        <v/>
      </c>
      <c r="CA195" s="113" t="str">
        <f t="array" ref="CA195">IF($A195&lt;&gt;"",INDEX(LISTA!$M$2:$N$27,MATCH($BC195,LISTA!$N$2:$N$27,0),1),"")</f>
        <v/>
      </c>
      <c r="CB195" s="54" t="str">
        <f t="shared" si="6"/>
        <v/>
      </c>
      <c r="CC195" s="86" t="str">
        <f t="shared" si="7"/>
        <v/>
      </c>
    </row>
    <row r="196" ht="15.0" customHeight="1">
      <c r="A196" s="50"/>
      <c r="B196" s="53"/>
      <c r="C196" s="54"/>
      <c r="D196" s="56"/>
      <c r="E196" s="57"/>
      <c r="F196" s="54"/>
      <c r="G196" s="60"/>
      <c r="H196" s="63"/>
      <c r="I196" s="67"/>
      <c r="J196" s="70"/>
      <c r="K196" s="54"/>
      <c r="L196" s="70"/>
      <c r="M196" s="77"/>
      <c r="N196" s="78"/>
      <c r="O196" s="80"/>
      <c r="P196" s="70"/>
      <c r="Q196" s="54"/>
      <c r="R196" s="84"/>
      <c r="S196" s="84"/>
      <c r="T196" s="54"/>
      <c r="U196" s="86"/>
      <c r="V196" s="54"/>
      <c r="W196" s="86"/>
      <c r="X196" s="54"/>
      <c r="Y196" s="78"/>
      <c r="Z196" s="54"/>
      <c r="AA196" s="70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54"/>
      <c r="AR196" s="83"/>
      <c r="AS196" s="83"/>
      <c r="AT196" s="93"/>
      <c r="AU196" s="93"/>
      <c r="AV196" s="93"/>
      <c r="AW196" s="83"/>
      <c r="AX196" s="83"/>
      <c r="AY196" s="83"/>
      <c r="AZ196" s="83"/>
      <c r="BA196" s="83"/>
      <c r="BB196" s="83"/>
      <c r="BC196" s="54"/>
      <c r="BD196" s="54" t="str">
        <f t="shared" si="1"/>
        <v/>
      </c>
      <c r="BE196" s="54"/>
      <c r="BF196" s="95"/>
      <c r="BG196" s="95"/>
      <c r="BH196" s="54"/>
      <c r="BI196" s="67"/>
      <c r="BJ196" s="67"/>
      <c r="BK196" s="54"/>
      <c r="BL196" s="54"/>
      <c r="BM196" s="54"/>
      <c r="BN196" s="104"/>
      <c r="BO196" s="83"/>
      <c r="BP196" s="54"/>
      <c r="BQ196" s="70"/>
      <c r="BR196" s="67"/>
      <c r="BS196" s="83"/>
      <c r="BT196" s="83"/>
      <c r="BU196" s="109" t="str">
        <f t="shared" si="8"/>
        <v/>
      </c>
      <c r="BV196" s="109" t="str">
        <f t="shared" si="9"/>
        <v/>
      </c>
      <c r="BW196" s="83" t="str">
        <f t="shared" si="10"/>
        <v/>
      </c>
      <c r="BX196" s="106"/>
      <c r="BY196" s="107"/>
      <c r="BZ196" s="113" t="str">
        <f t="shared" si="5"/>
        <v/>
      </c>
      <c r="CA196" s="113" t="str">
        <f t="array" ref="CA196">IF($A196&lt;&gt;"",INDEX(LISTA!$M$2:$N$27,MATCH($BC196,LISTA!$N$2:$N$27,0),1),"")</f>
        <v/>
      </c>
      <c r="CB196" s="54" t="str">
        <f t="shared" si="6"/>
        <v/>
      </c>
      <c r="CC196" s="86" t="str">
        <f t="shared" si="7"/>
        <v/>
      </c>
    </row>
    <row r="197" ht="15.0" customHeight="1">
      <c r="A197" s="50"/>
      <c r="B197" s="53"/>
      <c r="C197" s="54"/>
      <c r="D197" s="56"/>
      <c r="E197" s="57"/>
      <c r="F197" s="54"/>
      <c r="G197" s="60"/>
      <c r="H197" s="63"/>
      <c r="I197" s="67"/>
      <c r="J197" s="70"/>
      <c r="K197" s="54"/>
      <c r="L197" s="70"/>
      <c r="M197" s="77"/>
      <c r="N197" s="78"/>
      <c r="O197" s="80"/>
      <c r="P197" s="70"/>
      <c r="Q197" s="54"/>
      <c r="R197" s="84"/>
      <c r="S197" s="84"/>
      <c r="T197" s="54"/>
      <c r="U197" s="86"/>
      <c r="V197" s="54"/>
      <c r="W197" s="86"/>
      <c r="X197" s="54"/>
      <c r="Y197" s="78"/>
      <c r="Z197" s="54"/>
      <c r="AA197" s="70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54"/>
      <c r="AR197" s="83"/>
      <c r="AS197" s="83"/>
      <c r="AT197" s="93"/>
      <c r="AU197" s="93"/>
      <c r="AV197" s="93"/>
      <c r="AW197" s="83"/>
      <c r="AX197" s="83"/>
      <c r="AY197" s="83"/>
      <c r="AZ197" s="83"/>
      <c r="BA197" s="83"/>
      <c r="BB197" s="83"/>
      <c r="BC197" s="54"/>
      <c r="BD197" s="54" t="str">
        <f t="shared" si="1"/>
        <v/>
      </c>
      <c r="BE197" s="54"/>
      <c r="BF197" s="95"/>
      <c r="BG197" s="95"/>
      <c r="BH197" s="54"/>
      <c r="BI197" s="67"/>
      <c r="BJ197" s="67"/>
      <c r="BK197" s="54"/>
      <c r="BL197" s="54"/>
      <c r="BM197" s="54"/>
      <c r="BN197" s="104"/>
      <c r="BO197" s="83"/>
      <c r="BP197" s="54"/>
      <c r="BQ197" s="70"/>
      <c r="BR197" s="67"/>
      <c r="BS197" s="83"/>
      <c r="BT197" s="83"/>
      <c r="BU197" s="109" t="str">
        <f t="shared" si="8"/>
        <v/>
      </c>
      <c r="BV197" s="109" t="str">
        <f t="shared" si="9"/>
        <v/>
      </c>
      <c r="BW197" s="83" t="str">
        <f t="shared" si="10"/>
        <v/>
      </c>
      <c r="BX197" s="106"/>
      <c r="BY197" s="107"/>
      <c r="BZ197" s="113" t="str">
        <f t="shared" si="5"/>
        <v/>
      </c>
      <c r="CA197" s="113" t="str">
        <f t="array" ref="CA197">IF($A197&lt;&gt;"",INDEX(LISTA!$M$2:$N$27,MATCH($BC197,LISTA!$N$2:$N$27,0),1),"")</f>
        <v/>
      </c>
      <c r="CB197" s="54" t="str">
        <f t="shared" si="6"/>
        <v/>
      </c>
      <c r="CC197" s="86" t="str">
        <f t="shared" si="7"/>
        <v/>
      </c>
    </row>
    <row r="198" ht="15.0" customHeight="1">
      <c r="A198" s="50"/>
      <c r="B198" s="53"/>
      <c r="C198" s="54"/>
      <c r="D198" s="56"/>
      <c r="E198" s="57"/>
      <c r="F198" s="54"/>
      <c r="G198" s="60"/>
      <c r="H198" s="63"/>
      <c r="I198" s="67"/>
      <c r="J198" s="70"/>
      <c r="K198" s="54"/>
      <c r="L198" s="70"/>
      <c r="M198" s="77"/>
      <c r="N198" s="78"/>
      <c r="O198" s="80"/>
      <c r="P198" s="70"/>
      <c r="Q198" s="54"/>
      <c r="R198" s="84"/>
      <c r="S198" s="84"/>
      <c r="T198" s="54"/>
      <c r="U198" s="86"/>
      <c r="V198" s="54"/>
      <c r="W198" s="86"/>
      <c r="X198" s="54"/>
      <c r="Y198" s="78"/>
      <c r="Z198" s="54"/>
      <c r="AA198" s="70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54"/>
      <c r="AR198" s="83"/>
      <c r="AS198" s="83"/>
      <c r="AT198" s="93"/>
      <c r="AU198" s="93"/>
      <c r="AV198" s="93"/>
      <c r="AW198" s="83"/>
      <c r="AX198" s="83"/>
      <c r="AY198" s="83"/>
      <c r="AZ198" s="83"/>
      <c r="BA198" s="83"/>
      <c r="BB198" s="83"/>
      <c r="BC198" s="54"/>
      <c r="BD198" s="54" t="str">
        <f t="shared" si="1"/>
        <v/>
      </c>
      <c r="BE198" s="54"/>
      <c r="BF198" s="95"/>
      <c r="BG198" s="95"/>
      <c r="BH198" s="54"/>
      <c r="BI198" s="67"/>
      <c r="BJ198" s="67"/>
      <c r="BK198" s="54"/>
      <c r="BL198" s="54"/>
      <c r="BM198" s="54"/>
      <c r="BN198" s="104"/>
      <c r="BO198" s="83"/>
      <c r="BP198" s="54"/>
      <c r="BQ198" s="70"/>
      <c r="BR198" s="67"/>
      <c r="BS198" s="83"/>
      <c r="BT198" s="83"/>
      <c r="BU198" s="109" t="str">
        <f t="shared" si="8"/>
        <v/>
      </c>
      <c r="BV198" s="109" t="str">
        <f t="shared" si="9"/>
        <v/>
      </c>
      <c r="BW198" s="83" t="str">
        <f t="shared" si="10"/>
        <v/>
      </c>
      <c r="BX198" s="106"/>
      <c r="BY198" s="107"/>
      <c r="BZ198" s="113" t="str">
        <f t="shared" si="5"/>
        <v/>
      </c>
      <c r="CA198" s="113" t="str">
        <f t="array" ref="CA198">IF($A198&lt;&gt;"",INDEX(LISTA!$M$2:$N$27,MATCH($BC198,LISTA!$N$2:$N$27,0),1),"")</f>
        <v/>
      </c>
      <c r="CB198" s="54" t="str">
        <f t="shared" si="6"/>
        <v/>
      </c>
      <c r="CC198" s="86" t="str">
        <f t="shared" si="7"/>
        <v/>
      </c>
    </row>
    <row r="199" ht="15.0" customHeight="1">
      <c r="A199" s="50"/>
      <c r="B199" s="53"/>
      <c r="C199" s="54"/>
      <c r="D199" s="56"/>
      <c r="E199" s="57"/>
      <c r="F199" s="54"/>
      <c r="G199" s="60"/>
      <c r="H199" s="63"/>
      <c r="I199" s="67"/>
      <c r="J199" s="70"/>
      <c r="K199" s="54"/>
      <c r="L199" s="70"/>
      <c r="M199" s="77"/>
      <c r="N199" s="78"/>
      <c r="O199" s="80"/>
      <c r="P199" s="70"/>
      <c r="Q199" s="54"/>
      <c r="R199" s="84"/>
      <c r="S199" s="84"/>
      <c r="T199" s="54"/>
      <c r="U199" s="86"/>
      <c r="V199" s="54"/>
      <c r="W199" s="86"/>
      <c r="X199" s="54"/>
      <c r="Y199" s="78"/>
      <c r="Z199" s="54"/>
      <c r="AA199" s="70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54"/>
      <c r="AR199" s="83"/>
      <c r="AS199" s="83"/>
      <c r="AT199" s="93"/>
      <c r="AU199" s="93"/>
      <c r="AV199" s="93"/>
      <c r="AW199" s="83"/>
      <c r="AX199" s="83"/>
      <c r="AY199" s="83"/>
      <c r="AZ199" s="83"/>
      <c r="BA199" s="83"/>
      <c r="BB199" s="83"/>
      <c r="BC199" s="54"/>
      <c r="BD199" s="54" t="str">
        <f t="shared" si="1"/>
        <v/>
      </c>
      <c r="BE199" s="54"/>
      <c r="BF199" s="95"/>
      <c r="BG199" s="95"/>
      <c r="BH199" s="54"/>
      <c r="BI199" s="67"/>
      <c r="BJ199" s="67"/>
      <c r="BK199" s="54"/>
      <c r="BL199" s="54"/>
      <c r="BM199" s="54"/>
      <c r="BN199" s="104"/>
      <c r="BO199" s="83"/>
      <c r="BP199" s="54"/>
      <c r="BQ199" s="70"/>
      <c r="BR199" s="67"/>
      <c r="BS199" s="83"/>
      <c r="BT199" s="83"/>
      <c r="BU199" s="109" t="str">
        <f t="shared" si="8"/>
        <v/>
      </c>
      <c r="BV199" s="109" t="str">
        <f t="shared" si="9"/>
        <v/>
      </c>
      <c r="BW199" s="83" t="str">
        <f t="shared" si="10"/>
        <v/>
      </c>
      <c r="BX199" s="106"/>
      <c r="BY199" s="107"/>
      <c r="BZ199" s="113" t="str">
        <f t="shared" si="5"/>
        <v/>
      </c>
      <c r="CA199" s="113" t="str">
        <f t="array" ref="CA199">IF($A199&lt;&gt;"",INDEX(LISTA!$M$2:$N$27,MATCH($BC199,LISTA!$N$2:$N$27,0),1),"")</f>
        <v/>
      </c>
      <c r="CB199" s="54" t="str">
        <f t="shared" si="6"/>
        <v/>
      </c>
      <c r="CC199" s="86" t="str">
        <f t="shared" si="7"/>
        <v/>
      </c>
    </row>
    <row r="200" ht="15.0" customHeight="1">
      <c r="A200" s="50"/>
      <c r="B200" s="53"/>
      <c r="C200" s="54"/>
      <c r="D200" s="56"/>
      <c r="E200" s="57"/>
      <c r="F200" s="54"/>
      <c r="G200" s="60"/>
      <c r="H200" s="63"/>
      <c r="I200" s="67"/>
      <c r="J200" s="70"/>
      <c r="K200" s="54"/>
      <c r="L200" s="70"/>
      <c r="M200" s="77"/>
      <c r="N200" s="78"/>
      <c r="O200" s="80"/>
      <c r="P200" s="70"/>
      <c r="Q200" s="54"/>
      <c r="R200" s="84"/>
      <c r="S200" s="84"/>
      <c r="T200" s="54"/>
      <c r="U200" s="86"/>
      <c r="V200" s="54"/>
      <c r="W200" s="86"/>
      <c r="X200" s="54"/>
      <c r="Y200" s="78"/>
      <c r="Z200" s="54"/>
      <c r="AA200" s="70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54"/>
      <c r="AR200" s="83"/>
      <c r="AS200" s="83"/>
      <c r="AT200" s="93"/>
      <c r="AU200" s="93"/>
      <c r="AV200" s="93"/>
      <c r="AW200" s="83"/>
      <c r="AX200" s="83"/>
      <c r="AY200" s="83"/>
      <c r="AZ200" s="83"/>
      <c r="BA200" s="83"/>
      <c r="BB200" s="83"/>
      <c r="BC200" s="54"/>
      <c r="BD200" s="54" t="str">
        <f t="shared" si="1"/>
        <v/>
      </c>
      <c r="BE200" s="54"/>
      <c r="BF200" s="95"/>
      <c r="BG200" s="95"/>
      <c r="BH200" s="54"/>
      <c r="BI200" s="67"/>
      <c r="BJ200" s="67"/>
      <c r="BK200" s="54"/>
      <c r="BL200" s="54"/>
      <c r="BM200" s="54"/>
      <c r="BN200" s="104"/>
      <c r="BO200" s="83"/>
      <c r="BP200" s="54"/>
      <c r="BQ200" s="70"/>
      <c r="BR200" s="67"/>
      <c r="BS200" s="83"/>
      <c r="BT200" s="83"/>
      <c r="BU200" s="109" t="str">
        <f t="shared" si="8"/>
        <v/>
      </c>
      <c r="BV200" s="109" t="str">
        <f t="shared" si="9"/>
        <v/>
      </c>
      <c r="BW200" s="83" t="str">
        <f t="shared" si="10"/>
        <v/>
      </c>
      <c r="BX200" s="106"/>
      <c r="BY200" s="107"/>
      <c r="BZ200" s="113" t="str">
        <f t="shared" si="5"/>
        <v/>
      </c>
      <c r="CA200" s="113" t="str">
        <f t="array" ref="CA200">IF($A200&lt;&gt;"",INDEX(LISTA!$M$2:$N$27,MATCH($BC200,LISTA!$N$2:$N$27,0),1),"")</f>
        <v/>
      </c>
      <c r="CB200" s="54" t="str">
        <f t="shared" si="6"/>
        <v/>
      </c>
      <c r="CC200" s="86" t="str">
        <f t="shared" si="7"/>
        <v/>
      </c>
    </row>
    <row r="201" ht="15.0" customHeight="1">
      <c r="A201" s="50"/>
      <c r="B201" s="53"/>
      <c r="C201" s="54"/>
      <c r="D201" s="56"/>
      <c r="E201" s="57"/>
      <c r="F201" s="54"/>
      <c r="G201" s="60"/>
      <c r="H201" s="63"/>
      <c r="I201" s="67"/>
      <c r="J201" s="70"/>
      <c r="K201" s="54"/>
      <c r="L201" s="70"/>
      <c r="M201" s="77"/>
      <c r="N201" s="78"/>
      <c r="O201" s="80"/>
      <c r="P201" s="70"/>
      <c r="Q201" s="54"/>
      <c r="R201" s="84"/>
      <c r="S201" s="84"/>
      <c r="T201" s="54"/>
      <c r="U201" s="86"/>
      <c r="V201" s="54"/>
      <c r="W201" s="86"/>
      <c r="X201" s="54"/>
      <c r="Y201" s="78"/>
      <c r="Z201" s="54"/>
      <c r="AA201" s="70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54"/>
      <c r="AR201" s="83"/>
      <c r="AS201" s="83"/>
      <c r="AT201" s="93"/>
      <c r="AU201" s="93"/>
      <c r="AV201" s="93"/>
      <c r="AW201" s="83"/>
      <c r="AX201" s="83"/>
      <c r="AY201" s="83"/>
      <c r="AZ201" s="83"/>
      <c r="BA201" s="83"/>
      <c r="BB201" s="83"/>
      <c r="BC201" s="54"/>
      <c r="BD201" s="54" t="str">
        <f t="shared" si="1"/>
        <v/>
      </c>
      <c r="BE201" s="54"/>
      <c r="BF201" s="95"/>
      <c r="BG201" s="95"/>
      <c r="BH201" s="54"/>
      <c r="BI201" s="67"/>
      <c r="BJ201" s="67"/>
      <c r="BK201" s="54"/>
      <c r="BL201" s="54"/>
      <c r="BM201" s="54"/>
      <c r="BN201" s="104"/>
      <c r="BO201" s="83"/>
      <c r="BP201" s="54"/>
      <c r="BQ201" s="70"/>
      <c r="BR201" s="67"/>
      <c r="BS201" s="83"/>
      <c r="BT201" s="83"/>
      <c r="BU201" s="109" t="str">
        <f t="shared" si="8"/>
        <v/>
      </c>
      <c r="BV201" s="109" t="str">
        <f t="shared" si="9"/>
        <v/>
      </c>
      <c r="BW201" s="83" t="str">
        <f t="shared" si="10"/>
        <v/>
      </c>
      <c r="BX201" s="106"/>
      <c r="BY201" s="107"/>
      <c r="BZ201" s="113" t="str">
        <f t="shared" si="5"/>
        <v/>
      </c>
      <c r="CA201" s="113" t="str">
        <f t="array" ref="CA201">IF($A201&lt;&gt;"",INDEX(LISTA!$M$2:$N$27,MATCH($BC201,LISTA!$N$2:$N$27,0),1),"")</f>
        <v/>
      </c>
      <c r="CB201" s="54" t="str">
        <f t="shared" si="6"/>
        <v/>
      </c>
      <c r="CC201" s="86" t="str">
        <f t="shared" si="7"/>
        <v/>
      </c>
    </row>
    <row r="202" ht="15.0" customHeight="1">
      <c r="A202" s="50"/>
      <c r="B202" s="53"/>
      <c r="C202" s="54"/>
      <c r="D202" s="56"/>
      <c r="E202" s="57"/>
      <c r="F202" s="54"/>
      <c r="G202" s="60"/>
      <c r="H202" s="63"/>
      <c r="I202" s="67"/>
      <c r="J202" s="70"/>
      <c r="K202" s="54"/>
      <c r="L202" s="70"/>
      <c r="M202" s="77"/>
      <c r="N202" s="78"/>
      <c r="O202" s="80"/>
      <c r="P202" s="70"/>
      <c r="Q202" s="54"/>
      <c r="R202" s="84"/>
      <c r="S202" s="84"/>
      <c r="T202" s="54"/>
      <c r="U202" s="86"/>
      <c r="V202" s="54"/>
      <c r="W202" s="86"/>
      <c r="X202" s="54"/>
      <c r="Y202" s="78"/>
      <c r="Z202" s="54"/>
      <c r="AA202" s="70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54"/>
      <c r="AR202" s="83"/>
      <c r="AS202" s="83"/>
      <c r="AT202" s="93"/>
      <c r="AU202" s="93"/>
      <c r="AV202" s="93"/>
      <c r="AW202" s="83"/>
      <c r="AX202" s="83"/>
      <c r="AY202" s="83"/>
      <c r="AZ202" s="83"/>
      <c r="BA202" s="83"/>
      <c r="BB202" s="83"/>
      <c r="BC202" s="54"/>
      <c r="BD202" s="54" t="str">
        <f t="shared" si="1"/>
        <v/>
      </c>
      <c r="BE202" s="54"/>
      <c r="BF202" s="95"/>
      <c r="BG202" s="95"/>
      <c r="BH202" s="54"/>
      <c r="BI202" s="67"/>
      <c r="BJ202" s="67"/>
      <c r="BK202" s="54"/>
      <c r="BL202" s="54"/>
      <c r="BM202" s="54"/>
      <c r="BN202" s="104"/>
      <c r="BO202" s="83"/>
      <c r="BP202" s="54"/>
      <c r="BQ202" s="70"/>
      <c r="BR202" s="67"/>
      <c r="BS202" s="83"/>
      <c r="BT202" s="83"/>
      <c r="BU202" s="109" t="str">
        <f t="shared" si="8"/>
        <v/>
      </c>
      <c r="BV202" s="109" t="str">
        <f t="shared" si="9"/>
        <v/>
      </c>
      <c r="BW202" s="83" t="str">
        <f t="shared" si="10"/>
        <v/>
      </c>
      <c r="BX202" s="106"/>
      <c r="BY202" s="107"/>
      <c r="BZ202" s="113" t="str">
        <f t="shared" si="5"/>
        <v/>
      </c>
      <c r="CA202" s="113" t="str">
        <f t="array" ref="CA202">IF($A202&lt;&gt;"",INDEX(LISTA!$M$2:$N$27,MATCH($BC202,LISTA!$N$2:$N$27,0),1),"")</f>
        <v/>
      </c>
      <c r="CB202" s="54" t="str">
        <f t="shared" si="6"/>
        <v/>
      </c>
      <c r="CC202" s="86" t="str">
        <f t="shared" si="7"/>
        <v/>
      </c>
    </row>
    <row r="203" ht="15.0" customHeight="1">
      <c r="A203" s="50"/>
      <c r="B203" s="53"/>
      <c r="C203" s="54"/>
      <c r="D203" s="56"/>
      <c r="E203" s="57"/>
      <c r="F203" s="54"/>
      <c r="G203" s="60"/>
      <c r="H203" s="63"/>
      <c r="I203" s="67"/>
      <c r="J203" s="70"/>
      <c r="K203" s="54"/>
      <c r="L203" s="70"/>
      <c r="M203" s="77"/>
      <c r="N203" s="78"/>
      <c r="O203" s="80"/>
      <c r="P203" s="70"/>
      <c r="Q203" s="54"/>
      <c r="R203" s="84"/>
      <c r="S203" s="84"/>
      <c r="T203" s="54"/>
      <c r="U203" s="86"/>
      <c r="V203" s="54"/>
      <c r="W203" s="86"/>
      <c r="X203" s="54"/>
      <c r="Y203" s="78"/>
      <c r="Z203" s="54"/>
      <c r="AA203" s="70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54"/>
      <c r="AR203" s="83"/>
      <c r="AS203" s="83"/>
      <c r="AT203" s="93"/>
      <c r="AU203" s="93"/>
      <c r="AV203" s="93"/>
      <c r="AW203" s="83"/>
      <c r="AX203" s="83"/>
      <c r="AY203" s="83"/>
      <c r="AZ203" s="83"/>
      <c r="BA203" s="83"/>
      <c r="BB203" s="83"/>
      <c r="BC203" s="54"/>
      <c r="BD203" s="54" t="str">
        <f t="shared" si="1"/>
        <v/>
      </c>
      <c r="BE203" s="54"/>
      <c r="BF203" s="95"/>
      <c r="BG203" s="95"/>
      <c r="BH203" s="54"/>
      <c r="BI203" s="67"/>
      <c r="BJ203" s="67"/>
      <c r="BK203" s="54"/>
      <c r="BL203" s="54"/>
      <c r="BM203" s="54"/>
      <c r="BN203" s="104"/>
      <c r="BO203" s="83"/>
      <c r="BP203" s="54"/>
      <c r="BQ203" s="70"/>
      <c r="BR203" s="67"/>
      <c r="BS203" s="83"/>
      <c r="BT203" s="83"/>
      <c r="BU203" s="109" t="str">
        <f t="shared" si="8"/>
        <v/>
      </c>
      <c r="BV203" s="109" t="str">
        <f t="shared" si="9"/>
        <v/>
      </c>
      <c r="BW203" s="83" t="str">
        <f t="shared" si="10"/>
        <v/>
      </c>
      <c r="BX203" s="106"/>
      <c r="BY203" s="107"/>
      <c r="BZ203" s="113" t="str">
        <f t="shared" si="5"/>
        <v/>
      </c>
      <c r="CA203" s="113" t="str">
        <f t="array" ref="CA203">IF($A203&lt;&gt;"",INDEX(LISTA!$M$2:$N$27,MATCH($BC203,LISTA!$N$2:$N$27,0),1),"")</f>
        <v/>
      </c>
      <c r="CB203" s="54" t="str">
        <f t="shared" si="6"/>
        <v/>
      </c>
      <c r="CC203" s="86" t="str">
        <f t="shared" si="7"/>
        <v/>
      </c>
    </row>
  </sheetData>
  <conditionalFormatting sqref="F106">
    <cfRule type="expression" dxfId="9" priority="1">
      <formula>$V106=TODAY()</formula>
    </cfRule>
  </conditionalFormatting>
  <conditionalFormatting sqref="A2:CC203">
    <cfRule type="expression" dxfId="19" priority="2">
      <formula>$BZ2=7</formula>
    </cfRule>
  </conditionalFormatting>
  <conditionalFormatting sqref="A2:CC203">
    <cfRule type="expression" dxfId="20" priority="3">
      <formula>$BZ2=6</formula>
    </cfRule>
  </conditionalFormatting>
  <conditionalFormatting sqref="A2:CC203">
    <cfRule type="expression" dxfId="21" priority="4">
      <formula>$BZ2=5</formula>
    </cfRule>
  </conditionalFormatting>
  <conditionalFormatting sqref="A2:CC203">
    <cfRule type="expression" dxfId="22" priority="5">
      <formula>$BZ2=4</formula>
    </cfRule>
  </conditionalFormatting>
  <conditionalFormatting sqref="A2:CC203">
    <cfRule type="expression" dxfId="23" priority="6">
      <formula>$BZ2=3</formula>
    </cfRule>
  </conditionalFormatting>
  <conditionalFormatting sqref="A2:CC203">
    <cfRule type="expression" dxfId="24" priority="7">
      <formula>$BZ2=2</formula>
    </cfRule>
  </conditionalFormatting>
  <conditionalFormatting sqref="A2:CC203">
    <cfRule type="expression" dxfId="25" priority="8">
      <formula>$BZ2=1</formula>
    </cfRule>
  </conditionalFormatting>
  <conditionalFormatting sqref="A2:CC203">
    <cfRule type="expression" dxfId="26" priority="9">
      <formula>AND($BZ2=0,$BZ2&lt;&gt;"")</formula>
    </cfRule>
  </conditionalFormatting>
  <dataValidations>
    <dataValidation type="list" allowBlank="1" sqref="D8">
      <formula1>#REF!</formula1>
    </dataValidation>
    <dataValidation type="custom" allowBlank="1" showDropDown="1" sqref="N2:N203 BU2:BV203 BX2:BX203">
      <formula1>OR(NOT(ISERROR(DATEVALUE(N2))), AND(ISNUMBER(N2), LEFT(CELL("format", N2))="D"))</formula1>
    </dataValidation>
    <dataValidation type="list" allowBlank="1" sqref="D2:D203">
      <formula1>#REF!</formula1>
    </dataValidation>
    <dataValidation type="custom" allowBlank="1" showDropDown="1" sqref="E2:E203">
      <formula1>OR(NOT(ISERROR(DATEVALUE(E2))), AND(ISNUMBER(E2), LEFT(CELL("format", E2))="D"))</formula1>
    </dataValidation>
    <dataValidation type="list" allowBlank="1" sqref="B2:B203">
      <formula1>#REF!</formula1>
    </dataValidation>
    <dataValidation type="custom" allowBlank="1" showDropDown="1" sqref="BN2:BN203 BY2:CA203">
      <formula1>AND(ISNUMBER(BN2),(NOT(OR(NOT(ISERROR(DATEVALUE(BN2))), AND(ISNUMBER(BN2), LEFT(CELL("format", BN2))="D")))))</formula1>
    </dataValidation>
    <dataValidation allowBlank="1" showDropDown="1" sqref="G2:H203 J2:J203 L2:L203 P2:P203 AU2:AV203 BQ2:BQ203"/>
  </dataValidations>
  <hyperlinks>
    <hyperlink r:id="rId4" ref="AS76"/>
  </hyperlinks>
  <drawing r:id="rId5"/>
  <legacy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18.13"/>
    <col customWidth="1" min="2" max="2" width="32.75"/>
    <col customWidth="1" min="3" max="3" width="16.5"/>
    <col customWidth="1" min="4" max="4" width="18.13"/>
    <col customWidth="1" min="5" max="5" width="17.0"/>
    <col customWidth="1" min="6" max="6" width="26.13"/>
    <col customWidth="1" min="7" max="7" width="11.88"/>
    <col customWidth="1" min="8" max="8" width="12.0"/>
    <col customWidth="1" min="9" max="9" width="16.25"/>
    <col customWidth="1" min="10" max="10" width="13.13"/>
    <col customWidth="1" min="11" max="11" width="16.5"/>
    <col customWidth="1" min="12" max="12" width="21.88"/>
    <col collapsed="1" customWidth="1" min="13" max="13" width="36.13"/>
    <col customWidth="1" hidden="1" min="14" max="15" width="20.63" outlineLevel="1"/>
    <col customWidth="1" hidden="1" min="16" max="31" width="18.88" outlineLevel="1"/>
    <col customWidth="1" hidden="1" min="32" max="32" width="22.75" outlineLevel="1"/>
    <col customWidth="1" hidden="1" min="33" max="44" width="18.88" outlineLevel="1"/>
    <col customWidth="1" hidden="1" min="45" max="45" width="22.63" outlineLevel="1"/>
    <col customWidth="1" min="46" max="46" width="17.0"/>
    <col customWidth="1" min="47" max="47" width="19.0"/>
    <col collapsed="1" customWidth="1" min="48" max="48" width="18.88"/>
    <col customWidth="1" hidden="1" min="49" max="49" width="24.38" outlineLevel="1"/>
    <col customWidth="1" hidden="1" min="50" max="54" width="18.88" outlineLevel="1"/>
    <col customWidth="1" min="55" max="56" width="18.88"/>
    <col customWidth="1" min="57" max="57" width="16.63" outlineLevel="1"/>
    <col customWidth="1" min="58" max="58" width="15.63" outlineLevel="1"/>
    <col customWidth="1" min="59" max="59" width="15.5" outlineLevel="1"/>
    <col customWidth="1" min="60" max="60" width="14.88" outlineLevel="1"/>
    <col customWidth="1" min="61" max="61" width="17.88" outlineLevel="1"/>
    <col customWidth="1" min="62" max="62" width="15.75" outlineLevel="1"/>
    <col customWidth="1" min="63" max="63" width="17.5" outlineLevel="1"/>
    <col customWidth="1" min="64" max="64" width="16.88" outlineLevel="1"/>
    <col customWidth="1" min="65" max="65" width="26.75" outlineLevel="1"/>
    <col customWidth="1" min="66" max="66" width="13.25" outlineLevel="1"/>
    <col customWidth="1" min="67" max="67" width="15.25" outlineLevel="1"/>
    <col customWidth="1" min="68" max="68" width="14.5" outlineLevel="1"/>
    <col customWidth="1" min="69" max="69" width="14.25" outlineLevel="1"/>
    <col customWidth="1" min="70" max="70" width="21.5" outlineLevel="1"/>
    <col customWidth="1" min="71" max="71" width="12.25" outlineLevel="1"/>
    <col customWidth="1" min="72" max="72" width="20.0"/>
    <col customWidth="1" min="73" max="73" width="16.75"/>
    <col customWidth="1" min="74" max="74" width="17.0"/>
    <col customWidth="1" min="75" max="75" width="22.88"/>
    <col collapsed="1" customWidth="1" min="76" max="76" width="19.63"/>
    <col customWidth="1" hidden="1" min="77" max="77" width="14.75" outlineLevel="1"/>
    <col customWidth="1" hidden="1" min="78" max="78" width="13.25" outlineLevel="1"/>
    <col customWidth="1" hidden="1" min="79" max="79" width="8.88" outlineLevel="1"/>
    <col customWidth="1" hidden="1" min="80" max="80" width="11.13" outlineLevel="1"/>
    <col customWidth="1" min="81" max="81" width="14.75"/>
  </cols>
  <sheetData>
    <row r="1" ht="22.5" customHeight="1">
      <c r="A1" s="14" t="s">
        <v>2</v>
      </c>
      <c r="B1" s="14" t="s">
        <v>4</v>
      </c>
      <c r="C1" s="14" t="s">
        <v>6</v>
      </c>
      <c r="D1" s="14" t="s">
        <v>7</v>
      </c>
      <c r="E1" s="20" t="s">
        <v>10</v>
      </c>
      <c r="F1" s="14" t="s">
        <v>11</v>
      </c>
      <c r="G1" s="24" t="s">
        <v>12</v>
      </c>
      <c r="H1" s="24" t="s">
        <v>14</v>
      </c>
      <c r="I1" s="24" t="s">
        <v>15</v>
      </c>
      <c r="J1" s="24" t="s">
        <v>16</v>
      </c>
      <c r="K1" s="24" t="s">
        <v>17</v>
      </c>
      <c r="L1" s="24" t="s">
        <v>18</v>
      </c>
      <c r="M1" s="14" t="s">
        <v>19</v>
      </c>
      <c r="N1" s="14" t="s">
        <v>20</v>
      </c>
      <c r="O1" s="14" t="s">
        <v>21</v>
      </c>
      <c r="P1" s="14" t="s">
        <v>22</v>
      </c>
      <c r="Q1" s="14" t="s">
        <v>23</v>
      </c>
      <c r="R1" s="14" t="s">
        <v>24</v>
      </c>
      <c r="S1" s="14" t="s">
        <v>25</v>
      </c>
      <c r="T1" s="14" t="s">
        <v>27</v>
      </c>
      <c r="U1" s="14" t="s">
        <v>28</v>
      </c>
      <c r="V1" s="14" t="s">
        <v>29</v>
      </c>
      <c r="W1" s="14" t="s">
        <v>30</v>
      </c>
      <c r="X1" s="14" t="s">
        <v>31</v>
      </c>
      <c r="Y1" s="14" t="s">
        <v>32</v>
      </c>
      <c r="Z1" s="14" t="s">
        <v>33</v>
      </c>
      <c r="AA1" s="14" t="s">
        <v>34</v>
      </c>
      <c r="AB1" s="14" t="s">
        <v>36</v>
      </c>
      <c r="AC1" s="14" t="s">
        <v>39</v>
      </c>
      <c r="AD1" s="14" t="s">
        <v>40</v>
      </c>
      <c r="AE1" s="14" t="s">
        <v>37</v>
      </c>
      <c r="AF1" s="14" t="s">
        <v>41</v>
      </c>
      <c r="AG1" s="14" t="s">
        <v>42</v>
      </c>
      <c r="AH1" s="14" t="s">
        <v>43</v>
      </c>
      <c r="AI1" s="14" t="s">
        <v>44</v>
      </c>
      <c r="AJ1" s="14" t="s">
        <v>45</v>
      </c>
      <c r="AK1" s="14" t="s">
        <v>46</v>
      </c>
      <c r="AL1" s="14" t="s">
        <v>48</v>
      </c>
      <c r="AM1" s="14" t="s">
        <v>49</v>
      </c>
      <c r="AN1" s="14" t="s">
        <v>50</v>
      </c>
      <c r="AO1" s="14" t="s">
        <v>51</v>
      </c>
      <c r="AP1" s="14" t="s">
        <v>52</v>
      </c>
      <c r="AQ1" s="14" t="s">
        <v>53</v>
      </c>
      <c r="AR1" s="14" t="s">
        <v>55</v>
      </c>
      <c r="AS1" s="14" t="s">
        <v>56</v>
      </c>
      <c r="AT1" s="14" t="s">
        <v>65</v>
      </c>
      <c r="AU1" s="14" t="s">
        <v>58</v>
      </c>
      <c r="AV1" s="14" t="s">
        <v>59</v>
      </c>
      <c r="AW1" s="14" t="s">
        <v>60</v>
      </c>
      <c r="AX1" s="14" t="s">
        <v>62</v>
      </c>
      <c r="AY1" s="14" t="s">
        <v>63</v>
      </c>
      <c r="AZ1" s="14" t="s">
        <v>64</v>
      </c>
      <c r="BA1" s="14" t="s">
        <v>66</v>
      </c>
      <c r="BB1" s="14" t="s">
        <v>67</v>
      </c>
      <c r="BC1" s="14" t="s">
        <v>69</v>
      </c>
      <c r="BD1" s="14" t="s">
        <v>70</v>
      </c>
      <c r="BE1" s="24" t="s">
        <v>71</v>
      </c>
      <c r="BF1" s="24" t="s">
        <v>72</v>
      </c>
      <c r="BG1" s="24" t="s">
        <v>73</v>
      </c>
      <c r="BH1" s="24" t="s">
        <v>75</v>
      </c>
      <c r="BI1" s="24" t="s">
        <v>77</v>
      </c>
      <c r="BJ1" s="24" t="s">
        <v>78</v>
      </c>
      <c r="BK1" s="24" t="s">
        <v>79</v>
      </c>
      <c r="BL1" s="24" t="s">
        <v>80</v>
      </c>
      <c r="BM1" s="24" t="s">
        <v>81</v>
      </c>
      <c r="BN1" s="24" t="s">
        <v>82</v>
      </c>
      <c r="BO1" s="24" t="s">
        <v>84</v>
      </c>
      <c r="BP1" s="24" t="s">
        <v>85</v>
      </c>
      <c r="BQ1" s="24" t="s">
        <v>86</v>
      </c>
      <c r="BR1" s="24" t="s">
        <v>87</v>
      </c>
      <c r="BS1" s="24" t="s">
        <v>88</v>
      </c>
      <c r="BT1" s="24" t="s">
        <v>93</v>
      </c>
      <c r="BU1" s="24" t="s">
        <v>94</v>
      </c>
      <c r="BV1" s="24" t="s">
        <v>90</v>
      </c>
      <c r="BW1" s="24" t="s">
        <v>91</v>
      </c>
      <c r="BX1" s="24" t="s">
        <v>13</v>
      </c>
      <c r="BY1" s="24" t="s">
        <v>95</v>
      </c>
      <c r="BZ1" s="24" t="s">
        <v>92</v>
      </c>
      <c r="CA1" s="24" t="s">
        <v>97</v>
      </c>
      <c r="CB1" s="55" t="s">
        <v>98</v>
      </c>
      <c r="CC1" s="24" t="s">
        <v>102</v>
      </c>
    </row>
    <row r="2" ht="15.0" customHeight="1" collapsed="1">
      <c r="A2" s="59">
        <v>46179.519982928236</v>
      </c>
      <c r="B2" s="62" t="s">
        <v>105</v>
      </c>
      <c r="C2" s="54" t="s">
        <v>100</v>
      </c>
      <c r="D2" s="56" t="s">
        <v>101</v>
      </c>
      <c r="E2" s="69">
        <v>46185.583333333336</v>
      </c>
      <c r="F2" s="73" t="s">
        <v>5</v>
      </c>
      <c r="G2" s="60" t="s">
        <v>110</v>
      </c>
      <c r="H2" s="60" t="s">
        <v>112</v>
      </c>
      <c r="I2" s="67" t="s">
        <v>114</v>
      </c>
      <c r="J2" s="79" t="s">
        <v>115</v>
      </c>
      <c r="K2" s="67" t="s">
        <v>109</v>
      </c>
      <c r="L2" s="79" t="s">
        <v>117</v>
      </c>
      <c r="M2" s="83" t="s">
        <v>118</v>
      </c>
      <c r="N2" s="78">
        <v>31658.0</v>
      </c>
      <c r="O2" s="80" t="s">
        <v>37</v>
      </c>
      <c r="P2" s="70" t="s">
        <v>119</v>
      </c>
      <c r="Q2" s="54"/>
      <c r="R2" s="84"/>
      <c r="S2" s="84"/>
      <c r="T2" s="54"/>
      <c r="U2" s="86"/>
      <c r="V2" s="54"/>
      <c r="W2" s="86"/>
      <c r="X2" s="54"/>
      <c r="Y2" s="78"/>
      <c r="Z2" s="54"/>
      <c r="AA2" s="70"/>
      <c r="AB2" s="83"/>
      <c r="AC2" s="83"/>
      <c r="AD2" s="83"/>
      <c r="AE2" s="83"/>
      <c r="AF2" s="83" t="s">
        <v>123</v>
      </c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54" t="s">
        <v>124</v>
      </c>
      <c r="AR2" s="83" t="s">
        <v>125</v>
      </c>
      <c r="AS2" s="83" t="s">
        <v>126</v>
      </c>
      <c r="AT2" s="93" t="s">
        <v>128</v>
      </c>
      <c r="AU2" s="93" t="s">
        <v>128</v>
      </c>
      <c r="AV2" s="93" t="s">
        <v>128</v>
      </c>
      <c r="AW2" s="83" t="s">
        <v>131</v>
      </c>
      <c r="AX2" s="83">
        <v>4.0</v>
      </c>
      <c r="AY2" s="83">
        <v>402.0</v>
      </c>
      <c r="AZ2" s="83" t="s">
        <v>134</v>
      </c>
      <c r="BA2" s="83" t="s">
        <v>135</v>
      </c>
      <c r="BB2" s="83" t="s">
        <v>136</v>
      </c>
      <c r="BC2" s="54" t="s">
        <v>41</v>
      </c>
      <c r="BD2" s="54" t="str">
        <f t="shared" ref="BD2:BD1148" si="1">IF(COUNTA(Q2:AP2)&gt;0,INDEX(Q2:AP2,,max(IF(Q2:AP2&lt;&gt;"",COLUMN(Q2:AP2)))-16),"")</f>
        <v>Santiago de Surco</v>
      </c>
      <c r="BE2" s="67" t="s">
        <v>140</v>
      </c>
      <c r="BF2" s="67" t="s">
        <v>141</v>
      </c>
      <c r="BG2" s="67" t="s">
        <v>142</v>
      </c>
      <c r="BH2" s="67"/>
      <c r="BI2" s="67"/>
      <c r="BJ2" s="67"/>
      <c r="BK2" s="67"/>
      <c r="BL2" s="67" t="s">
        <v>145</v>
      </c>
      <c r="BM2" s="67" t="s">
        <v>146</v>
      </c>
      <c r="BN2" s="100">
        <v>170.0</v>
      </c>
      <c r="BO2" s="102" t="s">
        <v>148</v>
      </c>
      <c r="BP2" s="67" t="s">
        <v>141</v>
      </c>
      <c r="BQ2" s="79" t="s">
        <v>141</v>
      </c>
      <c r="BR2" s="67" t="s">
        <v>149</v>
      </c>
      <c r="BS2" s="102" t="s">
        <v>149</v>
      </c>
      <c r="BT2" s="106">
        <v>46185.0</v>
      </c>
      <c r="BU2" s="107">
        <v>1.0</v>
      </c>
      <c r="BV2" s="108">
        <f t="shared" ref="BV2:BV541" si="2">IF($A2&lt;&gt;"", DATE(YEAR($A2),MONTH($A2),DAY($A2)),"")</f>
        <v>46179</v>
      </c>
      <c r="BW2" s="108">
        <f t="shared" ref="BW2:BW115" si="3">IF($E2&lt;&gt;"",DATE(YEAR($E2),MONTH($E2),DAY($E2)),"")</f>
        <v>46185</v>
      </c>
      <c r="BX2" s="102" t="str">
        <f t="shared" ref="BX2:BX168" si="4">IF($E2&lt;&gt;"",TEXT($E2,"HH"),"")</f>
        <v>14</v>
      </c>
      <c r="BY2" s="107">
        <f t="shared" ref="BY2:BY1148" si="5">IF(B2&lt;&gt;"",VALUE(LEFT(B2)),"")</f>
        <v>5</v>
      </c>
      <c r="BZ2" s="107">
        <f t="array" ref="BZ2">IF($A2&lt;&gt;"",INDEX(LISTA!$M$2:$N$27,MATCH($BC2,LISTA!$N$2:$N$27,0),1),"")</f>
        <v>1</v>
      </c>
      <c r="CA2" s="67">
        <f t="shared" ref="CA2:CA1148" si="6">IF($A2&lt;&gt;"",MONTH(BV2),"")</f>
        <v>6</v>
      </c>
      <c r="CB2" s="114">
        <f t="shared" ref="CB2:CB1148" si="7">IF($BT2&lt;&gt;"",MONTH(BT2),"")</f>
        <v>6</v>
      </c>
      <c r="CC2" s="67">
        <v>5.7896117E7</v>
      </c>
    </row>
    <row r="3" ht="15.0" hidden="1" customHeight="1" outlineLevel="1">
      <c r="A3" s="59">
        <v>46184.542623622685</v>
      </c>
      <c r="B3" s="115" t="s">
        <v>105</v>
      </c>
      <c r="C3" s="54" t="s">
        <v>100</v>
      </c>
      <c r="D3" s="56" t="s">
        <v>101</v>
      </c>
      <c r="E3" s="69">
        <v>46185.666666666664</v>
      </c>
      <c r="F3" s="73" t="s">
        <v>5</v>
      </c>
      <c r="G3" s="60" t="s">
        <v>153</v>
      </c>
      <c r="H3" s="60" t="s">
        <v>155</v>
      </c>
      <c r="I3" s="67" t="s">
        <v>114</v>
      </c>
      <c r="J3" s="79" t="s">
        <v>158</v>
      </c>
      <c r="K3" s="67" t="s">
        <v>109</v>
      </c>
      <c r="L3" s="79" t="s">
        <v>160</v>
      </c>
      <c r="M3" s="83" t="s">
        <v>162</v>
      </c>
      <c r="N3" s="78">
        <v>31371.0</v>
      </c>
      <c r="O3" s="80" t="s">
        <v>36</v>
      </c>
      <c r="P3" s="70" t="s">
        <v>163</v>
      </c>
      <c r="Q3" s="54"/>
      <c r="R3" s="84"/>
      <c r="S3" s="84"/>
      <c r="T3" s="54"/>
      <c r="U3" s="86"/>
      <c r="V3" s="54"/>
      <c r="W3" s="86"/>
      <c r="X3" s="54"/>
      <c r="Y3" s="78"/>
      <c r="Z3" s="54"/>
      <c r="AA3" s="70"/>
      <c r="AB3" s="83"/>
      <c r="AC3" s="83"/>
      <c r="AD3" s="83"/>
      <c r="AE3" s="83"/>
      <c r="AF3" s="83" t="s">
        <v>165</v>
      </c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54" t="s">
        <v>170</v>
      </c>
      <c r="AR3" s="83" t="s">
        <v>172</v>
      </c>
      <c r="AS3" s="83" t="s">
        <v>173</v>
      </c>
      <c r="AT3" s="93" t="s">
        <v>158</v>
      </c>
      <c r="AU3" s="93" t="s">
        <v>158</v>
      </c>
      <c r="AV3" s="93" t="s">
        <v>158</v>
      </c>
      <c r="AW3" s="83" t="s">
        <v>178</v>
      </c>
      <c r="AX3" s="83">
        <v>4.0</v>
      </c>
      <c r="AY3" s="83">
        <v>1.0</v>
      </c>
      <c r="AZ3" s="83" t="s">
        <v>179</v>
      </c>
      <c r="BA3" s="83" t="s">
        <v>180</v>
      </c>
      <c r="BB3" s="83" t="s">
        <v>181</v>
      </c>
      <c r="BC3" s="54" t="s">
        <v>41</v>
      </c>
      <c r="BD3" s="54" t="str">
        <f t="shared" si="1"/>
        <v>San Martín de Porres</v>
      </c>
      <c r="BE3" s="67" t="s">
        <v>140</v>
      </c>
      <c r="BF3" s="67" t="s">
        <v>144</v>
      </c>
      <c r="BG3" s="67" t="s">
        <v>142</v>
      </c>
      <c r="BH3" s="67"/>
      <c r="BI3" s="67"/>
      <c r="BJ3" s="67"/>
      <c r="BK3" s="67"/>
      <c r="BL3" s="67" t="s">
        <v>147</v>
      </c>
      <c r="BM3" s="67" t="s">
        <v>146</v>
      </c>
      <c r="BN3" s="100">
        <v>110.0</v>
      </c>
      <c r="BO3" s="102" t="s">
        <v>182</v>
      </c>
      <c r="BP3" s="67" t="s">
        <v>144</v>
      </c>
      <c r="BQ3" s="79" t="s">
        <v>141</v>
      </c>
      <c r="BR3" s="67" t="s">
        <v>149</v>
      </c>
      <c r="BS3" s="102">
        <v>1.0</v>
      </c>
      <c r="BT3" s="106">
        <v>46186.0</v>
      </c>
      <c r="BU3" s="107">
        <v>1.0</v>
      </c>
      <c r="BV3" s="108">
        <f t="shared" si="2"/>
        <v>46184</v>
      </c>
      <c r="BW3" s="108">
        <f t="shared" si="3"/>
        <v>46185</v>
      </c>
      <c r="BX3" s="102" t="str">
        <f t="shared" si="4"/>
        <v>16</v>
      </c>
      <c r="BY3" s="107">
        <f t="shared" si="5"/>
        <v>5</v>
      </c>
      <c r="BZ3" s="107">
        <f t="array" ref="BZ3">IF($A3&lt;&gt;"",INDEX(LISTA!$M$2:$N$27,MATCH($BC3,LISTA!$N$2:$N$27,0),1),"")</f>
        <v>1</v>
      </c>
      <c r="CA3" s="67">
        <f t="shared" si="6"/>
        <v>6</v>
      </c>
      <c r="CB3" s="114">
        <f t="shared" si="7"/>
        <v>6</v>
      </c>
      <c r="CC3" s="84">
        <v>5.7895552E7</v>
      </c>
    </row>
    <row r="4" ht="15.0" hidden="1" customHeight="1" outlineLevel="1">
      <c r="A4" s="59">
        <v>46190.37893439815</v>
      </c>
      <c r="B4" s="115" t="s">
        <v>105</v>
      </c>
      <c r="C4" s="54" t="s">
        <v>100</v>
      </c>
      <c r="D4" s="56" t="s">
        <v>101</v>
      </c>
      <c r="E4" s="69">
        <v>46191.583333333336</v>
      </c>
      <c r="F4" s="73" t="s">
        <v>187</v>
      </c>
      <c r="G4" s="60" t="s">
        <v>189</v>
      </c>
      <c r="H4" s="60" t="s">
        <v>191</v>
      </c>
      <c r="I4" s="67" t="s">
        <v>192</v>
      </c>
      <c r="J4" s="79" t="s">
        <v>194</v>
      </c>
      <c r="K4" s="67" t="s">
        <v>109</v>
      </c>
      <c r="L4" s="79" t="s">
        <v>195</v>
      </c>
      <c r="M4" s="83" t="s">
        <v>196</v>
      </c>
      <c r="N4" s="78">
        <v>33362.0</v>
      </c>
      <c r="O4" s="80" t="s">
        <v>37</v>
      </c>
      <c r="P4" s="70" t="s">
        <v>197</v>
      </c>
      <c r="Q4" s="54"/>
      <c r="R4" s="84"/>
      <c r="S4" s="84"/>
      <c r="T4" s="54"/>
      <c r="U4" s="86"/>
      <c r="V4" s="54"/>
      <c r="W4" s="86"/>
      <c r="X4" s="54"/>
      <c r="Y4" s="78"/>
      <c r="Z4" s="54"/>
      <c r="AA4" s="70"/>
      <c r="AB4" s="83"/>
      <c r="AC4" s="83"/>
      <c r="AD4" s="83"/>
      <c r="AE4" s="83"/>
      <c r="AF4" s="83" t="s">
        <v>198</v>
      </c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54" t="s">
        <v>203</v>
      </c>
      <c r="AR4" s="83" t="s">
        <v>204</v>
      </c>
      <c r="AS4" s="83" t="s">
        <v>205</v>
      </c>
      <c r="AT4" s="93" t="s">
        <v>194</v>
      </c>
      <c r="AU4" s="93" t="s">
        <v>194</v>
      </c>
      <c r="AV4" s="93" t="s">
        <v>194</v>
      </c>
      <c r="AW4" s="83" t="s">
        <v>209</v>
      </c>
      <c r="AX4" s="83">
        <v>16.0</v>
      </c>
      <c r="AY4" s="83">
        <v>1601.0</v>
      </c>
      <c r="AZ4" s="83" t="s">
        <v>210</v>
      </c>
      <c r="BA4" s="83" t="s">
        <v>211</v>
      </c>
      <c r="BB4" s="83" t="s">
        <v>212</v>
      </c>
      <c r="BC4" s="54" t="s">
        <v>41</v>
      </c>
      <c r="BD4" s="54" t="str">
        <f t="shared" si="1"/>
        <v>Miraflores</v>
      </c>
      <c r="BE4" s="67" t="s">
        <v>143</v>
      </c>
      <c r="BF4" s="67" t="s">
        <v>144</v>
      </c>
      <c r="BG4" s="67" t="s">
        <v>142</v>
      </c>
      <c r="BH4" s="67"/>
      <c r="BI4" s="67"/>
      <c r="BJ4" s="67"/>
      <c r="BK4" s="67"/>
      <c r="BL4" s="67" t="s">
        <v>213</v>
      </c>
      <c r="BM4" s="67" t="s">
        <v>214</v>
      </c>
      <c r="BN4" s="100">
        <v>110.0</v>
      </c>
      <c r="BO4" s="102" t="s">
        <v>182</v>
      </c>
      <c r="BP4" s="67" t="s">
        <v>144</v>
      </c>
      <c r="BQ4" s="79" t="s">
        <v>141</v>
      </c>
      <c r="BR4" s="67" t="s">
        <v>149</v>
      </c>
      <c r="BS4" s="102" t="s">
        <v>149</v>
      </c>
      <c r="BT4" s="106">
        <v>46191.0</v>
      </c>
      <c r="BU4" s="107">
        <v>1.0</v>
      </c>
      <c r="BV4" s="108">
        <f t="shared" si="2"/>
        <v>46190</v>
      </c>
      <c r="BW4" s="108">
        <f t="shared" si="3"/>
        <v>46191</v>
      </c>
      <c r="BX4" s="102" t="str">
        <f t="shared" si="4"/>
        <v>14</v>
      </c>
      <c r="BY4" s="107">
        <f t="shared" si="5"/>
        <v>5</v>
      </c>
      <c r="BZ4" s="107">
        <f t="array" ref="BZ4">IF($A4&lt;&gt;"",INDEX(LISTA!$M$2:$N$27,MATCH($BC4,LISTA!$N$2:$N$27,0),1),"")</f>
        <v>1</v>
      </c>
      <c r="CA4" s="67">
        <f t="shared" si="6"/>
        <v>6</v>
      </c>
      <c r="CB4" s="114">
        <f t="shared" si="7"/>
        <v>6</v>
      </c>
      <c r="CC4" s="67">
        <v>5.7934319E7</v>
      </c>
    </row>
    <row r="5" ht="15.0" hidden="1" customHeight="1" outlineLevel="1">
      <c r="A5" s="59">
        <v>46190.493701307874</v>
      </c>
      <c r="B5" s="115" t="s">
        <v>105</v>
      </c>
      <c r="C5" s="54" t="s">
        <v>100</v>
      </c>
      <c r="D5" s="56" t="s">
        <v>150</v>
      </c>
      <c r="E5" s="69">
        <v>46193.458333333336</v>
      </c>
      <c r="F5" s="73" t="s">
        <v>218</v>
      </c>
      <c r="G5" s="60" t="s">
        <v>219</v>
      </c>
      <c r="H5" s="60" t="s">
        <v>221</v>
      </c>
      <c r="I5" s="67" t="s">
        <v>150</v>
      </c>
      <c r="J5" s="79" t="s">
        <v>223</v>
      </c>
      <c r="K5" s="67" t="s">
        <v>109</v>
      </c>
      <c r="L5" s="79" t="s">
        <v>225</v>
      </c>
      <c r="M5" s="83" t="s">
        <v>227</v>
      </c>
      <c r="N5" s="78">
        <v>29369.0</v>
      </c>
      <c r="O5" s="80" t="s">
        <v>37</v>
      </c>
      <c r="P5" s="70" t="s">
        <v>228</v>
      </c>
      <c r="Q5" s="54"/>
      <c r="R5" s="84"/>
      <c r="S5" s="84"/>
      <c r="T5" s="54"/>
      <c r="U5" s="86"/>
      <c r="V5" s="54"/>
      <c r="W5" s="86"/>
      <c r="X5" s="54"/>
      <c r="Y5" s="78"/>
      <c r="Z5" s="54"/>
      <c r="AA5" s="70"/>
      <c r="AB5" s="83"/>
      <c r="AC5" s="83"/>
      <c r="AD5" s="83"/>
      <c r="AE5" s="83" t="s">
        <v>230</v>
      </c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54" t="s">
        <v>234</v>
      </c>
      <c r="AR5" s="83" t="s">
        <v>236</v>
      </c>
      <c r="AS5" s="83" t="s">
        <v>237</v>
      </c>
      <c r="AT5" s="93" t="s">
        <v>239</v>
      </c>
      <c r="AU5" s="93" t="s">
        <v>239</v>
      </c>
      <c r="AV5" s="93" t="s">
        <v>223</v>
      </c>
      <c r="AW5" s="83" t="s">
        <v>243</v>
      </c>
      <c r="AX5" s="83">
        <v>2.0</v>
      </c>
      <c r="AY5" s="83" t="s">
        <v>238</v>
      </c>
      <c r="AZ5" s="83" t="s">
        <v>244</v>
      </c>
      <c r="BA5" s="83" t="s">
        <v>245</v>
      </c>
      <c r="BB5" s="83" t="s">
        <v>246</v>
      </c>
      <c r="BC5" s="54" t="s">
        <v>37</v>
      </c>
      <c r="BD5" s="54" t="str">
        <f t="shared" si="1"/>
        <v>Huaura</v>
      </c>
      <c r="BE5" s="67" t="s">
        <v>143</v>
      </c>
      <c r="BF5" s="67" t="s">
        <v>144</v>
      </c>
      <c r="BG5" s="67" t="s">
        <v>142</v>
      </c>
      <c r="BH5" s="67"/>
      <c r="BI5" s="67"/>
      <c r="BJ5" s="67"/>
      <c r="BK5" s="67"/>
      <c r="BL5" s="67" t="s">
        <v>147</v>
      </c>
      <c r="BM5" s="67" t="s">
        <v>146</v>
      </c>
      <c r="BN5" s="100">
        <v>110.0</v>
      </c>
      <c r="BO5" s="102" t="s">
        <v>182</v>
      </c>
      <c r="BP5" s="67" t="s">
        <v>141</v>
      </c>
      <c r="BQ5" s="79" t="s">
        <v>141</v>
      </c>
      <c r="BR5" s="67">
        <v>1.0</v>
      </c>
      <c r="BS5" s="102">
        <v>1.0</v>
      </c>
      <c r="BT5" s="106">
        <v>46192.0</v>
      </c>
      <c r="BU5" s="107">
        <v>1.0</v>
      </c>
      <c r="BV5" s="108">
        <f t="shared" si="2"/>
        <v>46190</v>
      </c>
      <c r="BW5" s="108">
        <f t="shared" si="3"/>
        <v>46193</v>
      </c>
      <c r="BX5" s="102" t="str">
        <f t="shared" si="4"/>
        <v>11</v>
      </c>
      <c r="BY5" s="107">
        <f t="shared" si="5"/>
        <v>5</v>
      </c>
      <c r="BZ5" s="107">
        <f t="array" ref="BZ5">IF($A5&lt;&gt;"",INDEX(LISTA!$M$2:$N$27,MATCH($BC5,LISTA!$N$2:$N$27,0),1),"")</f>
        <v>3</v>
      </c>
      <c r="CA5" s="67">
        <f t="shared" si="6"/>
        <v>6</v>
      </c>
      <c r="CB5" s="114">
        <f t="shared" si="7"/>
        <v>6</v>
      </c>
      <c r="CC5" s="67">
        <v>5.7946138E7</v>
      </c>
    </row>
    <row r="6" ht="15.0" hidden="1" customHeight="1" outlineLevel="1">
      <c r="A6" s="59">
        <v>46192.65695234954</v>
      </c>
      <c r="B6" s="115" t="s">
        <v>105</v>
      </c>
      <c r="C6" s="54" t="s">
        <v>100</v>
      </c>
      <c r="D6" s="56" t="s">
        <v>150</v>
      </c>
      <c r="E6" s="69">
        <v>46193.458333333336</v>
      </c>
      <c r="F6" s="73" t="s">
        <v>255</v>
      </c>
      <c r="G6" s="60" t="s">
        <v>256</v>
      </c>
      <c r="H6" s="60" t="s">
        <v>257</v>
      </c>
      <c r="I6" s="67" t="s">
        <v>260</v>
      </c>
      <c r="J6" s="79" t="s">
        <v>261</v>
      </c>
      <c r="K6" s="67" t="s">
        <v>109</v>
      </c>
      <c r="L6" s="79" t="s">
        <v>263</v>
      </c>
      <c r="M6" s="83" t="s">
        <v>265</v>
      </c>
      <c r="N6" s="78">
        <v>31436.0</v>
      </c>
      <c r="O6" s="80" t="s">
        <v>41</v>
      </c>
      <c r="P6" s="70" t="s">
        <v>266</v>
      </c>
      <c r="Q6" s="54"/>
      <c r="R6" s="84"/>
      <c r="S6" s="84"/>
      <c r="T6" s="54"/>
      <c r="U6" s="86"/>
      <c r="V6" s="54"/>
      <c r="W6" s="86"/>
      <c r="X6" s="54"/>
      <c r="Y6" s="78"/>
      <c r="Z6" s="54"/>
      <c r="AA6" s="70"/>
      <c r="AB6" s="83"/>
      <c r="AC6" s="83"/>
      <c r="AD6" s="83"/>
      <c r="AE6" s="83"/>
      <c r="AF6" s="83" t="s">
        <v>268</v>
      </c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54" t="s">
        <v>273</v>
      </c>
      <c r="AR6" s="83" t="s">
        <v>275</v>
      </c>
      <c r="AS6" s="83" t="s">
        <v>277</v>
      </c>
      <c r="AT6" s="93" t="s">
        <v>261</v>
      </c>
      <c r="AU6" s="93" t="s">
        <v>261</v>
      </c>
      <c r="AV6" s="93" t="s">
        <v>261</v>
      </c>
      <c r="AW6" s="83" t="s">
        <v>279</v>
      </c>
      <c r="AX6" s="83">
        <v>1.0</v>
      </c>
      <c r="AY6" s="83">
        <v>1.0</v>
      </c>
      <c r="AZ6" s="83" t="s">
        <v>280</v>
      </c>
      <c r="BA6" s="83" t="s">
        <v>281</v>
      </c>
      <c r="BB6" s="83" t="s">
        <v>282</v>
      </c>
      <c r="BC6" s="54" t="s">
        <v>41</v>
      </c>
      <c r="BD6" s="54" t="str">
        <f t="shared" si="1"/>
        <v>Lince</v>
      </c>
      <c r="BE6" s="67" t="s">
        <v>140</v>
      </c>
      <c r="BF6" s="67" t="s">
        <v>144</v>
      </c>
      <c r="BG6" s="67" t="s">
        <v>142</v>
      </c>
      <c r="BH6" s="67"/>
      <c r="BI6" s="67"/>
      <c r="BJ6" s="67"/>
      <c r="BK6" s="67"/>
      <c r="BL6" s="67" t="s">
        <v>283</v>
      </c>
      <c r="BM6" s="67" t="s">
        <v>146</v>
      </c>
      <c r="BN6" s="100">
        <v>94.0</v>
      </c>
      <c r="BO6" s="102" t="s">
        <v>148</v>
      </c>
      <c r="BP6" s="67" t="s">
        <v>141</v>
      </c>
      <c r="BQ6" s="79" t="s">
        <v>144</v>
      </c>
      <c r="BR6" s="67" t="s">
        <v>149</v>
      </c>
      <c r="BS6" s="102">
        <v>1.0</v>
      </c>
      <c r="BT6" s="106">
        <v>46194.0</v>
      </c>
      <c r="BU6" s="107">
        <v>1.0</v>
      </c>
      <c r="BV6" s="108">
        <f t="shared" si="2"/>
        <v>46192</v>
      </c>
      <c r="BW6" s="108">
        <f t="shared" si="3"/>
        <v>46193</v>
      </c>
      <c r="BX6" s="102" t="str">
        <f t="shared" si="4"/>
        <v>11</v>
      </c>
      <c r="BY6" s="107">
        <f t="shared" si="5"/>
        <v>5</v>
      </c>
      <c r="BZ6" s="107">
        <f t="array" ref="BZ6">IF($A6&lt;&gt;"",INDEX(LISTA!$M$2:$N$27,MATCH($BC6,LISTA!$N$2:$N$27,0),1),"")</f>
        <v>1</v>
      </c>
      <c r="CA6" s="67">
        <f t="shared" si="6"/>
        <v>6</v>
      </c>
      <c r="CB6" s="114">
        <f t="shared" si="7"/>
        <v>6</v>
      </c>
      <c r="CC6" s="67">
        <v>5.7955168E7</v>
      </c>
    </row>
    <row r="7" ht="15.0" hidden="1" customHeight="1" outlineLevel="1">
      <c r="A7" s="59">
        <v>46193.500224999996</v>
      </c>
      <c r="B7" s="115" t="s">
        <v>105</v>
      </c>
      <c r="C7" s="54" t="s">
        <v>100</v>
      </c>
      <c r="D7" s="56" t="s">
        <v>150</v>
      </c>
      <c r="E7" s="69">
        <v>46195.458333333336</v>
      </c>
      <c r="F7" s="73" t="s">
        <v>289</v>
      </c>
      <c r="G7" s="60" t="s">
        <v>153</v>
      </c>
      <c r="H7" s="60" t="s">
        <v>292</v>
      </c>
      <c r="I7" s="67" t="s">
        <v>293</v>
      </c>
      <c r="J7" s="79" t="s">
        <v>294</v>
      </c>
      <c r="K7" s="67" t="s">
        <v>109</v>
      </c>
      <c r="L7" s="79" t="s">
        <v>296</v>
      </c>
      <c r="M7" s="83" t="s">
        <v>297</v>
      </c>
      <c r="N7" s="78">
        <v>37189.0</v>
      </c>
      <c r="O7" s="80" t="s">
        <v>31</v>
      </c>
      <c r="P7" s="70" t="s">
        <v>298</v>
      </c>
      <c r="Q7" s="54"/>
      <c r="R7" s="84"/>
      <c r="S7" s="84"/>
      <c r="T7" s="54"/>
      <c r="U7" s="86"/>
      <c r="V7" s="54"/>
      <c r="W7" s="86"/>
      <c r="X7" s="54" t="s">
        <v>299</v>
      </c>
      <c r="Y7" s="78"/>
      <c r="Z7" s="54"/>
      <c r="AA7" s="70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54" t="s">
        <v>315</v>
      </c>
      <c r="AR7" s="83" t="s">
        <v>316</v>
      </c>
      <c r="AS7" s="83" t="s">
        <v>317</v>
      </c>
      <c r="AT7" s="93" t="s">
        <v>294</v>
      </c>
      <c r="AU7" s="93" t="s">
        <v>294</v>
      </c>
      <c r="AV7" s="93" t="s">
        <v>294</v>
      </c>
      <c r="AW7" s="83" t="s">
        <v>323</v>
      </c>
      <c r="AX7" s="83">
        <v>2.0</v>
      </c>
      <c r="AY7" s="83" t="s">
        <v>324</v>
      </c>
      <c r="AZ7" s="83" t="s">
        <v>326</v>
      </c>
      <c r="BA7" s="83" t="s">
        <v>327</v>
      </c>
      <c r="BB7" s="83" t="s">
        <v>328</v>
      </c>
      <c r="BC7" s="54" t="s">
        <v>31</v>
      </c>
      <c r="BD7" s="54" t="str">
        <f t="shared" si="1"/>
        <v>Espinar</v>
      </c>
      <c r="BE7" s="67" t="s">
        <v>140</v>
      </c>
      <c r="BF7" s="67" t="s">
        <v>141</v>
      </c>
      <c r="BG7" s="67" t="s">
        <v>142</v>
      </c>
      <c r="BH7" s="67"/>
      <c r="BI7" s="67"/>
      <c r="BJ7" s="67"/>
      <c r="BK7" s="67"/>
      <c r="BL7" s="67" t="s">
        <v>283</v>
      </c>
      <c r="BM7" s="67" t="s">
        <v>333</v>
      </c>
      <c r="BN7" s="100">
        <v>94.0</v>
      </c>
      <c r="BO7" s="102" t="s">
        <v>148</v>
      </c>
      <c r="BP7" s="67" t="s">
        <v>141</v>
      </c>
      <c r="BQ7" s="79" t="s">
        <v>144</v>
      </c>
      <c r="BR7" s="67" t="s">
        <v>149</v>
      </c>
      <c r="BS7" s="102" t="s">
        <v>149</v>
      </c>
      <c r="BT7" s="106">
        <v>46194.0</v>
      </c>
      <c r="BU7" s="107">
        <v>2.0</v>
      </c>
      <c r="BV7" s="108">
        <f t="shared" si="2"/>
        <v>46193</v>
      </c>
      <c r="BW7" s="108">
        <f t="shared" si="3"/>
        <v>46195</v>
      </c>
      <c r="BX7" s="102" t="str">
        <f t="shared" si="4"/>
        <v>11</v>
      </c>
      <c r="BY7" s="107">
        <f t="shared" si="5"/>
        <v>5</v>
      </c>
      <c r="BZ7" s="107">
        <f t="array" ref="BZ7">IF($A7&lt;&gt;"",INDEX(LISTA!$M$2:$N$27,MATCH($BC7,LISTA!$N$2:$N$27,0),1),"")</f>
        <v>10</v>
      </c>
      <c r="CA7" s="67">
        <f t="shared" si="6"/>
        <v>6</v>
      </c>
      <c r="CB7" s="114">
        <f t="shared" si="7"/>
        <v>6</v>
      </c>
      <c r="CC7" s="67">
        <v>5.7959805E7</v>
      </c>
    </row>
    <row r="8" ht="15.0" hidden="1" customHeight="1" outlineLevel="1">
      <c r="A8" s="59">
        <v>46190.70364284722</v>
      </c>
      <c r="B8" s="115" t="s">
        <v>105</v>
      </c>
      <c r="C8" s="54" t="s">
        <v>100</v>
      </c>
      <c r="D8" s="56" t="s">
        <v>101</v>
      </c>
      <c r="E8" s="69">
        <v>46196.583333333336</v>
      </c>
      <c r="F8" s="73" t="s">
        <v>103</v>
      </c>
      <c r="G8" s="60" t="s">
        <v>104</v>
      </c>
      <c r="H8" s="60" t="s">
        <v>106</v>
      </c>
      <c r="I8" s="67" t="s">
        <v>107</v>
      </c>
      <c r="J8" s="79" t="s">
        <v>132</v>
      </c>
      <c r="K8" s="67" t="s">
        <v>109</v>
      </c>
      <c r="L8" s="79" t="s">
        <v>111</v>
      </c>
      <c r="M8" s="83" t="s">
        <v>113</v>
      </c>
      <c r="N8" s="78">
        <v>36141.0</v>
      </c>
      <c r="O8" s="80" t="s">
        <v>27</v>
      </c>
      <c r="P8" s="70" t="s">
        <v>116</v>
      </c>
      <c r="Q8" s="54"/>
      <c r="R8" s="84"/>
      <c r="S8" s="84"/>
      <c r="T8" s="54" t="s">
        <v>122</v>
      </c>
      <c r="U8" s="86"/>
      <c r="V8" s="54"/>
      <c r="W8" s="86"/>
      <c r="X8" s="54"/>
      <c r="Y8" s="78"/>
      <c r="Z8" s="54"/>
      <c r="AA8" s="70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54" t="s">
        <v>127</v>
      </c>
      <c r="AR8" s="83" t="s">
        <v>129</v>
      </c>
      <c r="AS8" s="83" t="s">
        <v>130</v>
      </c>
      <c r="AT8" s="93" t="s">
        <v>132</v>
      </c>
      <c r="AU8" s="93" t="s">
        <v>132</v>
      </c>
      <c r="AV8" s="93" t="s">
        <v>132</v>
      </c>
      <c r="AW8" s="83" t="s">
        <v>133</v>
      </c>
      <c r="AX8" s="83">
        <v>3.0</v>
      </c>
      <c r="AY8" s="83">
        <v>1.0</v>
      </c>
      <c r="AZ8" s="83" t="s">
        <v>137</v>
      </c>
      <c r="BA8" s="83" t="s">
        <v>138</v>
      </c>
      <c r="BB8" s="83" t="s">
        <v>139</v>
      </c>
      <c r="BC8" s="54" t="s">
        <v>27</v>
      </c>
      <c r="BD8" s="54" t="str">
        <f t="shared" si="1"/>
        <v>Arequipa</v>
      </c>
      <c r="BE8" s="67" t="s">
        <v>143</v>
      </c>
      <c r="BF8" s="67" t="s">
        <v>144</v>
      </c>
      <c r="BG8" s="67" t="s">
        <v>142</v>
      </c>
      <c r="BH8" s="67"/>
      <c r="BI8" s="67"/>
      <c r="BJ8" s="67"/>
      <c r="BK8" s="67"/>
      <c r="BL8" s="67" t="s">
        <v>147</v>
      </c>
      <c r="BM8" s="67" t="s">
        <v>146</v>
      </c>
      <c r="BN8" s="100">
        <v>89.0</v>
      </c>
      <c r="BO8" s="102" t="s">
        <v>148</v>
      </c>
      <c r="BP8" s="67" t="s">
        <v>141</v>
      </c>
      <c r="BQ8" s="79" t="s">
        <v>141</v>
      </c>
      <c r="BR8" s="67" t="s">
        <v>149</v>
      </c>
      <c r="BS8" s="102" t="s">
        <v>149</v>
      </c>
      <c r="BT8" s="106">
        <v>46195.0</v>
      </c>
      <c r="BU8" s="107">
        <v>1.0</v>
      </c>
      <c r="BV8" s="108">
        <f t="shared" si="2"/>
        <v>46190</v>
      </c>
      <c r="BW8" s="108">
        <f t="shared" si="3"/>
        <v>46196</v>
      </c>
      <c r="BX8" s="102" t="str">
        <f t="shared" si="4"/>
        <v>14</v>
      </c>
      <c r="BY8" s="107">
        <f t="shared" si="5"/>
        <v>5</v>
      </c>
      <c r="BZ8" s="107">
        <f t="array" ref="BZ8">IF($A8&lt;&gt;"",INDEX(LISTA!$M$2:$N$27,MATCH($BC8,LISTA!$N$2:$N$27,0),1),"")</f>
        <v>7</v>
      </c>
      <c r="CA8" s="67">
        <f t="shared" si="6"/>
        <v>6</v>
      </c>
      <c r="CB8" s="114">
        <f t="shared" si="7"/>
        <v>6</v>
      </c>
      <c r="CC8" s="67">
        <v>5.7962165E7</v>
      </c>
    </row>
    <row r="9" ht="15.0" hidden="1" customHeight="1" outlineLevel="1">
      <c r="A9" s="59">
        <v>46193.41311096065</v>
      </c>
      <c r="B9" s="115" t="s">
        <v>105</v>
      </c>
      <c r="C9" s="54" t="s">
        <v>100</v>
      </c>
      <c r="D9" s="56" t="s">
        <v>150</v>
      </c>
      <c r="E9" s="69">
        <v>46196.458333333336</v>
      </c>
      <c r="F9" s="73" t="s">
        <v>415</v>
      </c>
      <c r="G9" s="60" t="s">
        <v>416</v>
      </c>
      <c r="H9" s="60" t="s">
        <v>418</v>
      </c>
      <c r="I9" s="67" t="s">
        <v>350</v>
      </c>
      <c r="J9" s="79" t="s">
        <v>420</v>
      </c>
      <c r="K9" s="67" t="s">
        <v>109</v>
      </c>
      <c r="L9" s="79" t="s">
        <v>421</v>
      </c>
      <c r="M9" s="83" t="s">
        <v>422</v>
      </c>
      <c r="N9" s="78">
        <v>35956.0</v>
      </c>
      <c r="O9" s="80" t="s">
        <v>30</v>
      </c>
      <c r="P9" s="70" t="s">
        <v>425</v>
      </c>
      <c r="Q9" s="54"/>
      <c r="R9" s="84"/>
      <c r="S9" s="84"/>
      <c r="T9" s="54"/>
      <c r="U9" s="86"/>
      <c r="V9" s="54"/>
      <c r="W9" s="86"/>
      <c r="X9" s="54"/>
      <c r="Y9" s="78"/>
      <c r="Z9" s="54"/>
      <c r="AA9" s="70"/>
      <c r="AB9" s="83"/>
      <c r="AC9" s="83"/>
      <c r="AD9" s="83"/>
      <c r="AE9" s="83"/>
      <c r="AF9" s="83" t="s">
        <v>431</v>
      </c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54" t="s">
        <v>432</v>
      </c>
      <c r="AR9" s="83" t="s">
        <v>433</v>
      </c>
      <c r="AS9" s="83" t="s">
        <v>434</v>
      </c>
      <c r="AT9" s="93" t="s">
        <v>420</v>
      </c>
      <c r="AU9" s="93" t="s">
        <v>420</v>
      </c>
      <c r="AV9" s="93" t="s">
        <v>420</v>
      </c>
      <c r="AW9" s="83" t="s">
        <v>435</v>
      </c>
      <c r="AX9" s="83">
        <v>5.0</v>
      </c>
      <c r="AY9" s="83">
        <v>504.0</v>
      </c>
      <c r="AZ9" s="83" t="s">
        <v>436</v>
      </c>
      <c r="BA9" s="83" t="s">
        <v>437</v>
      </c>
      <c r="BB9" s="83" t="s">
        <v>438</v>
      </c>
      <c r="BC9" s="54" t="s">
        <v>41</v>
      </c>
      <c r="BD9" s="54" t="str">
        <f t="shared" si="1"/>
        <v>La Victoria</v>
      </c>
      <c r="BE9" s="67" t="s">
        <v>140</v>
      </c>
      <c r="BF9" s="67" t="s">
        <v>141</v>
      </c>
      <c r="BG9" s="67" t="s">
        <v>142</v>
      </c>
      <c r="BH9" s="67"/>
      <c r="BI9" s="67"/>
      <c r="BJ9" s="67"/>
      <c r="BK9" s="67"/>
      <c r="BL9" s="67" t="s">
        <v>147</v>
      </c>
      <c r="BM9" s="67" t="s">
        <v>247</v>
      </c>
      <c r="BN9" s="100">
        <v>89.0</v>
      </c>
      <c r="BO9" s="102" t="s">
        <v>148</v>
      </c>
      <c r="BP9" s="67" t="s">
        <v>141</v>
      </c>
      <c r="BQ9" s="79" t="s">
        <v>141</v>
      </c>
      <c r="BR9" s="67" t="s">
        <v>149</v>
      </c>
      <c r="BS9" s="102">
        <v>1.0</v>
      </c>
      <c r="BT9" s="106">
        <v>46196.0</v>
      </c>
      <c r="BU9" s="107">
        <v>1.0</v>
      </c>
      <c r="BV9" s="108">
        <f t="shared" si="2"/>
        <v>46193</v>
      </c>
      <c r="BW9" s="108">
        <f t="shared" si="3"/>
        <v>46196</v>
      </c>
      <c r="BX9" s="102" t="str">
        <f t="shared" si="4"/>
        <v>11</v>
      </c>
      <c r="BY9" s="107">
        <f t="shared" si="5"/>
        <v>5</v>
      </c>
      <c r="BZ9" s="107">
        <f t="array" ref="BZ9">IF($A9&lt;&gt;"",INDEX(LISTA!$M$2:$N$27,MATCH($BC9,LISTA!$N$2:$N$27,0),1),"")</f>
        <v>1</v>
      </c>
      <c r="CA9" s="67">
        <f t="shared" si="6"/>
        <v>6</v>
      </c>
      <c r="CB9" s="114">
        <f t="shared" si="7"/>
        <v>6</v>
      </c>
      <c r="CC9" s="67">
        <v>5.7961785E7</v>
      </c>
    </row>
    <row r="10" ht="15.0" hidden="1" customHeight="1" outlineLevel="1">
      <c r="A10" s="59">
        <v>46195.50866983796</v>
      </c>
      <c r="B10" s="115" t="s">
        <v>105</v>
      </c>
      <c r="C10" s="54" t="s">
        <v>100</v>
      </c>
      <c r="D10" s="56" t="s">
        <v>101</v>
      </c>
      <c r="E10" s="69">
        <v>46196.458333333336</v>
      </c>
      <c r="F10" s="73" t="s">
        <v>443</v>
      </c>
      <c r="G10" s="60" t="s">
        <v>444</v>
      </c>
      <c r="H10" s="60" t="s">
        <v>445</v>
      </c>
      <c r="I10" s="67" t="s">
        <v>192</v>
      </c>
      <c r="J10" s="79" t="s">
        <v>446</v>
      </c>
      <c r="K10" s="67" t="s">
        <v>109</v>
      </c>
      <c r="L10" s="79" t="s">
        <v>447</v>
      </c>
      <c r="M10" s="83" t="s">
        <v>448</v>
      </c>
      <c r="N10" s="78">
        <v>30888.0</v>
      </c>
      <c r="O10" s="80" t="s">
        <v>24</v>
      </c>
      <c r="P10" s="70" t="s">
        <v>449</v>
      </c>
      <c r="Q10" s="54"/>
      <c r="R10" s="84" t="s">
        <v>450</v>
      </c>
      <c r="S10" s="84"/>
      <c r="T10" s="54"/>
      <c r="U10" s="86"/>
      <c r="V10" s="54"/>
      <c r="W10" s="86"/>
      <c r="X10" s="54"/>
      <c r="Y10" s="78"/>
      <c r="Z10" s="54"/>
      <c r="AA10" s="70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54" t="s">
        <v>461</v>
      </c>
      <c r="AR10" s="83" t="s">
        <v>462</v>
      </c>
      <c r="AS10" s="83" t="s">
        <v>463</v>
      </c>
      <c r="AT10" s="93" t="s">
        <v>446</v>
      </c>
      <c r="AU10" s="93" t="s">
        <v>446</v>
      </c>
      <c r="AV10" s="93" t="s">
        <v>446</v>
      </c>
      <c r="AW10" s="83" t="s">
        <v>465</v>
      </c>
      <c r="AX10" s="83">
        <v>3.0</v>
      </c>
      <c r="AY10" s="83">
        <v>1.0</v>
      </c>
      <c r="AZ10" s="83" t="s">
        <v>466</v>
      </c>
      <c r="BA10" s="83" t="s">
        <v>468</v>
      </c>
      <c r="BB10" s="83" t="s">
        <v>469</v>
      </c>
      <c r="BC10" s="54" t="s">
        <v>24</v>
      </c>
      <c r="BD10" s="54" t="str">
        <f t="shared" si="1"/>
        <v>Huaraz</v>
      </c>
      <c r="BE10" s="67" t="s">
        <v>140</v>
      </c>
      <c r="BF10" s="67" t="s">
        <v>141</v>
      </c>
      <c r="BG10" s="67" t="s">
        <v>142</v>
      </c>
      <c r="BH10" s="67"/>
      <c r="BI10" s="67"/>
      <c r="BJ10" s="67"/>
      <c r="BK10" s="67"/>
      <c r="BL10" s="67" t="s">
        <v>147</v>
      </c>
      <c r="BM10" s="67" t="s">
        <v>214</v>
      </c>
      <c r="BN10" s="100">
        <v>110.0</v>
      </c>
      <c r="BO10" s="102" t="s">
        <v>182</v>
      </c>
      <c r="BP10" s="67" t="s">
        <v>144</v>
      </c>
      <c r="BQ10" s="79" t="s">
        <v>141</v>
      </c>
      <c r="BR10" s="67" t="s">
        <v>149</v>
      </c>
      <c r="BS10" s="102">
        <v>1.0</v>
      </c>
      <c r="BT10" s="106">
        <v>46196.0</v>
      </c>
      <c r="BU10" s="107">
        <v>2.0</v>
      </c>
      <c r="BV10" s="108">
        <f t="shared" si="2"/>
        <v>46195</v>
      </c>
      <c r="BW10" s="108">
        <f t="shared" si="3"/>
        <v>46196</v>
      </c>
      <c r="BX10" s="102" t="str">
        <f t="shared" si="4"/>
        <v>11</v>
      </c>
      <c r="BY10" s="107">
        <f t="shared" si="5"/>
        <v>5</v>
      </c>
      <c r="BZ10" s="107">
        <f t="array" ref="BZ10">IF($A10&lt;&gt;"",INDEX(LISTA!$M$2:$N$27,MATCH($BC10,LISTA!$N$2:$N$27,0),1),"")</f>
        <v>5</v>
      </c>
      <c r="CA10" s="67">
        <f t="shared" si="6"/>
        <v>6</v>
      </c>
      <c r="CB10" s="114">
        <f t="shared" si="7"/>
        <v>6</v>
      </c>
      <c r="CC10" s="67">
        <v>5.7966743E7</v>
      </c>
    </row>
    <row r="11" ht="15.0" hidden="1" customHeight="1" outlineLevel="1">
      <c r="A11" s="59">
        <v>46196.508011412036</v>
      </c>
      <c r="B11" s="115" t="s">
        <v>105</v>
      </c>
      <c r="C11" s="54" t="s">
        <v>100</v>
      </c>
      <c r="D11" s="56" t="s">
        <v>101</v>
      </c>
      <c r="E11" s="69">
        <v>46197.458333333336</v>
      </c>
      <c r="F11" s="73" t="s">
        <v>284</v>
      </c>
      <c r="G11" s="60" t="s">
        <v>285</v>
      </c>
      <c r="H11" s="60" t="s">
        <v>286</v>
      </c>
      <c r="I11" s="67" t="s">
        <v>287</v>
      </c>
      <c r="J11" s="79" t="s">
        <v>288</v>
      </c>
      <c r="K11" s="67" t="s">
        <v>109</v>
      </c>
      <c r="L11" s="79" t="s">
        <v>290</v>
      </c>
      <c r="M11" s="83" t="s">
        <v>291</v>
      </c>
      <c r="N11" s="78">
        <v>33581.0</v>
      </c>
      <c r="O11" s="80" t="s">
        <v>41</v>
      </c>
      <c r="P11" s="70" t="s">
        <v>295</v>
      </c>
      <c r="Q11" s="54"/>
      <c r="R11" s="84"/>
      <c r="S11" s="84"/>
      <c r="T11" s="54"/>
      <c r="U11" s="86"/>
      <c r="V11" s="54"/>
      <c r="W11" s="86"/>
      <c r="X11" s="54"/>
      <c r="Y11" s="78"/>
      <c r="Z11" s="54"/>
      <c r="AA11" s="70"/>
      <c r="AB11" s="83"/>
      <c r="AC11" s="83"/>
      <c r="AD11" s="83"/>
      <c r="AE11" s="83"/>
      <c r="AF11" s="83" t="s">
        <v>300</v>
      </c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54" t="s">
        <v>309</v>
      </c>
      <c r="AR11" s="83" t="s">
        <v>310</v>
      </c>
      <c r="AS11" s="83" t="s">
        <v>312</v>
      </c>
      <c r="AT11" s="93" t="s">
        <v>288</v>
      </c>
      <c r="AU11" s="93" t="s">
        <v>288</v>
      </c>
      <c r="AV11" s="93" t="s">
        <v>313</v>
      </c>
      <c r="AW11" s="83" t="s">
        <v>314</v>
      </c>
      <c r="AX11" s="83">
        <v>2.0</v>
      </c>
      <c r="AY11" s="83">
        <v>0.0</v>
      </c>
      <c r="AZ11" s="83" t="s">
        <v>318</v>
      </c>
      <c r="BA11" s="83" t="s">
        <v>320</v>
      </c>
      <c r="BB11" s="83" t="s">
        <v>322</v>
      </c>
      <c r="BC11" s="54" t="s">
        <v>41</v>
      </c>
      <c r="BD11" s="54" t="str">
        <f t="shared" si="1"/>
        <v>Ate</v>
      </c>
      <c r="BE11" s="67" t="s">
        <v>140</v>
      </c>
      <c r="BF11" s="67" t="s">
        <v>141</v>
      </c>
      <c r="BG11" s="67" t="s">
        <v>142</v>
      </c>
      <c r="BH11" s="67"/>
      <c r="BI11" s="67"/>
      <c r="BJ11" s="67"/>
      <c r="BK11" s="67"/>
      <c r="BL11" s="67" t="s">
        <v>147</v>
      </c>
      <c r="BM11" s="67" t="s">
        <v>146</v>
      </c>
      <c r="BN11" s="100">
        <v>100.0</v>
      </c>
      <c r="BO11" s="102" t="s">
        <v>330</v>
      </c>
      <c r="BP11" s="67" t="s">
        <v>141</v>
      </c>
      <c r="BQ11" s="79" t="s">
        <v>141</v>
      </c>
      <c r="BR11" s="67" t="s">
        <v>149</v>
      </c>
      <c r="BS11" s="102">
        <v>2.0</v>
      </c>
      <c r="BT11" s="106">
        <v>46197.0</v>
      </c>
      <c r="BU11" s="107">
        <v>1.0</v>
      </c>
      <c r="BV11" s="108">
        <f t="shared" si="2"/>
        <v>46196</v>
      </c>
      <c r="BW11" s="108">
        <f t="shared" si="3"/>
        <v>46197</v>
      </c>
      <c r="BX11" s="102" t="str">
        <f t="shared" si="4"/>
        <v>11</v>
      </c>
      <c r="BY11" s="107">
        <f t="shared" si="5"/>
        <v>5</v>
      </c>
      <c r="BZ11" s="107">
        <f t="array" ref="BZ11">IF($A11&lt;&gt;"",INDEX(LISTA!$M$2:$N$27,MATCH($BC11,LISTA!$N$2:$N$27,0),1),"")</f>
        <v>1</v>
      </c>
      <c r="CA11" s="67">
        <f t="shared" si="6"/>
        <v>6</v>
      </c>
      <c r="CB11" s="114">
        <f t="shared" si="7"/>
        <v>6</v>
      </c>
      <c r="CC11" s="67">
        <v>5.7976322E7</v>
      </c>
    </row>
    <row r="12" ht="15.0" hidden="1" customHeight="1" outlineLevel="1">
      <c r="A12" s="59">
        <v>46196.78879158565</v>
      </c>
      <c r="B12" s="115" t="s">
        <v>105</v>
      </c>
      <c r="C12" s="54" t="s">
        <v>100</v>
      </c>
      <c r="D12" s="56" t="s">
        <v>150</v>
      </c>
      <c r="E12" s="69">
        <v>46197.458333333336</v>
      </c>
      <c r="F12" s="73" t="s">
        <v>103</v>
      </c>
      <c r="G12" s="60" t="s">
        <v>518</v>
      </c>
      <c r="H12" s="60" t="s">
        <v>519</v>
      </c>
      <c r="I12" s="67" t="s">
        <v>355</v>
      </c>
      <c r="J12" s="79" t="s">
        <v>520</v>
      </c>
      <c r="K12" s="67" t="s">
        <v>109</v>
      </c>
      <c r="L12" s="79" t="s">
        <v>475</v>
      </c>
      <c r="M12" s="83" t="s">
        <v>476</v>
      </c>
      <c r="N12" s="78">
        <v>33908.0</v>
      </c>
      <c r="O12" s="80" t="s">
        <v>34</v>
      </c>
      <c r="P12" s="70" t="s">
        <v>163</v>
      </c>
      <c r="Q12" s="54"/>
      <c r="R12" s="84"/>
      <c r="S12" s="84"/>
      <c r="T12" s="54"/>
      <c r="U12" s="86"/>
      <c r="V12" s="54"/>
      <c r="W12" s="86"/>
      <c r="X12" s="54"/>
      <c r="Y12" s="78"/>
      <c r="Z12" s="54"/>
      <c r="AA12" s="70" t="s">
        <v>525</v>
      </c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54" t="s">
        <v>530</v>
      </c>
      <c r="AR12" s="83" t="s">
        <v>531</v>
      </c>
      <c r="AS12" s="83" t="s">
        <v>534</v>
      </c>
      <c r="AT12" s="93" t="s">
        <v>520</v>
      </c>
      <c r="AU12" s="93" t="s">
        <v>520</v>
      </c>
      <c r="AV12" s="93" t="s">
        <v>520</v>
      </c>
      <c r="AW12" s="83" t="s">
        <v>536</v>
      </c>
      <c r="AX12" s="83">
        <v>1.0</v>
      </c>
      <c r="AY12" s="83" t="s">
        <v>174</v>
      </c>
      <c r="AZ12" s="83" t="s">
        <v>537</v>
      </c>
      <c r="BA12" s="83" t="s">
        <v>538</v>
      </c>
      <c r="BB12" s="83" t="s">
        <v>539</v>
      </c>
      <c r="BC12" s="54" t="s">
        <v>34</v>
      </c>
      <c r="BD12" s="70" t="str">
        <f t="shared" si="1"/>
        <v>Ica</v>
      </c>
      <c r="BE12" s="67" t="s">
        <v>143</v>
      </c>
      <c r="BF12" s="67" t="s">
        <v>141</v>
      </c>
      <c r="BG12" s="67" t="s">
        <v>142</v>
      </c>
      <c r="BH12" s="67"/>
      <c r="BI12" s="67"/>
      <c r="BJ12" s="67"/>
      <c r="BK12" s="67"/>
      <c r="BL12" s="67" t="s">
        <v>147</v>
      </c>
      <c r="BM12" s="67" t="s">
        <v>247</v>
      </c>
      <c r="BN12" s="100">
        <v>89.0</v>
      </c>
      <c r="BO12" s="102" t="s">
        <v>148</v>
      </c>
      <c r="BP12" s="67" t="s">
        <v>141</v>
      </c>
      <c r="BQ12" s="79" t="s">
        <v>141</v>
      </c>
      <c r="BR12" s="67" t="s">
        <v>149</v>
      </c>
      <c r="BS12" s="102" t="s">
        <v>149</v>
      </c>
      <c r="BT12" s="106">
        <v>46197.0</v>
      </c>
      <c r="BU12" s="107">
        <v>2.0</v>
      </c>
      <c r="BV12" s="108">
        <f t="shared" si="2"/>
        <v>46196</v>
      </c>
      <c r="BW12" s="108">
        <f t="shared" si="3"/>
        <v>46197</v>
      </c>
      <c r="BX12" s="102" t="str">
        <f t="shared" si="4"/>
        <v>11</v>
      </c>
      <c r="BY12" s="107">
        <f t="shared" si="5"/>
        <v>5</v>
      </c>
      <c r="BZ12" s="107">
        <f t="array" ref="BZ12">IF($A12&lt;&gt;"",INDEX(LISTA!$M$2:$N$27,MATCH($BC12,LISTA!$N$2:$N$27,0),1),"")</f>
        <v>13</v>
      </c>
      <c r="CA12" s="67">
        <f t="shared" si="6"/>
        <v>6</v>
      </c>
      <c r="CB12" s="114">
        <f t="shared" si="7"/>
        <v>6</v>
      </c>
      <c r="CC12" s="67">
        <v>5.7980272E7</v>
      </c>
    </row>
    <row r="13" ht="15.0" hidden="1" customHeight="1" outlineLevel="1">
      <c r="A13" s="59">
        <v>46190.46974613426</v>
      </c>
      <c r="B13" s="115" t="s">
        <v>105</v>
      </c>
      <c r="C13" s="54" t="s">
        <v>100</v>
      </c>
      <c r="D13" s="154" t="s">
        <v>346</v>
      </c>
      <c r="E13" s="69">
        <v>46198.375</v>
      </c>
      <c r="F13" s="73" t="s">
        <v>557</v>
      </c>
      <c r="G13" s="60" t="s">
        <v>558</v>
      </c>
      <c r="H13" s="60" t="s">
        <v>559</v>
      </c>
      <c r="I13" s="67" t="s">
        <v>192</v>
      </c>
      <c r="J13" s="79" t="s">
        <v>562</v>
      </c>
      <c r="K13" s="67" t="s">
        <v>109</v>
      </c>
      <c r="L13" s="79" t="s">
        <v>481</v>
      </c>
      <c r="M13" s="83" t="s">
        <v>566</v>
      </c>
      <c r="N13" s="78">
        <v>21472.0</v>
      </c>
      <c r="O13" s="80" t="s">
        <v>36</v>
      </c>
      <c r="P13" s="70" t="s">
        <v>163</v>
      </c>
      <c r="Q13" s="54"/>
      <c r="R13" s="84"/>
      <c r="S13" s="84"/>
      <c r="T13" s="54"/>
      <c r="U13" s="86"/>
      <c r="V13" s="54"/>
      <c r="W13" s="86"/>
      <c r="X13" s="54"/>
      <c r="Y13" s="78"/>
      <c r="Z13" s="54"/>
      <c r="AA13" s="70"/>
      <c r="AB13" s="83"/>
      <c r="AC13" s="83"/>
      <c r="AD13" s="83"/>
      <c r="AE13" s="83"/>
      <c r="AF13" s="83" t="s">
        <v>577</v>
      </c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54" t="s">
        <v>578</v>
      </c>
      <c r="AR13" s="83" t="s">
        <v>581</v>
      </c>
      <c r="AS13" s="83" t="s">
        <v>582</v>
      </c>
      <c r="AT13" s="93" t="s">
        <v>562</v>
      </c>
      <c r="AU13" s="93" t="s">
        <v>562</v>
      </c>
      <c r="AV13" s="93" t="s">
        <v>562</v>
      </c>
      <c r="AW13" s="83" t="s">
        <v>583</v>
      </c>
      <c r="AX13" s="83">
        <v>4.0</v>
      </c>
      <c r="AY13" s="83">
        <v>401.0</v>
      </c>
      <c r="AZ13" s="83" t="s">
        <v>584</v>
      </c>
      <c r="BA13" s="83" t="s">
        <v>585</v>
      </c>
      <c r="BB13" s="83" t="s">
        <v>587</v>
      </c>
      <c r="BC13" s="54" t="s">
        <v>41</v>
      </c>
      <c r="BD13" s="54" t="str">
        <f t="shared" si="1"/>
        <v>Rimac</v>
      </c>
      <c r="BE13" s="67" t="s">
        <v>140</v>
      </c>
      <c r="BF13" s="67" t="s">
        <v>144</v>
      </c>
      <c r="BG13" s="67" t="s">
        <v>142</v>
      </c>
      <c r="BH13" s="67"/>
      <c r="BI13" s="67"/>
      <c r="BJ13" s="67"/>
      <c r="BK13" s="67"/>
      <c r="BL13" s="67" t="s">
        <v>213</v>
      </c>
      <c r="BM13" s="67" t="s">
        <v>214</v>
      </c>
      <c r="BN13" s="100">
        <v>110.0</v>
      </c>
      <c r="BO13" s="102" t="s">
        <v>182</v>
      </c>
      <c r="BP13" s="67" t="s">
        <v>144</v>
      </c>
      <c r="BQ13" s="79" t="s">
        <v>141</v>
      </c>
      <c r="BR13" s="67" t="s">
        <v>149</v>
      </c>
      <c r="BS13" s="102">
        <v>1.0</v>
      </c>
      <c r="BT13" s="106">
        <v>46198.0</v>
      </c>
      <c r="BU13" s="107">
        <v>1.0</v>
      </c>
      <c r="BV13" s="108">
        <f t="shared" si="2"/>
        <v>46190</v>
      </c>
      <c r="BW13" s="108">
        <f t="shared" si="3"/>
        <v>46198</v>
      </c>
      <c r="BX13" s="102" t="str">
        <f t="shared" si="4"/>
        <v>09</v>
      </c>
      <c r="BY13" s="107">
        <f t="shared" si="5"/>
        <v>5</v>
      </c>
      <c r="BZ13" s="107">
        <f t="array" ref="BZ13">IF($A13&lt;&gt;"",INDEX(LISTA!$M$2:$N$27,MATCH($BC13,LISTA!$N$2:$N$27,0),1),"")</f>
        <v>1</v>
      </c>
      <c r="CA13" s="67">
        <f t="shared" si="6"/>
        <v>6</v>
      </c>
      <c r="CB13" s="114">
        <f t="shared" si="7"/>
        <v>6</v>
      </c>
      <c r="CC13" s="67">
        <v>5.7935387E7</v>
      </c>
    </row>
    <row r="14" ht="15.0" hidden="1" customHeight="1" outlineLevel="1">
      <c r="A14" s="59">
        <v>46198.42127554398</v>
      </c>
      <c r="B14" s="115" t="s">
        <v>105</v>
      </c>
      <c r="C14" s="54" t="s">
        <v>100</v>
      </c>
      <c r="D14" s="56" t="s">
        <v>101</v>
      </c>
      <c r="E14" s="69">
        <v>46198.666666666664</v>
      </c>
      <c r="F14" s="73" t="s">
        <v>215</v>
      </c>
      <c r="G14" s="60" t="s">
        <v>216</v>
      </c>
      <c r="H14" s="60" t="s">
        <v>217</v>
      </c>
      <c r="I14" s="67" t="s">
        <v>192</v>
      </c>
      <c r="J14" s="79" t="s">
        <v>220</v>
      </c>
      <c r="K14" s="67" t="s">
        <v>109</v>
      </c>
      <c r="L14" s="79" t="s">
        <v>222</v>
      </c>
      <c r="M14" s="83" t="s">
        <v>224</v>
      </c>
      <c r="N14" s="78">
        <v>33617.0</v>
      </c>
      <c r="O14" s="80" t="s">
        <v>45</v>
      </c>
      <c r="P14" s="70" t="s">
        <v>226</v>
      </c>
      <c r="Q14" s="54"/>
      <c r="R14" s="84"/>
      <c r="S14" s="84"/>
      <c r="T14" s="54"/>
      <c r="U14" s="86"/>
      <c r="V14" s="54"/>
      <c r="W14" s="86"/>
      <c r="X14" s="54"/>
      <c r="Y14" s="78"/>
      <c r="Z14" s="54"/>
      <c r="AA14" s="70"/>
      <c r="AB14" s="83" t="s">
        <v>229</v>
      </c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54" t="s">
        <v>231</v>
      </c>
      <c r="AR14" s="83" t="s">
        <v>232</v>
      </c>
      <c r="AS14" s="83" t="s">
        <v>233</v>
      </c>
      <c r="AT14" s="93" t="s">
        <v>220</v>
      </c>
      <c r="AU14" s="93" t="s">
        <v>220</v>
      </c>
      <c r="AV14" s="93" t="s">
        <v>220</v>
      </c>
      <c r="AW14" s="83" t="s">
        <v>235</v>
      </c>
      <c r="AX14" s="83">
        <v>2.0</v>
      </c>
      <c r="AY14" s="83" t="s">
        <v>238</v>
      </c>
      <c r="AZ14" s="83" t="s">
        <v>240</v>
      </c>
      <c r="BA14" s="83" t="s">
        <v>241</v>
      </c>
      <c r="BB14" s="83" t="s">
        <v>242</v>
      </c>
      <c r="BC14" s="54" t="s">
        <v>36</v>
      </c>
      <c r="BD14" s="54" t="str">
        <f t="shared" si="1"/>
        <v>Chanchamayo</v>
      </c>
      <c r="BE14" s="67" t="s">
        <v>140</v>
      </c>
      <c r="BF14" s="67" t="s">
        <v>141</v>
      </c>
      <c r="BG14" s="67" t="s">
        <v>142</v>
      </c>
      <c r="BH14" s="67"/>
      <c r="BI14" s="67"/>
      <c r="BJ14" s="67"/>
      <c r="BK14" s="67"/>
      <c r="BL14" s="67" t="s">
        <v>147</v>
      </c>
      <c r="BM14" s="67" t="s">
        <v>247</v>
      </c>
      <c r="BN14" s="100">
        <v>89.0</v>
      </c>
      <c r="BO14" s="102" t="s">
        <v>148</v>
      </c>
      <c r="BP14" s="67" t="s">
        <v>141</v>
      </c>
      <c r="BQ14" s="79" t="s">
        <v>141</v>
      </c>
      <c r="BR14" s="67" t="s">
        <v>149</v>
      </c>
      <c r="BS14" s="102">
        <v>1.0</v>
      </c>
      <c r="BT14" s="106">
        <v>46198.0</v>
      </c>
      <c r="BU14" s="107">
        <v>2.0</v>
      </c>
      <c r="BV14" s="108">
        <f t="shared" si="2"/>
        <v>46198</v>
      </c>
      <c r="BW14" s="108">
        <f t="shared" si="3"/>
        <v>46198</v>
      </c>
      <c r="BX14" s="102" t="str">
        <f t="shared" si="4"/>
        <v>16</v>
      </c>
      <c r="BY14" s="107">
        <f t="shared" si="5"/>
        <v>5</v>
      </c>
      <c r="BZ14" s="107">
        <f t="array" ref="BZ14">IF($A14&lt;&gt;"",INDEX(LISTA!$M$2:$N$27,MATCH($BC14,LISTA!$N$2:$N$27,0),1),"")</f>
        <v>14</v>
      </c>
      <c r="CA14" s="67">
        <f t="shared" si="6"/>
        <v>6</v>
      </c>
      <c r="CB14" s="114">
        <f t="shared" si="7"/>
        <v>6</v>
      </c>
      <c r="CC14" s="67">
        <v>5.7989727E7</v>
      </c>
    </row>
    <row r="15" ht="15.0" hidden="1" customHeight="1" outlineLevel="1">
      <c r="A15" s="59">
        <v>46197.501868067135</v>
      </c>
      <c r="B15" s="115" t="s">
        <v>105</v>
      </c>
      <c r="C15" s="54" t="s">
        <v>100</v>
      </c>
      <c r="D15" s="56" t="s">
        <v>101</v>
      </c>
      <c r="E15" s="69">
        <v>46198.583333333336</v>
      </c>
      <c r="F15" s="73" t="s">
        <v>493</v>
      </c>
      <c r="G15" s="60" t="s">
        <v>494</v>
      </c>
      <c r="H15" s="60" t="s">
        <v>495</v>
      </c>
      <c r="I15" s="67" t="s">
        <v>287</v>
      </c>
      <c r="J15" s="79" t="s">
        <v>496</v>
      </c>
      <c r="K15" s="67" t="s">
        <v>109</v>
      </c>
      <c r="L15" s="79" t="s">
        <v>483</v>
      </c>
      <c r="M15" s="83" t="s">
        <v>499</v>
      </c>
      <c r="N15" s="78">
        <v>31111.0</v>
      </c>
      <c r="O15" s="80" t="s">
        <v>41</v>
      </c>
      <c r="P15" s="70" t="s">
        <v>500</v>
      </c>
      <c r="Q15" s="54"/>
      <c r="R15" s="84"/>
      <c r="S15" s="84"/>
      <c r="T15" s="54"/>
      <c r="U15" s="86"/>
      <c r="V15" s="54"/>
      <c r="W15" s="86"/>
      <c r="X15" s="54"/>
      <c r="Y15" s="78"/>
      <c r="Z15" s="54"/>
      <c r="AA15" s="70"/>
      <c r="AB15" s="83"/>
      <c r="AC15" s="83"/>
      <c r="AD15" s="83"/>
      <c r="AE15" s="83"/>
      <c r="AF15" s="83" t="s">
        <v>507</v>
      </c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54" t="s">
        <v>508</v>
      </c>
      <c r="AR15" s="83" t="s">
        <v>509</v>
      </c>
      <c r="AS15" s="83" t="s">
        <v>510</v>
      </c>
      <c r="AT15" s="93" t="s">
        <v>513</v>
      </c>
      <c r="AU15" s="93" t="s">
        <v>513</v>
      </c>
      <c r="AV15" s="93" t="s">
        <v>513</v>
      </c>
      <c r="AW15" s="83" t="s">
        <v>514</v>
      </c>
      <c r="AX15" s="83">
        <v>2.0</v>
      </c>
      <c r="AY15" s="83" t="s">
        <v>238</v>
      </c>
      <c r="AZ15" s="83" t="s">
        <v>515</v>
      </c>
      <c r="BA15" s="83" t="s">
        <v>516</v>
      </c>
      <c r="BB15" s="83" t="s">
        <v>517</v>
      </c>
      <c r="BC15" s="54" t="s">
        <v>41</v>
      </c>
      <c r="BD15" s="54" t="str">
        <f t="shared" si="1"/>
        <v>San Juan de Miraflores</v>
      </c>
      <c r="BE15" s="67" t="s">
        <v>140</v>
      </c>
      <c r="BF15" s="67" t="s">
        <v>144</v>
      </c>
      <c r="BG15" s="67" t="s">
        <v>142</v>
      </c>
      <c r="BH15" s="67"/>
      <c r="BI15" s="67"/>
      <c r="BJ15" s="67"/>
      <c r="BK15" s="67"/>
      <c r="BL15" s="67" t="s">
        <v>283</v>
      </c>
      <c r="BM15" s="67" t="s">
        <v>146</v>
      </c>
      <c r="BN15" s="100">
        <v>94.0</v>
      </c>
      <c r="BO15" s="102" t="s">
        <v>148</v>
      </c>
      <c r="BP15" s="67" t="s">
        <v>141</v>
      </c>
      <c r="BQ15" s="79" t="s">
        <v>144</v>
      </c>
      <c r="BR15" s="67" t="s">
        <v>149</v>
      </c>
      <c r="BS15" s="102">
        <v>1.0</v>
      </c>
      <c r="BT15" s="106">
        <v>46198.0</v>
      </c>
      <c r="BU15" s="107">
        <v>3.0</v>
      </c>
      <c r="BV15" s="108">
        <f t="shared" si="2"/>
        <v>46197</v>
      </c>
      <c r="BW15" s="108">
        <f t="shared" si="3"/>
        <v>46198</v>
      </c>
      <c r="BX15" s="102" t="str">
        <f t="shared" si="4"/>
        <v>14</v>
      </c>
      <c r="BY15" s="107">
        <f t="shared" si="5"/>
        <v>5</v>
      </c>
      <c r="BZ15" s="107">
        <f t="array" ref="BZ15">IF($A15&lt;&gt;"",INDEX(LISTA!$M$2:$N$27,MATCH($BC15,LISTA!$N$2:$N$27,0),1),"")</f>
        <v>1</v>
      </c>
      <c r="CA15" s="67">
        <f t="shared" si="6"/>
        <v>6</v>
      </c>
      <c r="CB15" s="114">
        <f t="shared" si="7"/>
        <v>6</v>
      </c>
      <c r="CC15" s="67">
        <v>5.7983378E7</v>
      </c>
    </row>
    <row r="16" ht="15.0" hidden="1" customHeight="1" outlineLevel="1">
      <c r="A16" s="59">
        <v>46198.86194633102</v>
      </c>
      <c r="B16" s="115" t="s">
        <v>105</v>
      </c>
      <c r="C16" s="54" t="s">
        <v>100</v>
      </c>
      <c r="D16" s="56" t="s">
        <v>150</v>
      </c>
      <c r="E16" s="69">
        <v>46200.458333333336</v>
      </c>
      <c r="F16" s="73" t="s">
        <v>151</v>
      </c>
      <c r="G16" s="60" t="s">
        <v>152</v>
      </c>
      <c r="H16" s="60" t="s">
        <v>154</v>
      </c>
      <c r="I16" s="67" t="s">
        <v>156</v>
      </c>
      <c r="J16" s="79" t="s">
        <v>157</v>
      </c>
      <c r="K16" s="67" t="s">
        <v>109</v>
      </c>
      <c r="L16" s="79" t="s">
        <v>159</v>
      </c>
      <c r="M16" s="83" t="s">
        <v>161</v>
      </c>
      <c r="N16" s="78">
        <v>37407.0</v>
      </c>
      <c r="O16" s="80" t="s">
        <v>49</v>
      </c>
      <c r="P16" s="70" t="s">
        <v>164</v>
      </c>
      <c r="Q16" s="54"/>
      <c r="R16" s="84"/>
      <c r="S16" s="84"/>
      <c r="T16" s="54"/>
      <c r="U16" s="86"/>
      <c r="V16" s="54"/>
      <c r="W16" s="86"/>
      <c r="X16" s="54"/>
      <c r="Y16" s="78"/>
      <c r="Z16" s="54"/>
      <c r="AA16" s="70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 t="s">
        <v>166</v>
      </c>
      <c r="AN16" s="83"/>
      <c r="AO16" s="83"/>
      <c r="AP16" s="83"/>
      <c r="AQ16" s="54" t="s">
        <v>167</v>
      </c>
      <c r="AR16" s="83" t="s">
        <v>168</v>
      </c>
      <c r="AS16" s="83" t="s">
        <v>169</v>
      </c>
      <c r="AT16" s="93" t="s">
        <v>157</v>
      </c>
      <c r="AU16" s="93" t="s">
        <v>157</v>
      </c>
      <c r="AV16" s="93" t="s">
        <v>157</v>
      </c>
      <c r="AW16" s="83" t="s">
        <v>171</v>
      </c>
      <c r="AX16" s="83">
        <v>1.0</v>
      </c>
      <c r="AY16" s="83" t="s">
        <v>174</v>
      </c>
      <c r="AZ16" s="83" t="s">
        <v>175</v>
      </c>
      <c r="BA16" s="83" t="s">
        <v>176</v>
      </c>
      <c r="BB16" s="83" t="s">
        <v>177</v>
      </c>
      <c r="BC16" s="54" t="s">
        <v>49</v>
      </c>
      <c r="BD16" s="54" t="str">
        <f t="shared" si="1"/>
        <v>San Martín</v>
      </c>
      <c r="BE16" s="67" t="s">
        <v>140</v>
      </c>
      <c r="BF16" s="67" t="s">
        <v>144</v>
      </c>
      <c r="BG16" s="67" t="s">
        <v>142</v>
      </c>
      <c r="BH16" s="67"/>
      <c r="BI16" s="67"/>
      <c r="BJ16" s="67"/>
      <c r="BK16" s="67"/>
      <c r="BL16" s="67" t="s">
        <v>147</v>
      </c>
      <c r="BM16" s="67" t="s">
        <v>146</v>
      </c>
      <c r="BN16" s="100">
        <v>89.0</v>
      </c>
      <c r="BO16" s="102" t="s">
        <v>148</v>
      </c>
      <c r="BP16" s="67" t="s">
        <v>141</v>
      </c>
      <c r="BQ16" s="79" t="s">
        <v>141</v>
      </c>
      <c r="BR16" s="67" t="s">
        <v>149</v>
      </c>
      <c r="BS16" s="102">
        <v>1.0</v>
      </c>
      <c r="BT16" s="106">
        <v>46199.0</v>
      </c>
      <c r="BU16" s="107">
        <v>1.0</v>
      </c>
      <c r="BV16" s="108">
        <f t="shared" si="2"/>
        <v>46198</v>
      </c>
      <c r="BW16" s="108">
        <f t="shared" si="3"/>
        <v>46200</v>
      </c>
      <c r="BX16" s="102" t="str">
        <f t="shared" si="4"/>
        <v>11</v>
      </c>
      <c r="BY16" s="107">
        <f t="shared" si="5"/>
        <v>5</v>
      </c>
      <c r="BZ16" s="107">
        <f t="array" ref="BZ16">IF($A16&lt;&gt;"",INDEX(LISTA!$M$2:$N$27,MATCH($BC16,LISTA!$N$2:$N$27,0),1),"")</f>
        <v>23</v>
      </c>
      <c r="CA16" s="67">
        <f t="shared" si="6"/>
        <v>6</v>
      </c>
      <c r="CB16" s="114">
        <f t="shared" si="7"/>
        <v>6</v>
      </c>
      <c r="CC16" s="67">
        <v>5.7997036E7</v>
      </c>
    </row>
    <row r="17" ht="15.0" hidden="1" customHeight="1" outlineLevel="1">
      <c r="A17" s="59">
        <v>46196.57626824074</v>
      </c>
      <c r="B17" s="115" t="s">
        <v>105</v>
      </c>
      <c r="C17" s="54" t="s">
        <v>100</v>
      </c>
      <c r="D17" s="56" t="s">
        <v>101</v>
      </c>
      <c r="E17" s="69">
        <v>46199.583333333336</v>
      </c>
      <c r="F17" s="73" t="s">
        <v>451</v>
      </c>
      <c r="G17" s="60" t="s">
        <v>453</v>
      </c>
      <c r="H17" s="60" t="s">
        <v>455</v>
      </c>
      <c r="I17" s="67" t="s">
        <v>360</v>
      </c>
      <c r="J17" s="79" t="s">
        <v>456</v>
      </c>
      <c r="K17" s="67" t="s">
        <v>109</v>
      </c>
      <c r="L17" s="79" t="s">
        <v>457</v>
      </c>
      <c r="M17" s="83" t="s">
        <v>458</v>
      </c>
      <c r="N17" s="78">
        <v>34087.0</v>
      </c>
      <c r="O17" s="80" t="s">
        <v>41</v>
      </c>
      <c r="P17" s="70" t="s">
        <v>459</v>
      </c>
      <c r="Q17" s="54"/>
      <c r="R17" s="84"/>
      <c r="S17" s="84"/>
      <c r="T17" s="54"/>
      <c r="U17" s="86"/>
      <c r="V17" s="54"/>
      <c r="W17" s="86"/>
      <c r="X17" s="54"/>
      <c r="Y17" s="78"/>
      <c r="Z17" s="54"/>
      <c r="AA17" s="70"/>
      <c r="AB17" s="83"/>
      <c r="AC17" s="83"/>
      <c r="AD17" s="83"/>
      <c r="AE17" s="83"/>
      <c r="AF17" s="83" t="s">
        <v>467</v>
      </c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54" t="s">
        <v>472</v>
      </c>
      <c r="AR17" s="83" t="s">
        <v>473</v>
      </c>
      <c r="AS17" s="83" t="s">
        <v>474</v>
      </c>
      <c r="AT17" s="93" t="s">
        <v>456</v>
      </c>
      <c r="AU17" s="93" t="s">
        <v>456</v>
      </c>
      <c r="AV17" s="93" t="s">
        <v>456</v>
      </c>
      <c r="AW17" s="83" t="s">
        <v>477</v>
      </c>
      <c r="AX17" s="83">
        <v>9.0</v>
      </c>
      <c r="AY17" s="83">
        <v>901.0</v>
      </c>
      <c r="AZ17" s="83" t="s">
        <v>478</v>
      </c>
      <c r="BA17" s="83" t="s">
        <v>479</v>
      </c>
      <c r="BB17" s="83" t="s">
        <v>480</v>
      </c>
      <c r="BC17" s="54" t="s">
        <v>41</v>
      </c>
      <c r="BD17" s="54" t="str">
        <f t="shared" si="1"/>
        <v>Surquillo</v>
      </c>
      <c r="BE17" s="67" t="s">
        <v>140</v>
      </c>
      <c r="BF17" s="67" t="s">
        <v>144</v>
      </c>
      <c r="BG17" s="67" t="s">
        <v>142</v>
      </c>
      <c r="BH17" s="67"/>
      <c r="BI17" s="67"/>
      <c r="BJ17" s="67"/>
      <c r="BK17" s="67"/>
      <c r="BL17" s="67" t="s">
        <v>147</v>
      </c>
      <c r="BM17" s="67" t="s">
        <v>146</v>
      </c>
      <c r="BN17" s="100">
        <v>110.0</v>
      </c>
      <c r="BO17" s="102" t="s">
        <v>182</v>
      </c>
      <c r="BP17" s="67" t="s">
        <v>144</v>
      </c>
      <c r="BQ17" s="79" t="s">
        <v>141</v>
      </c>
      <c r="BR17" s="67" t="s">
        <v>149</v>
      </c>
      <c r="BS17" s="102" t="s">
        <v>149</v>
      </c>
      <c r="BT17" s="106">
        <v>46199.0</v>
      </c>
      <c r="BU17" s="107">
        <v>2.0</v>
      </c>
      <c r="BV17" s="108">
        <f t="shared" si="2"/>
        <v>46196</v>
      </c>
      <c r="BW17" s="108">
        <f t="shared" si="3"/>
        <v>46199</v>
      </c>
      <c r="BX17" s="102" t="str">
        <f t="shared" si="4"/>
        <v>14</v>
      </c>
      <c r="BY17" s="107">
        <f t="shared" si="5"/>
        <v>5</v>
      </c>
      <c r="BZ17" s="107">
        <f t="array" ref="BZ17">IF($A17&lt;&gt;"",INDEX(LISTA!$M$2:$N$27,MATCH($BC17,LISTA!$N$2:$N$27,0),1),"")</f>
        <v>1</v>
      </c>
      <c r="CA17" s="67">
        <f t="shared" si="6"/>
        <v>6</v>
      </c>
      <c r="CB17" s="114">
        <f t="shared" si="7"/>
        <v>6</v>
      </c>
      <c r="CC17" s="67">
        <v>5.7976602E7</v>
      </c>
    </row>
    <row r="18" ht="15.0" hidden="1" customHeight="1" outlineLevel="1">
      <c r="A18" s="59">
        <v>46198.72819335648</v>
      </c>
      <c r="B18" s="115" t="s">
        <v>105</v>
      </c>
      <c r="C18" s="54" t="s">
        <v>100</v>
      </c>
      <c r="D18" s="56" t="s">
        <v>101</v>
      </c>
      <c r="E18" s="69">
        <v>46200.5</v>
      </c>
      <c r="F18" s="73" t="s">
        <v>686</v>
      </c>
      <c r="G18" s="60" t="s">
        <v>687</v>
      </c>
      <c r="H18" s="60" t="s">
        <v>688</v>
      </c>
      <c r="I18" s="67" t="s">
        <v>192</v>
      </c>
      <c r="J18" s="79" t="s">
        <v>689</v>
      </c>
      <c r="K18" s="67" t="s">
        <v>109</v>
      </c>
      <c r="L18" s="79" t="s">
        <v>488</v>
      </c>
      <c r="M18" s="83" t="s">
        <v>489</v>
      </c>
      <c r="N18" s="78">
        <v>32425.0</v>
      </c>
      <c r="O18" s="80" t="s">
        <v>29</v>
      </c>
      <c r="P18" s="70" t="s">
        <v>690</v>
      </c>
      <c r="Q18" s="54"/>
      <c r="R18" s="84"/>
      <c r="S18" s="84"/>
      <c r="T18" s="54"/>
      <c r="U18" s="86"/>
      <c r="V18" s="54"/>
      <c r="W18" s="86"/>
      <c r="X18" s="54"/>
      <c r="Y18" s="78"/>
      <c r="Z18" s="54"/>
      <c r="AA18" s="70"/>
      <c r="AB18" s="83"/>
      <c r="AC18" s="83"/>
      <c r="AD18" s="83"/>
      <c r="AE18" s="83"/>
      <c r="AF18" s="83" t="s">
        <v>691</v>
      </c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54" t="s">
        <v>692</v>
      </c>
      <c r="AR18" s="83" t="s">
        <v>693</v>
      </c>
      <c r="AS18" s="83" t="s">
        <v>694</v>
      </c>
      <c r="AT18" s="93" t="s">
        <v>689</v>
      </c>
      <c r="AU18" s="93" t="s">
        <v>689</v>
      </c>
      <c r="AV18" s="93" t="s">
        <v>689</v>
      </c>
      <c r="AW18" s="83" t="s">
        <v>695</v>
      </c>
      <c r="AX18" s="83">
        <v>10.0</v>
      </c>
      <c r="AY18" s="83">
        <v>1008.0</v>
      </c>
      <c r="AZ18" s="83" t="s">
        <v>696</v>
      </c>
      <c r="BA18" s="83" t="s">
        <v>697</v>
      </c>
      <c r="BB18" s="83" t="s">
        <v>698</v>
      </c>
      <c r="BC18" s="54" t="s">
        <v>41</v>
      </c>
      <c r="BD18" s="54" t="str">
        <f t="shared" si="1"/>
        <v>Comas</v>
      </c>
      <c r="BE18" s="67" t="s">
        <v>143</v>
      </c>
      <c r="BF18" s="67" t="s">
        <v>144</v>
      </c>
      <c r="BG18" s="67" t="s">
        <v>142</v>
      </c>
      <c r="BH18" s="67"/>
      <c r="BI18" s="67"/>
      <c r="BJ18" s="67"/>
      <c r="BK18" s="67"/>
      <c r="BL18" s="67" t="s">
        <v>145</v>
      </c>
      <c r="BM18" s="67" t="s">
        <v>214</v>
      </c>
      <c r="BN18" s="100">
        <v>170.0</v>
      </c>
      <c r="BO18" s="102" t="s">
        <v>148</v>
      </c>
      <c r="BP18" s="67" t="s">
        <v>144</v>
      </c>
      <c r="BQ18" s="79" t="s">
        <v>141</v>
      </c>
      <c r="BR18" s="67">
        <v>2.0</v>
      </c>
      <c r="BS18" s="102" t="s">
        <v>149</v>
      </c>
      <c r="BT18" s="106">
        <v>46200.0</v>
      </c>
      <c r="BU18" s="107">
        <v>1.0</v>
      </c>
      <c r="BV18" s="108">
        <f t="shared" si="2"/>
        <v>46198</v>
      </c>
      <c r="BW18" s="108">
        <f t="shared" si="3"/>
        <v>46200</v>
      </c>
      <c r="BX18" s="102" t="str">
        <f t="shared" si="4"/>
        <v>12</v>
      </c>
      <c r="BY18" s="107">
        <f t="shared" si="5"/>
        <v>5</v>
      </c>
      <c r="BZ18" s="107">
        <f t="array" ref="BZ18">IF($A18&lt;&gt;"",INDEX(LISTA!$M$2:$N$27,MATCH($BC18,LISTA!$N$2:$N$27,0),1),"")</f>
        <v>1</v>
      </c>
      <c r="CA18" s="67">
        <f t="shared" si="6"/>
        <v>6</v>
      </c>
      <c r="CB18" s="114">
        <f t="shared" si="7"/>
        <v>6</v>
      </c>
      <c r="CC18" s="67">
        <v>5.7995429E7</v>
      </c>
    </row>
    <row r="19" ht="15.0" hidden="1" customHeight="1" outlineLevel="1">
      <c r="A19" s="59">
        <v>46198.601019837966</v>
      </c>
      <c r="B19" s="115" t="s">
        <v>105</v>
      </c>
      <c r="C19" s="54" t="s">
        <v>100</v>
      </c>
      <c r="D19" s="56" t="s">
        <v>101</v>
      </c>
      <c r="E19" s="69">
        <v>46201.375</v>
      </c>
      <c r="F19" s="73" t="s">
        <v>544</v>
      </c>
      <c r="G19" s="60" t="s">
        <v>545</v>
      </c>
      <c r="H19" s="60" t="s">
        <v>546</v>
      </c>
      <c r="I19" s="67" t="s">
        <v>360</v>
      </c>
      <c r="J19" s="79" t="s">
        <v>547</v>
      </c>
      <c r="K19" s="67" t="s">
        <v>109</v>
      </c>
      <c r="L19" s="79" t="s">
        <v>491</v>
      </c>
      <c r="M19" s="83" t="s">
        <v>492</v>
      </c>
      <c r="N19" s="78">
        <v>35060.0</v>
      </c>
      <c r="O19" s="80" t="s">
        <v>37</v>
      </c>
      <c r="P19" s="70" t="s">
        <v>550</v>
      </c>
      <c r="Q19" s="54"/>
      <c r="R19" s="84"/>
      <c r="S19" s="84"/>
      <c r="T19" s="54"/>
      <c r="U19" s="86"/>
      <c r="V19" s="54"/>
      <c r="W19" s="86" t="s">
        <v>553</v>
      </c>
      <c r="X19" s="54"/>
      <c r="Y19" s="78"/>
      <c r="Z19" s="54"/>
      <c r="AA19" s="70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54" t="s">
        <v>563</v>
      </c>
      <c r="AR19" s="83" t="s">
        <v>564</v>
      </c>
      <c r="AS19" s="83" t="s">
        <v>565</v>
      </c>
      <c r="AT19" s="93" t="s">
        <v>547</v>
      </c>
      <c r="AU19" s="93" t="s">
        <v>547</v>
      </c>
      <c r="AV19" s="93" t="s">
        <v>567</v>
      </c>
      <c r="AW19" s="83" t="s">
        <v>568</v>
      </c>
      <c r="AX19" s="83">
        <v>3.0</v>
      </c>
      <c r="AY19" s="83" t="s">
        <v>571</v>
      </c>
      <c r="AZ19" s="83" t="s">
        <v>572</v>
      </c>
      <c r="BA19" s="83" t="s">
        <v>573</v>
      </c>
      <c r="BB19" s="83" t="s">
        <v>574</v>
      </c>
      <c r="BC19" s="54" t="s">
        <v>30</v>
      </c>
      <c r="BD19" s="54" t="str">
        <f t="shared" si="1"/>
        <v>Callao</v>
      </c>
      <c r="BE19" s="67" t="s">
        <v>140</v>
      </c>
      <c r="BF19" s="67" t="s">
        <v>141</v>
      </c>
      <c r="BG19" s="67" t="s">
        <v>142</v>
      </c>
      <c r="BH19" s="67"/>
      <c r="BI19" s="67"/>
      <c r="BJ19" s="67"/>
      <c r="BK19" s="67"/>
      <c r="BL19" s="67" t="s">
        <v>147</v>
      </c>
      <c r="BM19" s="67" t="s">
        <v>146</v>
      </c>
      <c r="BN19" s="100">
        <v>89.0</v>
      </c>
      <c r="BO19" s="102" t="s">
        <v>148</v>
      </c>
      <c r="BP19" s="67" t="s">
        <v>144</v>
      </c>
      <c r="BQ19" s="79" t="s">
        <v>141</v>
      </c>
      <c r="BR19" s="67" t="s">
        <v>149</v>
      </c>
      <c r="BS19" s="102" t="s">
        <v>149</v>
      </c>
      <c r="BT19" s="106">
        <v>46201.0</v>
      </c>
      <c r="BU19" s="107">
        <v>1.0</v>
      </c>
      <c r="BV19" s="108">
        <f t="shared" si="2"/>
        <v>46198</v>
      </c>
      <c r="BW19" s="108">
        <f t="shared" si="3"/>
        <v>46201</v>
      </c>
      <c r="BX19" s="102" t="str">
        <f t="shared" si="4"/>
        <v>09</v>
      </c>
      <c r="BY19" s="107">
        <f t="shared" si="5"/>
        <v>5</v>
      </c>
      <c r="BZ19" s="107">
        <f t="array" ref="BZ19">IF($A19&lt;&gt;"",INDEX(LISTA!$M$2:$N$27,MATCH($BC19,LISTA!$N$2:$N$27,0),1),"")</f>
        <v>2</v>
      </c>
      <c r="CA19" s="67">
        <f t="shared" si="6"/>
        <v>6</v>
      </c>
      <c r="CB19" s="114">
        <f t="shared" si="7"/>
        <v>6</v>
      </c>
      <c r="CC19" s="67">
        <v>5.7993555E7</v>
      </c>
    </row>
    <row r="20" ht="15.0" hidden="1" customHeight="1" outlineLevel="1">
      <c r="A20" s="59">
        <v>46199.5936418287</v>
      </c>
      <c r="B20" s="115" t="s">
        <v>105</v>
      </c>
      <c r="C20" s="54" t="s">
        <v>100</v>
      </c>
      <c r="D20" s="56" t="s">
        <v>101</v>
      </c>
      <c r="E20" s="69">
        <v>46201.458333333336</v>
      </c>
      <c r="F20" s="73" t="s">
        <v>699</v>
      </c>
      <c r="G20" s="60" t="s">
        <v>700</v>
      </c>
      <c r="H20" s="60" t="s">
        <v>701</v>
      </c>
      <c r="I20" s="67" t="s">
        <v>192</v>
      </c>
      <c r="J20" s="79" t="s">
        <v>702</v>
      </c>
      <c r="K20" s="67" t="s">
        <v>109</v>
      </c>
      <c r="L20" s="79" t="s">
        <v>497</v>
      </c>
      <c r="M20" s="83" t="s">
        <v>498</v>
      </c>
      <c r="N20" s="78">
        <v>28834.0</v>
      </c>
      <c r="O20" s="80" t="s">
        <v>31</v>
      </c>
      <c r="P20" s="70" t="s">
        <v>703</v>
      </c>
      <c r="Q20" s="54"/>
      <c r="R20" s="84"/>
      <c r="S20" s="84"/>
      <c r="T20" s="54" t="s">
        <v>122</v>
      </c>
      <c r="U20" s="86"/>
      <c r="V20" s="54"/>
      <c r="W20" s="86"/>
      <c r="X20" s="54"/>
      <c r="Y20" s="78"/>
      <c r="Z20" s="54"/>
      <c r="AA20" s="70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54" t="s">
        <v>704</v>
      </c>
      <c r="AR20" s="83" t="s">
        <v>705</v>
      </c>
      <c r="AS20" s="83" t="s">
        <v>706</v>
      </c>
      <c r="AT20" s="93" t="s">
        <v>702</v>
      </c>
      <c r="AU20" s="93" t="s">
        <v>702</v>
      </c>
      <c r="AV20" s="93" t="s">
        <v>702</v>
      </c>
      <c r="AW20" s="83" t="s">
        <v>707</v>
      </c>
      <c r="AX20" s="83">
        <v>2.0</v>
      </c>
      <c r="AY20" s="83" t="s">
        <v>238</v>
      </c>
      <c r="AZ20" s="83" t="s">
        <v>708</v>
      </c>
      <c r="BA20" s="83" t="s">
        <v>709</v>
      </c>
      <c r="BB20" s="83" t="s">
        <v>710</v>
      </c>
      <c r="BC20" s="54" t="s">
        <v>27</v>
      </c>
      <c r="BD20" s="54" t="str">
        <f t="shared" si="1"/>
        <v>Arequipa</v>
      </c>
      <c r="BE20" s="67" t="s">
        <v>140</v>
      </c>
      <c r="BF20" s="67" t="s">
        <v>144</v>
      </c>
      <c r="BG20" s="67" t="s">
        <v>142</v>
      </c>
      <c r="BH20" s="67"/>
      <c r="BI20" s="67"/>
      <c r="BJ20" s="67"/>
      <c r="BK20" s="67"/>
      <c r="BL20" s="67" t="s">
        <v>213</v>
      </c>
      <c r="BM20" s="67" t="s">
        <v>214</v>
      </c>
      <c r="BN20" s="100">
        <v>110.0</v>
      </c>
      <c r="BO20" s="102" t="s">
        <v>182</v>
      </c>
      <c r="BP20" s="67" t="s">
        <v>144</v>
      </c>
      <c r="BQ20" s="79" t="s">
        <v>141</v>
      </c>
      <c r="BR20" s="67" t="s">
        <v>149</v>
      </c>
      <c r="BS20" s="102">
        <v>1.0</v>
      </c>
      <c r="BT20" s="106">
        <v>46201.0</v>
      </c>
      <c r="BU20" s="107">
        <v>2.0</v>
      </c>
      <c r="BV20" s="108">
        <f t="shared" si="2"/>
        <v>46199</v>
      </c>
      <c r="BW20" s="108">
        <f t="shared" si="3"/>
        <v>46201</v>
      </c>
      <c r="BX20" s="102" t="str">
        <f t="shared" si="4"/>
        <v>11</v>
      </c>
      <c r="BY20" s="107">
        <f t="shared" si="5"/>
        <v>5</v>
      </c>
      <c r="BZ20" s="107">
        <f t="array" ref="BZ20">IF($A20&lt;&gt;"",INDEX(LISTA!$M$2:$N$27,MATCH($BC20,LISTA!$N$2:$N$27,0),1),"")</f>
        <v>7</v>
      </c>
      <c r="CA20" s="67">
        <f t="shared" si="6"/>
        <v>6</v>
      </c>
      <c r="CB20" s="114">
        <f t="shared" si="7"/>
        <v>6</v>
      </c>
      <c r="CC20" s="67">
        <v>5.8001237E7</v>
      </c>
    </row>
    <row r="21" ht="15.0" hidden="1" customHeight="1" outlineLevel="1">
      <c r="A21" s="59">
        <v>46199.70780153935</v>
      </c>
      <c r="B21" s="115" t="s">
        <v>105</v>
      </c>
      <c r="C21" s="54" t="s">
        <v>100</v>
      </c>
      <c r="D21" s="56" t="s">
        <v>101</v>
      </c>
      <c r="E21" s="69">
        <v>46202.458333333336</v>
      </c>
      <c r="F21" s="73" t="s">
        <v>103</v>
      </c>
      <c r="G21" s="60" t="s">
        <v>593</v>
      </c>
      <c r="H21" s="60" t="s">
        <v>594</v>
      </c>
      <c r="I21" s="67" t="s">
        <v>355</v>
      </c>
      <c r="J21" s="79" t="s">
        <v>595</v>
      </c>
      <c r="K21" s="67" t="s">
        <v>109</v>
      </c>
      <c r="L21" s="79" t="s">
        <v>503</v>
      </c>
      <c r="M21" s="83" t="s">
        <v>504</v>
      </c>
      <c r="N21" s="78">
        <v>38508.0</v>
      </c>
      <c r="O21" s="80" t="s">
        <v>37</v>
      </c>
      <c r="P21" s="70" t="s">
        <v>598</v>
      </c>
      <c r="Q21" s="54"/>
      <c r="R21" s="84"/>
      <c r="S21" s="84"/>
      <c r="T21" s="54"/>
      <c r="U21" s="86"/>
      <c r="V21" s="54"/>
      <c r="W21" s="86"/>
      <c r="X21" s="54"/>
      <c r="Y21" s="78"/>
      <c r="Z21" s="54"/>
      <c r="AA21" s="70"/>
      <c r="AB21" s="83"/>
      <c r="AC21" s="83"/>
      <c r="AD21" s="83"/>
      <c r="AE21" s="83" t="s">
        <v>230</v>
      </c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54" t="s">
        <v>605</v>
      </c>
      <c r="AR21" s="83" t="s">
        <v>125</v>
      </c>
      <c r="AS21" s="83" t="s">
        <v>606</v>
      </c>
      <c r="AT21" s="93" t="s">
        <v>595</v>
      </c>
      <c r="AU21" s="93" t="s">
        <v>595</v>
      </c>
      <c r="AV21" s="93" t="s">
        <v>595</v>
      </c>
      <c r="AW21" s="83" t="s">
        <v>609</v>
      </c>
      <c r="AX21" s="83">
        <v>3.0</v>
      </c>
      <c r="AY21" s="83">
        <v>1.0</v>
      </c>
      <c r="AZ21" s="83" t="s">
        <v>610</v>
      </c>
      <c r="BA21" s="83" t="s">
        <v>611</v>
      </c>
      <c r="BB21" s="83" t="s">
        <v>612</v>
      </c>
      <c r="BC21" s="54" t="s">
        <v>37</v>
      </c>
      <c r="BD21" s="54" t="str">
        <f t="shared" si="1"/>
        <v>Huaura</v>
      </c>
      <c r="BE21" s="67" t="s">
        <v>140</v>
      </c>
      <c r="BF21" s="67" t="s">
        <v>141</v>
      </c>
      <c r="BG21" s="67" t="s">
        <v>142</v>
      </c>
      <c r="BH21" s="67"/>
      <c r="BI21" s="67"/>
      <c r="BJ21" s="67"/>
      <c r="BK21" s="67"/>
      <c r="BL21" s="67" t="s">
        <v>147</v>
      </c>
      <c r="BM21" s="67" t="s">
        <v>146</v>
      </c>
      <c r="BN21" s="100">
        <v>69.0</v>
      </c>
      <c r="BO21" s="102" t="s">
        <v>615</v>
      </c>
      <c r="BP21" s="67" t="s">
        <v>141</v>
      </c>
      <c r="BQ21" s="79" t="s">
        <v>141</v>
      </c>
      <c r="BR21" s="67" t="s">
        <v>149</v>
      </c>
      <c r="BS21" s="102" t="s">
        <v>149</v>
      </c>
      <c r="BT21" s="106">
        <v>46202.0</v>
      </c>
      <c r="BU21" s="107">
        <v>1.0</v>
      </c>
      <c r="BV21" s="108">
        <f t="shared" si="2"/>
        <v>46199</v>
      </c>
      <c r="BW21" s="108">
        <f t="shared" si="3"/>
        <v>46202</v>
      </c>
      <c r="BX21" s="102" t="str">
        <f t="shared" si="4"/>
        <v>11</v>
      </c>
      <c r="BY21" s="107">
        <f t="shared" si="5"/>
        <v>5</v>
      </c>
      <c r="BZ21" s="107">
        <f t="array" ref="BZ21">IF($A21&lt;&gt;"",INDEX(LISTA!$M$2:$N$27,MATCH($BC21,LISTA!$N$2:$N$27,0),1),"")</f>
        <v>3</v>
      </c>
      <c r="CA21" s="67">
        <f t="shared" si="6"/>
        <v>6</v>
      </c>
      <c r="CB21" s="114">
        <f t="shared" si="7"/>
        <v>6</v>
      </c>
      <c r="CC21" s="67">
        <v>5.8001957E7</v>
      </c>
    </row>
    <row r="22" ht="15.0" hidden="1" customHeight="1" outlineLevel="1">
      <c r="A22" s="59">
        <v>46191.528043495375</v>
      </c>
      <c r="B22" s="115" t="s">
        <v>105</v>
      </c>
      <c r="C22" s="54" t="s">
        <v>100</v>
      </c>
      <c r="D22" s="56" t="s">
        <v>101</v>
      </c>
      <c r="E22" s="69">
        <v>46200.458333333336</v>
      </c>
      <c r="F22" s="73" t="s">
        <v>628</v>
      </c>
      <c r="G22" s="60" t="s">
        <v>629</v>
      </c>
      <c r="H22" s="60" t="s">
        <v>630</v>
      </c>
      <c r="I22" s="67" t="s">
        <v>192</v>
      </c>
      <c r="J22" s="79" t="s">
        <v>635</v>
      </c>
      <c r="K22" s="67" t="s">
        <v>109</v>
      </c>
      <c r="L22" s="79" t="s">
        <v>501</v>
      </c>
      <c r="M22" s="83" t="s">
        <v>636</v>
      </c>
      <c r="N22" s="78">
        <v>28323.0</v>
      </c>
      <c r="O22" s="80" t="s">
        <v>37</v>
      </c>
      <c r="P22" s="70" t="s">
        <v>637</v>
      </c>
      <c r="Q22" s="54"/>
      <c r="R22" s="84"/>
      <c r="S22" s="84"/>
      <c r="T22" s="54"/>
      <c r="U22" s="86"/>
      <c r="V22" s="54"/>
      <c r="W22" s="86"/>
      <c r="X22" s="54"/>
      <c r="Y22" s="78"/>
      <c r="Z22" s="54"/>
      <c r="AA22" s="70"/>
      <c r="AB22" s="83"/>
      <c r="AC22" s="83"/>
      <c r="AD22" s="83"/>
      <c r="AE22" s="83"/>
      <c r="AF22" s="83" t="s">
        <v>123</v>
      </c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54" t="s">
        <v>644</v>
      </c>
      <c r="AR22" s="83" t="s">
        <v>645</v>
      </c>
      <c r="AS22" s="83" t="s">
        <v>646</v>
      </c>
      <c r="AT22" s="93" t="s">
        <v>649</v>
      </c>
      <c r="AU22" s="93" t="s">
        <v>649</v>
      </c>
      <c r="AV22" s="93" t="s">
        <v>649</v>
      </c>
      <c r="AW22" s="83" t="s">
        <v>650</v>
      </c>
      <c r="AX22" s="83">
        <v>3.0</v>
      </c>
      <c r="AY22" s="83" t="s">
        <v>238</v>
      </c>
      <c r="AZ22" s="83" t="s">
        <v>651</v>
      </c>
      <c r="BA22" s="83" t="s">
        <v>652</v>
      </c>
      <c r="BB22" s="83" t="s">
        <v>653</v>
      </c>
      <c r="BC22" s="54" t="s">
        <v>41</v>
      </c>
      <c r="BD22" s="54" t="str">
        <f t="shared" si="1"/>
        <v>Santiago de Surco</v>
      </c>
      <c r="BE22" s="67" t="s">
        <v>140</v>
      </c>
      <c r="BF22" s="67" t="s">
        <v>144</v>
      </c>
      <c r="BG22" s="67" t="s">
        <v>142</v>
      </c>
      <c r="BH22" s="67"/>
      <c r="BI22" s="67"/>
      <c r="BJ22" s="67"/>
      <c r="BK22" s="67"/>
      <c r="BL22" s="67" t="s">
        <v>145</v>
      </c>
      <c r="BM22" s="67" t="s">
        <v>214</v>
      </c>
      <c r="BN22" s="100">
        <v>170.0</v>
      </c>
      <c r="BO22" s="102" t="s">
        <v>148</v>
      </c>
      <c r="BP22" s="67" t="s">
        <v>144</v>
      </c>
      <c r="BQ22" s="79" t="s">
        <v>141</v>
      </c>
      <c r="BR22" s="67">
        <v>2.0</v>
      </c>
      <c r="BS22" s="102">
        <v>1.0</v>
      </c>
      <c r="BT22" s="106">
        <v>46202.0</v>
      </c>
      <c r="BU22" s="107">
        <v>2.0</v>
      </c>
      <c r="BV22" s="108">
        <f t="shared" si="2"/>
        <v>46191</v>
      </c>
      <c r="BW22" s="108">
        <f t="shared" si="3"/>
        <v>46200</v>
      </c>
      <c r="BX22" s="102" t="str">
        <f t="shared" si="4"/>
        <v>11</v>
      </c>
      <c r="BY22" s="107">
        <f t="shared" si="5"/>
        <v>5</v>
      </c>
      <c r="BZ22" s="107">
        <f t="array" ref="BZ22">IF($A22&lt;&gt;"",INDEX(LISTA!$M$2:$N$27,MATCH($BC22,LISTA!$N$2:$N$27,0),1),"")</f>
        <v>1</v>
      </c>
      <c r="CA22" s="67">
        <f t="shared" si="6"/>
        <v>6</v>
      </c>
      <c r="CB22" s="114">
        <f t="shared" si="7"/>
        <v>6</v>
      </c>
      <c r="CC22" s="67">
        <v>5.7944685E7</v>
      </c>
    </row>
    <row r="23" ht="15.0" hidden="1" customHeight="1" outlineLevel="1">
      <c r="A23" s="59">
        <v>46200.61915142361</v>
      </c>
      <c r="B23" s="115" t="s">
        <v>105</v>
      </c>
      <c r="C23" s="54" t="s">
        <v>100</v>
      </c>
      <c r="D23" s="56" t="s">
        <v>101</v>
      </c>
      <c r="E23" s="69">
        <v>46202.458333333336</v>
      </c>
      <c r="F23" s="73" t="s">
        <v>723</v>
      </c>
      <c r="G23" s="60" t="s">
        <v>724</v>
      </c>
      <c r="H23" s="60" t="s">
        <v>725</v>
      </c>
      <c r="I23" s="67" t="s">
        <v>192</v>
      </c>
      <c r="J23" s="79" t="s">
        <v>726</v>
      </c>
      <c r="K23" s="67" t="s">
        <v>109</v>
      </c>
      <c r="L23" s="79" t="s">
        <v>511</v>
      </c>
      <c r="M23" s="83" t="s">
        <v>512</v>
      </c>
      <c r="N23" s="78">
        <v>27314.0</v>
      </c>
      <c r="O23" s="80" t="s">
        <v>24</v>
      </c>
      <c r="P23" s="70" t="s">
        <v>728</v>
      </c>
      <c r="Q23" s="54"/>
      <c r="R23" s="84"/>
      <c r="S23" s="84"/>
      <c r="T23" s="54"/>
      <c r="U23" s="86"/>
      <c r="V23" s="54"/>
      <c r="W23" s="86"/>
      <c r="X23" s="54"/>
      <c r="Y23" s="78"/>
      <c r="Z23" s="54"/>
      <c r="AA23" s="70"/>
      <c r="AB23" s="83"/>
      <c r="AC23" s="83"/>
      <c r="AD23" s="83"/>
      <c r="AE23" s="83"/>
      <c r="AF23" s="83" t="s">
        <v>691</v>
      </c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54" t="s">
        <v>315</v>
      </c>
      <c r="AR23" s="83" t="s">
        <v>729</v>
      </c>
      <c r="AS23" s="83" t="s">
        <v>730</v>
      </c>
      <c r="AT23" s="93" t="s">
        <v>726</v>
      </c>
      <c r="AU23" s="93" t="s">
        <v>726</v>
      </c>
      <c r="AV23" s="93" t="s">
        <v>726</v>
      </c>
      <c r="AW23" s="83" t="s">
        <v>731</v>
      </c>
      <c r="AX23" s="83">
        <v>3.0</v>
      </c>
      <c r="AY23" s="83">
        <v>302.0</v>
      </c>
      <c r="AZ23" s="83" t="s">
        <v>732</v>
      </c>
      <c r="BA23" s="83" t="s">
        <v>733</v>
      </c>
      <c r="BB23" s="83" t="s">
        <v>734</v>
      </c>
      <c r="BC23" s="54" t="s">
        <v>41</v>
      </c>
      <c r="BD23" s="54" t="str">
        <f t="shared" si="1"/>
        <v>Comas</v>
      </c>
      <c r="BE23" s="67" t="s">
        <v>140</v>
      </c>
      <c r="BF23" s="67" t="s">
        <v>141</v>
      </c>
      <c r="BG23" s="67" t="s">
        <v>142</v>
      </c>
      <c r="BH23" s="67"/>
      <c r="BI23" s="67"/>
      <c r="BJ23" s="67"/>
      <c r="BK23" s="67"/>
      <c r="BL23" s="67" t="s">
        <v>147</v>
      </c>
      <c r="BM23" s="67" t="s">
        <v>247</v>
      </c>
      <c r="BN23" s="100">
        <v>89.0</v>
      </c>
      <c r="BO23" s="102" t="s">
        <v>148</v>
      </c>
      <c r="BP23" s="67" t="s">
        <v>141</v>
      </c>
      <c r="BQ23" s="79" t="s">
        <v>141</v>
      </c>
      <c r="BR23" s="67" t="s">
        <v>149</v>
      </c>
      <c r="BS23" s="102">
        <v>1.0</v>
      </c>
      <c r="BT23" s="106">
        <v>46202.0</v>
      </c>
      <c r="BU23" s="107">
        <v>3.0</v>
      </c>
      <c r="BV23" s="108">
        <f t="shared" si="2"/>
        <v>46200</v>
      </c>
      <c r="BW23" s="108">
        <f t="shared" si="3"/>
        <v>46202</v>
      </c>
      <c r="BX23" s="102" t="str">
        <f t="shared" si="4"/>
        <v>11</v>
      </c>
      <c r="BY23" s="107">
        <f t="shared" si="5"/>
        <v>5</v>
      </c>
      <c r="BZ23" s="107">
        <f t="array" ref="BZ23">IF($A23&lt;&gt;"",INDEX(LISTA!$M$2:$N$27,MATCH($BC23,LISTA!$N$2:$N$27,0),1),"")</f>
        <v>1</v>
      </c>
      <c r="CA23" s="67">
        <f t="shared" si="6"/>
        <v>6</v>
      </c>
      <c r="CB23" s="114">
        <f t="shared" si="7"/>
        <v>6</v>
      </c>
      <c r="CC23" s="67">
        <v>5.8008151E7</v>
      </c>
    </row>
    <row r="24" ht="15.0" hidden="1" customHeight="1" outlineLevel="1">
      <c r="A24" s="59">
        <v>46200.49461401621</v>
      </c>
      <c r="B24" s="115" t="s">
        <v>105</v>
      </c>
      <c r="C24" s="54" t="s">
        <v>100</v>
      </c>
      <c r="D24" s="56" t="s">
        <v>101</v>
      </c>
      <c r="E24" s="69">
        <v>46202.458333333336</v>
      </c>
      <c r="F24" s="73" t="s">
        <v>248</v>
      </c>
      <c r="G24" s="60" t="s">
        <v>249</v>
      </c>
      <c r="H24" s="60" t="s">
        <v>250</v>
      </c>
      <c r="I24" s="67" t="s">
        <v>192</v>
      </c>
      <c r="J24" s="79" t="s">
        <v>252</v>
      </c>
      <c r="K24" s="67" t="s">
        <v>109</v>
      </c>
      <c r="L24" s="79" t="s">
        <v>253</v>
      </c>
      <c r="M24" s="83" t="s">
        <v>254</v>
      </c>
      <c r="N24" s="78">
        <v>28883.0</v>
      </c>
      <c r="O24" s="80" t="s">
        <v>45</v>
      </c>
      <c r="P24" s="70" t="s">
        <v>258</v>
      </c>
      <c r="Q24" s="54"/>
      <c r="R24" s="84"/>
      <c r="S24" s="84"/>
      <c r="T24" s="54"/>
      <c r="U24" s="86"/>
      <c r="V24" s="54"/>
      <c r="W24" s="86"/>
      <c r="X24" s="54"/>
      <c r="Y24" s="78"/>
      <c r="Z24" s="54" t="s">
        <v>267</v>
      </c>
      <c r="AA24" s="70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54" t="s">
        <v>269</v>
      </c>
      <c r="AR24" s="83" t="s">
        <v>270</v>
      </c>
      <c r="AS24" s="83" t="s">
        <v>271</v>
      </c>
      <c r="AT24" s="93" t="s">
        <v>252</v>
      </c>
      <c r="AU24" s="93" t="s">
        <v>252</v>
      </c>
      <c r="AV24" s="93" t="s">
        <v>252</v>
      </c>
      <c r="AW24" s="83" t="s">
        <v>272</v>
      </c>
      <c r="AX24" s="83">
        <v>2.0</v>
      </c>
      <c r="AY24" s="83" t="s">
        <v>238</v>
      </c>
      <c r="AZ24" s="83" t="s">
        <v>274</v>
      </c>
      <c r="BA24" s="83" t="s">
        <v>276</v>
      </c>
      <c r="BB24" s="83" t="s">
        <v>278</v>
      </c>
      <c r="BC24" s="54" t="s">
        <v>33</v>
      </c>
      <c r="BD24" s="54" t="str">
        <f t="shared" si="1"/>
        <v>Huánuco</v>
      </c>
      <c r="BE24" s="67" t="s">
        <v>140</v>
      </c>
      <c r="BF24" s="67" t="s">
        <v>141</v>
      </c>
      <c r="BG24" s="67" t="s">
        <v>142</v>
      </c>
      <c r="BH24" s="67"/>
      <c r="BI24" s="67"/>
      <c r="BJ24" s="67"/>
      <c r="BK24" s="67"/>
      <c r="BL24" s="67" t="s">
        <v>213</v>
      </c>
      <c r="BM24" s="67" t="s">
        <v>214</v>
      </c>
      <c r="BN24" s="100">
        <v>110.0</v>
      </c>
      <c r="BO24" s="102" t="s">
        <v>182</v>
      </c>
      <c r="BP24" s="67"/>
      <c r="BQ24" s="79" t="s">
        <v>141</v>
      </c>
      <c r="BR24" s="67" t="s">
        <v>149</v>
      </c>
      <c r="BS24" s="102">
        <v>1.0</v>
      </c>
      <c r="BT24" s="106">
        <v>46202.0</v>
      </c>
      <c r="BU24" s="107">
        <v>4.0</v>
      </c>
      <c r="BV24" s="108">
        <f t="shared" si="2"/>
        <v>46200</v>
      </c>
      <c r="BW24" s="108">
        <f t="shared" si="3"/>
        <v>46202</v>
      </c>
      <c r="BX24" s="102" t="str">
        <f t="shared" si="4"/>
        <v>11</v>
      </c>
      <c r="BY24" s="107">
        <f t="shared" si="5"/>
        <v>5</v>
      </c>
      <c r="BZ24" s="107">
        <f t="array" ref="BZ24">IF($A24&lt;&gt;"",INDEX(LISTA!$M$2:$N$27,MATCH($BC24,LISTA!$N$2:$N$27,0),1),"")</f>
        <v>12</v>
      </c>
      <c r="CA24" s="67">
        <f t="shared" si="6"/>
        <v>6</v>
      </c>
      <c r="CB24" s="114">
        <f t="shared" si="7"/>
        <v>6</v>
      </c>
      <c r="CC24" s="67">
        <v>5.8006971E7</v>
      </c>
    </row>
    <row r="25" ht="15.0" hidden="1" customHeight="1" outlineLevel="1">
      <c r="A25" s="59">
        <v>46200.74871829861</v>
      </c>
      <c r="B25" s="115" t="s">
        <v>105</v>
      </c>
      <c r="C25" s="54" t="s">
        <v>100</v>
      </c>
      <c r="D25" s="56" t="s">
        <v>101</v>
      </c>
      <c r="E25" s="69">
        <v>46203.375</v>
      </c>
      <c r="F25" s="73" t="s">
        <v>103</v>
      </c>
      <c r="G25" s="60" t="s">
        <v>711</v>
      </c>
      <c r="H25" s="60" t="s">
        <v>712</v>
      </c>
      <c r="I25" s="67" t="s">
        <v>355</v>
      </c>
      <c r="J25" s="79" t="s">
        <v>713</v>
      </c>
      <c r="K25" s="67" t="s">
        <v>109</v>
      </c>
      <c r="L25" s="79" t="s">
        <v>526</v>
      </c>
      <c r="M25" s="83" t="s">
        <v>714</v>
      </c>
      <c r="N25" s="78">
        <v>24235.0</v>
      </c>
      <c r="O25" s="80" t="s">
        <v>31</v>
      </c>
      <c r="P25" s="70" t="s">
        <v>715</v>
      </c>
      <c r="Q25" s="54"/>
      <c r="R25" s="84"/>
      <c r="S25" s="84"/>
      <c r="T25" s="54"/>
      <c r="U25" s="86"/>
      <c r="V25" s="54"/>
      <c r="W25" s="86"/>
      <c r="X25" s="54"/>
      <c r="Y25" s="78"/>
      <c r="Z25" s="54"/>
      <c r="AA25" s="70"/>
      <c r="AB25" s="83"/>
      <c r="AC25" s="83"/>
      <c r="AD25" s="83"/>
      <c r="AE25" s="83"/>
      <c r="AF25" s="83" t="s">
        <v>165</v>
      </c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54" t="s">
        <v>716</v>
      </c>
      <c r="AR25" s="83" t="s">
        <v>717</v>
      </c>
      <c r="AS25" s="83" t="s">
        <v>718</v>
      </c>
      <c r="AT25" s="93" t="s">
        <v>713</v>
      </c>
      <c r="AU25" s="93" t="s">
        <v>713</v>
      </c>
      <c r="AV25" s="93" t="s">
        <v>713</v>
      </c>
      <c r="AW25" s="83" t="s">
        <v>719</v>
      </c>
      <c r="AX25" s="83">
        <v>2.0</v>
      </c>
      <c r="AY25" s="83" t="s">
        <v>174</v>
      </c>
      <c r="AZ25" s="83" t="s">
        <v>720</v>
      </c>
      <c r="BA25" s="83" t="s">
        <v>721</v>
      </c>
      <c r="BB25" s="83" t="s">
        <v>722</v>
      </c>
      <c r="BC25" s="54" t="s">
        <v>41</v>
      </c>
      <c r="BD25" s="54" t="str">
        <f t="shared" si="1"/>
        <v>San Martín de Porres</v>
      </c>
      <c r="BE25" s="67" t="s">
        <v>140</v>
      </c>
      <c r="BF25" s="67" t="s">
        <v>141</v>
      </c>
      <c r="BG25" s="67" t="s">
        <v>142</v>
      </c>
      <c r="BH25" s="67"/>
      <c r="BI25" s="67"/>
      <c r="BJ25" s="67"/>
      <c r="BK25" s="67"/>
      <c r="BL25" s="67" t="s">
        <v>727</v>
      </c>
      <c r="BM25" s="67" t="s">
        <v>146</v>
      </c>
      <c r="BN25" s="100">
        <v>155.0</v>
      </c>
      <c r="BO25" s="102" t="s">
        <v>615</v>
      </c>
      <c r="BP25" s="67" t="s">
        <v>141</v>
      </c>
      <c r="BQ25" s="79" t="s">
        <v>141</v>
      </c>
      <c r="BR25" s="67" t="s">
        <v>149</v>
      </c>
      <c r="BS25" s="102" t="s">
        <v>149</v>
      </c>
      <c r="BT25" s="106">
        <v>46203.0</v>
      </c>
      <c r="BU25" s="107">
        <v>1.0</v>
      </c>
      <c r="BV25" s="108">
        <f t="shared" si="2"/>
        <v>46200</v>
      </c>
      <c r="BW25" s="108">
        <f t="shared" si="3"/>
        <v>46203</v>
      </c>
      <c r="BX25" s="102" t="str">
        <f t="shared" si="4"/>
        <v>09</v>
      </c>
      <c r="BY25" s="107">
        <f t="shared" si="5"/>
        <v>5</v>
      </c>
      <c r="BZ25" s="107">
        <f t="array" ref="BZ25">IF($A25&lt;&gt;"",INDEX(LISTA!$M$2:$N$27,MATCH($BC25,LISTA!$N$2:$N$27,0),1),"")</f>
        <v>1</v>
      </c>
      <c r="CA25" s="67">
        <f t="shared" si="6"/>
        <v>6</v>
      </c>
      <c r="CB25" s="114">
        <f t="shared" si="7"/>
        <v>6</v>
      </c>
      <c r="CC25" s="67">
        <v>5.801003E7</v>
      </c>
    </row>
    <row r="26" ht="15.0" hidden="1" customHeight="1" outlineLevel="1">
      <c r="A26" s="59">
        <v>46192.69784486111</v>
      </c>
      <c r="B26" s="115" t="s">
        <v>105</v>
      </c>
      <c r="C26" s="54" t="s">
        <v>100</v>
      </c>
      <c r="D26" s="56" t="s">
        <v>150</v>
      </c>
      <c r="E26" s="69">
        <v>46200.458333333336</v>
      </c>
      <c r="F26" s="73" t="s">
        <v>735</v>
      </c>
      <c r="G26" s="60" t="s">
        <v>736</v>
      </c>
      <c r="H26" s="60" t="s">
        <v>737</v>
      </c>
      <c r="I26" s="67" t="s">
        <v>107</v>
      </c>
      <c r="J26" s="79" t="s">
        <v>738</v>
      </c>
      <c r="K26" s="67" t="s">
        <v>109</v>
      </c>
      <c r="L26" s="79" t="s">
        <v>523</v>
      </c>
      <c r="M26" s="83" t="s">
        <v>524</v>
      </c>
      <c r="N26" s="78">
        <v>36140.0</v>
      </c>
      <c r="O26" s="80" t="s">
        <v>41</v>
      </c>
      <c r="P26" s="70" t="s">
        <v>739</v>
      </c>
      <c r="Q26" s="54"/>
      <c r="R26" s="84"/>
      <c r="S26" s="84"/>
      <c r="T26" s="54"/>
      <c r="U26" s="86"/>
      <c r="V26" s="54"/>
      <c r="W26" s="86"/>
      <c r="X26" s="54"/>
      <c r="Y26" s="78"/>
      <c r="Z26" s="54"/>
      <c r="AA26" s="70"/>
      <c r="AB26" s="83"/>
      <c r="AC26" s="83"/>
      <c r="AD26" s="83"/>
      <c r="AE26" s="83"/>
      <c r="AF26" s="83" t="s">
        <v>691</v>
      </c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54" t="s">
        <v>740</v>
      </c>
      <c r="AR26" s="83" t="s">
        <v>741</v>
      </c>
      <c r="AS26" s="83" t="s">
        <v>742</v>
      </c>
      <c r="AT26" s="93" t="s">
        <v>743</v>
      </c>
      <c r="AU26" s="93" t="s">
        <v>743</v>
      </c>
      <c r="AV26" s="93" t="s">
        <v>743</v>
      </c>
      <c r="AW26" s="83" t="s">
        <v>744</v>
      </c>
      <c r="AX26" s="83">
        <v>2.0</v>
      </c>
      <c r="AY26" s="83">
        <v>1.0</v>
      </c>
      <c r="AZ26" s="83" t="s">
        <v>745</v>
      </c>
      <c r="BA26" s="83" t="s">
        <v>746</v>
      </c>
      <c r="BB26" s="83" t="s">
        <v>747</v>
      </c>
      <c r="BC26" s="54" t="s">
        <v>41</v>
      </c>
      <c r="BD26" s="54" t="str">
        <f t="shared" si="1"/>
        <v>Comas</v>
      </c>
      <c r="BE26" s="67" t="s">
        <v>143</v>
      </c>
      <c r="BF26" s="67" t="s">
        <v>144</v>
      </c>
      <c r="BG26" s="67" t="s">
        <v>142</v>
      </c>
      <c r="BH26" s="67"/>
      <c r="BI26" s="67"/>
      <c r="BJ26" s="67"/>
      <c r="BK26" s="67"/>
      <c r="BL26" s="67" t="s">
        <v>145</v>
      </c>
      <c r="BM26" s="67" t="s">
        <v>146</v>
      </c>
      <c r="BN26" s="100">
        <v>170.0</v>
      </c>
      <c r="BO26" s="102" t="s">
        <v>148</v>
      </c>
      <c r="BP26" s="67" t="s">
        <v>144</v>
      </c>
      <c r="BQ26" s="79" t="s">
        <v>141</v>
      </c>
      <c r="BR26" s="67">
        <v>2.0</v>
      </c>
      <c r="BS26" s="102" t="s">
        <v>149</v>
      </c>
      <c r="BT26" s="106">
        <v>46203.0</v>
      </c>
      <c r="BU26" s="107">
        <v>2.0</v>
      </c>
      <c r="BV26" s="108">
        <f t="shared" si="2"/>
        <v>46192</v>
      </c>
      <c r="BW26" s="108">
        <f t="shared" si="3"/>
        <v>46200</v>
      </c>
      <c r="BX26" s="102" t="str">
        <f t="shared" si="4"/>
        <v>11</v>
      </c>
      <c r="BY26" s="107">
        <f t="shared" si="5"/>
        <v>5</v>
      </c>
      <c r="BZ26" s="107">
        <f t="array" ref="BZ26">IF($A26&lt;&gt;"",INDEX(LISTA!$M$2:$N$27,MATCH($BC26,LISTA!$N$2:$N$27,0),1),"")</f>
        <v>1</v>
      </c>
      <c r="CA26" s="67">
        <f t="shared" si="6"/>
        <v>6</v>
      </c>
      <c r="CB26" s="114">
        <f t="shared" si="7"/>
        <v>6</v>
      </c>
      <c r="CC26" s="67">
        <v>5.7999609E7</v>
      </c>
    </row>
    <row r="27" ht="15.0" hidden="1" customHeight="1" outlineLevel="1">
      <c r="A27" s="59">
        <v>46198.75253770834</v>
      </c>
      <c r="B27" s="115" t="s">
        <v>105</v>
      </c>
      <c r="C27" s="54" t="s">
        <v>100</v>
      </c>
      <c r="D27" s="56" t="s">
        <v>101</v>
      </c>
      <c r="E27" s="69">
        <v>46203.375</v>
      </c>
      <c r="F27" s="73" t="s">
        <v>748</v>
      </c>
      <c r="G27" s="60" t="s">
        <v>749</v>
      </c>
      <c r="H27" s="60" t="s">
        <v>750</v>
      </c>
      <c r="I27" s="67" t="s">
        <v>355</v>
      </c>
      <c r="J27" s="79" t="s">
        <v>751</v>
      </c>
      <c r="K27" s="67" t="s">
        <v>109</v>
      </c>
      <c r="L27" s="79" t="s">
        <v>521</v>
      </c>
      <c r="M27" s="83" t="s">
        <v>752</v>
      </c>
      <c r="N27" s="78">
        <v>34151.0</v>
      </c>
      <c r="O27" s="80" t="s">
        <v>41</v>
      </c>
      <c r="P27" s="70" t="s">
        <v>500</v>
      </c>
      <c r="Q27" s="54"/>
      <c r="R27" s="84"/>
      <c r="S27" s="84"/>
      <c r="T27" s="54"/>
      <c r="U27" s="86"/>
      <c r="V27" s="54"/>
      <c r="W27" s="86"/>
      <c r="X27" s="54"/>
      <c r="Y27" s="78"/>
      <c r="Z27" s="54"/>
      <c r="AA27" s="70"/>
      <c r="AB27" s="83"/>
      <c r="AC27" s="83"/>
      <c r="AD27" s="83"/>
      <c r="AE27" s="83"/>
      <c r="AF27" s="83" t="s">
        <v>753</v>
      </c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54" t="s">
        <v>754</v>
      </c>
      <c r="AR27" s="83" t="s">
        <v>755</v>
      </c>
      <c r="AS27" s="83" t="s">
        <v>756</v>
      </c>
      <c r="AT27" s="93" t="s">
        <v>751</v>
      </c>
      <c r="AU27" s="93" t="s">
        <v>751</v>
      </c>
      <c r="AV27" s="93" t="s">
        <v>751</v>
      </c>
      <c r="AW27" s="83" t="s">
        <v>757</v>
      </c>
      <c r="AX27" s="83">
        <v>1.0</v>
      </c>
      <c r="AY27" s="83" t="s">
        <v>174</v>
      </c>
      <c r="AZ27" s="83" t="s">
        <v>758</v>
      </c>
      <c r="BA27" s="83" t="s">
        <v>759</v>
      </c>
      <c r="BB27" s="83" t="s">
        <v>760</v>
      </c>
      <c r="BC27" s="54" t="s">
        <v>41</v>
      </c>
      <c r="BD27" s="54" t="str">
        <f t="shared" si="1"/>
        <v>Carabayllo</v>
      </c>
      <c r="BE27" s="67" t="s">
        <v>140</v>
      </c>
      <c r="BF27" s="67" t="s">
        <v>141</v>
      </c>
      <c r="BG27" s="67" t="s">
        <v>142</v>
      </c>
      <c r="BH27" s="67"/>
      <c r="BI27" s="67"/>
      <c r="BJ27" s="67"/>
      <c r="BK27" s="67"/>
      <c r="BL27" s="67" t="s">
        <v>147</v>
      </c>
      <c r="BM27" s="67" t="s">
        <v>247</v>
      </c>
      <c r="BN27" s="100">
        <v>89.0</v>
      </c>
      <c r="BO27" s="102" t="s">
        <v>148</v>
      </c>
      <c r="BP27" s="67" t="s">
        <v>141</v>
      </c>
      <c r="BQ27" s="79" t="s">
        <v>141</v>
      </c>
      <c r="BR27" s="67" t="s">
        <v>149</v>
      </c>
      <c r="BS27" s="102" t="s">
        <v>149</v>
      </c>
      <c r="BT27" s="106">
        <v>46203.0</v>
      </c>
      <c r="BU27" s="107">
        <v>3.0</v>
      </c>
      <c r="BV27" s="108">
        <f t="shared" si="2"/>
        <v>46198</v>
      </c>
      <c r="BW27" s="108">
        <f t="shared" si="3"/>
        <v>46203</v>
      </c>
      <c r="BX27" s="102" t="str">
        <f t="shared" si="4"/>
        <v>09</v>
      </c>
      <c r="BY27" s="107">
        <f t="shared" si="5"/>
        <v>5</v>
      </c>
      <c r="BZ27" s="107">
        <f t="array" ref="BZ27">IF($A27&lt;&gt;"",INDEX(LISTA!$M$2:$N$27,MATCH($BC27,LISTA!$N$2:$N$27,0),1),"")</f>
        <v>1</v>
      </c>
      <c r="CA27" s="67">
        <f t="shared" si="6"/>
        <v>6</v>
      </c>
      <c r="CB27" s="114">
        <f t="shared" si="7"/>
        <v>6</v>
      </c>
      <c r="CC27" s="67">
        <v>5.7995668E7</v>
      </c>
    </row>
    <row r="28" ht="15.0" hidden="1" customHeight="1" outlineLevel="1">
      <c r="A28" s="59">
        <v>46200.74278425926</v>
      </c>
      <c r="B28" s="115" t="s">
        <v>105</v>
      </c>
      <c r="C28" s="54" t="s">
        <v>100</v>
      </c>
      <c r="D28" s="56" t="s">
        <v>150</v>
      </c>
      <c r="E28" s="69">
        <v>46203.375</v>
      </c>
      <c r="F28" s="73" t="s">
        <v>761</v>
      </c>
      <c r="G28" s="60" t="s">
        <v>762</v>
      </c>
      <c r="H28" s="60" t="s">
        <v>763</v>
      </c>
      <c r="I28" s="67" t="s">
        <v>192</v>
      </c>
      <c r="J28" s="79" t="s">
        <v>764</v>
      </c>
      <c r="K28" s="67" t="s">
        <v>109</v>
      </c>
      <c r="L28" s="79" t="s">
        <v>532</v>
      </c>
      <c r="M28" s="83" t="s">
        <v>533</v>
      </c>
      <c r="N28" s="78">
        <v>27949.0</v>
      </c>
      <c r="O28" s="80" t="s">
        <v>32</v>
      </c>
      <c r="P28" s="70" t="s">
        <v>765</v>
      </c>
      <c r="Q28" s="54"/>
      <c r="R28" s="84"/>
      <c r="S28" s="84"/>
      <c r="T28" s="54"/>
      <c r="U28" s="86"/>
      <c r="V28" s="54"/>
      <c r="W28" s="86"/>
      <c r="X28" s="54"/>
      <c r="Y28" s="78"/>
      <c r="Z28" s="54"/>
      <c r="AA28" s="70"/>
      <c r="AB28" s="83" t="s">
        <v>766</v>
      </c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54" t="s">
        <v>767</v>
      </c>
      <c r="AR28" s="83" t="s">
        <v>768</v>
      </c>
      <c r="AS28" s="83" t="s">
        <v>769</v>
      </c>
      <c r="AT28" s="93" t="s">
        <v>764</v>
      </c>
      <c r="AU28" s="93" t="s">
        <v>764</v>
      </c>
      <c r="AV28" s="93" t="s">
        <v>764</v>
      </c>
      <c r="AW28" s="83" t="s">
        <v>770</v>
      </c>
      <c r="AX28" s="83">
        <v>2.0</v>
      </c>
      <c r="AY28" s="83" t="s">
        <v>238</v>
      </c>
      <c r="AZ28" s="83" t="s">
        <v>771</v>
      </c>
      <c r="BA28" s="83" t="s">
        <v>772</v>
      </c>
      <c r="BB28" s="83" t="s">
        <v>773</v>
      </c>
      <c r="BC28" s="54" t="s">
        <v>36</v>
      </c>
      <c r="BD28" s="54" t="str">
        <f t="shared" si="1"/>
        <v>Huancayo</v>
      </c>
      <c r="BE28" s="67" t="s">
        <v>140</v>
      </c>
      <c r="BF28" s="67" t="s">
        <v>144</v>
      </c>
      <c r="BG28" s="67" t="s">
        <v>142</v>
      </c>
      <c r="BH28" s="67"/>
      <c r="BI28" s="67"/>
      <c r="BJ28" s="67"/>
      <c r="BK28" s="67"/>
      <c r="BL28" s="67" t="s">
        <v>213</v>
      </c>
      <c r="BM28" s="67" t="s">
        <v>214</v>
      </c>
      <c r="BN28" s="100">
        <v>110.0</v>
      </c>
      <c r="BO28" s="102" t="s">
        <v>182</v>
      </c>
      <c r="BP28" s="67" t="s">
        <v>144</v>
      </c>
      <c r="BQ28" s="79" t="s">
        <v>141</v>
      </c>
      <c r="BR28" s="67" t="s">
        <v>149</v>
      </c>
      <c r="BS28" s="102">
        <v>1.0</v>
      </c>
      <c r="BT28" s="106">
        <v>46203.0</v>
      </c>
      <c r="BU28" s="107">
        <v>4.0</v>
      </c>
      <c r="BV28" s="108">
        <f t="shared" si="2"/>
        <v>46200</v>
      </c>
      <c r="BW28" s="108">
        <f t="shared" si="3"/>
        <v>46203</v>
      </c>
      <c r="BX28" s="102" t="str">
        <f t="shared" si="4"/>
        <v>09</v>
      </c>
      <c r="BY28" s="107">
        <f t="shared" si="5"/>
        <v>5</v>
      </c>
      <c r="BZ28" s="107">
        <f t="array" ref="BZ28">IF($A28&lt;&gt;"",INDEX(LISTA!$M$2:$N$27,MATCH($BC28,LISTA!$N$2:$N$27,0),1),"")</f>
        <v>14</v>
      </c>
      <c r="CA28" s="67">
        <f t="shared" si="6"/>
        <v>6</v>
      </c>
      <c r="CB28" s="114">
        <f t="shared" si="7"/>
        <v>6</v>
      </c>
      <c r="CC28" s="67">
        <v>5.8010324E7</v>
      </c>
    </row>
    <row r="29" ht="15.0" hidden="1" customHeight="1" outlineLevel="1">
      <c r="A29" s="59">
        <v>46203.55375172454</v>
      </c>
      <c r="B29" s="115" t="s">
        <v>105</v>
      </c>
      <c r="C29" s="54" t="s">
        <v>100</v>
      </c>
      <c r="D29" s="56" t="s">
        <v>101</v>
      </c>
      <c r="E29" s="69">
        <v>46205.375</v>
      </c>
      <c r="F29" s="73" t="s">
        <v>774</v>
      </c>
      <c r="G29" s="60" t="s">
        <v>775</v>
      </c>
      <c r="H29" s="60" t="s">
        <v>776</v>
      </c>
      <c r="I29" s="67" t="s">
        <v>363</v>
      </c>
      <c r="J29" s="79" t="s">
        <v>777</v>
      </c>
      <c r="K29" s="67" t="s">
        <v>109</v>
      </c>
      <c r="L29" s="79" t="s">
        <v>554</v>
      </c>
      <c r="M29" s="83" t="s">
        <v>555</v>
      </c>
      <c r="N29" s="78">
        <v>24524.0</v>
      </c>
      <c r="O29" s="80" t="s">
        <v>29</v>
      </c>
      <c r="P29" s="70" t="s">
        <v>778</v>
      </c>
      <c r="Q29" s="54"/>
      <c r="R29" s="84"/>
      <c r="S29" s="84"/>
      <c r="T29" s="54"/>
      <c r="U29" s="86"/>
      <c r="V29" s="54"/>
      <c r="W29" s="86"/>
      <c r="X29" s="54"/>
      <c r="Y29" s="78"/>
      <c r="Z29" s="54"/>
      <c r="AA29" s="70"/>
      <c r="AB29" s="83"/>
      <c r="AC29" s="83"/>
      <c r="AD29" s="83"/>
      <c r="AE29" s="83"/>
      <c r="AF29" s="83" t="s">
        <v>691</v>
      </c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54" t="s">
        <v>779</v>
      </c>
      <c r="AR29" s="83" t="s">
        <v>780</v>
      </c>
      <c r="AS29" s="83" t="s">
        <v>781</v>
      </c>
      <c r="AT29" s="93" t="s">
        <v>777</v>
      </c>
      <c r="AU29" s="93" t="s">
        <v>777</v>
      </c>
      <c r="AV29" s="93" t="s">
        <v>777</v>
      </c>
      <c r="AW29" s="83" t="s">
        <v>782</v>
      </c>
      <c r="AX29" s="83">
        <v>1.0</v>
      </c>
      <c r="AY29" s="83">
        <v>1.0</v>
      </c>
      <c r="AZ29" s="83" t="s">
        <v>783</v>
      </c>
      <c r="BA29" s="83" t="s">
        <v>784</v>
      </c>
      <c r="BB29" s="83" t="s">
        <v>785</v>
      </c>
      <c r="BC29" s="54" t="s">
        <v>41</v>
      </c>
      <c r="BD29" s="54" t="str">
        <f t="shared" si="1"/>
        <v>Comas</v>
      </c>
      <c r="BE29" s="67" t="s">
        <v>143</v>
      </c>
      <c r="BF29" s="67" t="s">
        <v>141</v>
      </c>
      <c r="BG29" s="67" t="s">
        <v>142</v>
      </c>
      <c r="BH29" s="67"/>
      <c r="BI29" s="67"/>
      <c r="BJ29" s="67"/>
      <c r="BK29" s="67"/>
      <c r="BL29" s="67" t="s">
        <v>283</v>
      </c>
      <c r="BM29" s="67" t="s">
        <v>146</v>
      </c>
      <c r="BN29" s="100">
        <v>94.0</v>
      </c>
      <c r="BO29" s="102" t="s">
        <v>148</v>
      </c>
      <c r="BP29" s="67" t="s">
        <v>141</v>
      </c>
      <c r="BQ29" s="79" t="s">
        <v>144</v>
      </c>
      <c r="BR29" s="67" t="s">
        <v>149</v>
      </c>
      <c r="BS29" s="102" t="s">
        <v>149</v>
      </c>
      <c r="BT29" s="106">
        <v>46205.0</v>
      </c>
      <c r="BU29" s="107">
        <v>1.0</v>
      </c>
      <c r="BV29" s="108">
        <f t="shared" si="2"/>
        <v>46203</v>
      </c>
      <c r="BW29" s="108">
        <f t="shared" si="3"/>
        <v>46205</v>
      </c>
      <c r="BX29" s="102" t="str">
        <f t="shared" si="4"/>
        <v>09</v>
      </c>
      <c r="BY29" s="107">
        <f t="shared" si="5"/>
        <v>5</v>
      </c>
      <c r="BZ29" s="107">
        <f t="array" ref="BZ29">IF($A29&lt;&gt;"",INDEX(LISTA!$M$2:$N$27,MATCH($BC29,LISTA!$N$2:$N$27,0),1),"")</f>
        <v>1</v>
      </c>
      <c r="CA29" s="67">
        <f t="shared" si="6"/>
        <v>6</v>
      </c>
      <c r="CB29" s="114">
        <f t="shared" si="7"/>
        <v>7</v>
      </c>
      <c r="CC29" s="67">
        <v>5.8028537E7</v>
      </c>
    </row>
    <row r="30" ht="15.0" hidden="1" customHeight="1" outlineLevel="1">
      <c r="A30" s="59">
        <v>46198.7398141088</v>
      </c>
      <c r="B30" s="115" t="s">
        <v>105</v>
      </c>
      <c r="C30" s="54" t="s">
        <v>100</v>
      </c>
      <c r="D30" s="56" t="s">
        <v>101</v>
      </c>
      <c r="E30" s="69">
        <v>46205.375</v>
      </c>
      <c r="F30" s="73" t="s">
        <v>786</v>
      </c>
      <c r="G30" s="60" t="s">
        <v>787</v>
      </c>
      <c r="H30" s="60" t="s">
        <v>788</v>
      </c>
      <c r="I30" s="67" t="s">
        <v>365</v>
      </c>
      <c r="J30" s="79" t="s">
        <v>789</v>
      </c>
      <c r="K30" s="67" t="s">
        <v>109</v>
      </c>
      <c r="L30" s="79" t="s">
        <v>542</v>
      </c>
      <c r="M30" s="83" t="s">
        <v>790</v>
      </c>
      <c r="N30" s="78">
        <v>28048.0</v>
      </c>
      <c r="O30" s="80" t="s">
        <v>24</v>
      </c>
      <c r="P30" s="70" t="s">
        <v>791</v>
      </c>
      <c r="Q30" s="54"/>
      <c r="R30" s="84"/>
      <c r="S30" s="84"/>
      <c r="T30" s="54"/>
      <c r="U30" s="86"/>
      <c r="V30" s="54"/>
      <c r="W30" s="86"/>
      <c r="X30" s="54"/>
      <c r="Y30" s="78"/>
      <c r="Z30" s="54"/>
      <c r="AA30" s="70"/>
      <c r="AB30" s="83"/>
      <c r="AC30" s="83"/>
      <c r="AD30" s="83"/>
      <c r="AE30" s="83"/>
      <c r="AF30" s="83" t="s">
        <v>792</v>
      </c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54" t="s">
        <v>793</v>
      </c>
      <c r="AR30" s="83" t="s">
        <v>794</v>
      </c>
      <c r="AS30" s="83" t="s">
        <v>795</v>
      </c>
      <c r="AT30" s="93" t="s">
        <v>796</v>
      </c>
      <c r="AU30" s="93" t="s">
        <v>796</v>
      </c>
      <c r="AV30" s="93" t="s">
        <v>796</v>
      </c>
      <c r="AW30" s="83" t="s">
        <v>797</v>
      </c>
      <c r="AX30" s="83">
        <v>3.0</v>
      </c>
      <c r="AY30" s="83">
        <v>1.0</v>
      </c>
      <c r="AZ30" s="83" t="s">
        <v>798</v>
      </c>
      <c r="BA30" s="83" t="s">
        <v>799</v>
      </c>
      <c r="BB30" s="83" t="s">
        <v>800</v>
      </c>
      <c r="BC30" s="54" t="s">
        <v>41</v>
      </c>
      <c r="BD30" s="54" t="str">
        <f t="shared" si="1"/>
        <v>Los Olivos</v>
      </c>
      <c r="BE30" s="67" t="s">
        <v>143</v>
      </c>
      <c r="BF30" s="67" t="s">
        <v>144</v>
      </c>
      <c r="BG30" s="67" t="s">
        <v>142</v>
      </c>
      <c r="BH30" s="67"/>
      <c r="BI30" s="67"/>
      <c r="BJ30" s="67"/>
      <c r="BK30" s="67"/>
      <c r="BL30" s="67" t="s">
        <v>213</v>
      </c>
      <c r="BM30" s="67" t="s">
        <v>146</v>
      </c>
      <c r="BN30" s="100">
        <v>110.0</v>
      </c>
      <c r="BO30" s="102" t="s">
        <v>182</v>
      </c>
      <c r="BP30" s="67" t="s">
        <v>144</v>
      </c>
      <c r="BQ30" s="79" t="s">
        <v>141</v>
      </c>
      <c r="BR30" s="67" t="s">
        <v>149</v>
      </c>
      <c r="BS30" s="102" t="s">
        <v>149</v>
      </c>
      <c r="BT30" s="106">
        <v>46205.0</v>
      </c>
      <c r="BU30" s="107">
        <v>2.0</v>
      </c>
      <c r="BV30" s="108">
        <f t="shared" si="2"/>
        <v>46198</v>
      </c>
      <c r="BW30" s="108">
        <f t="shared" si="3"/>
        <v>46205</v>
      </c>
      <c r="BX30" s="102" t="str">
        <f t="shared" si="4"/>
        <v>09</v>
      </c>
      <c r="BY30" s="107">
        <f t="shared" si="5"/>
        <v>5</v>
      </c>
      <c r="BZ30" s="107">
        <f t="array" ref="BZ30">IF($A30&lt;&gt;"",INDEX(LISTA!$M$2:$N$27,MATCH($BC30,LISTA!$N$2:$N$27,0),1),"")</f>
        <v>1</v>
      </c>
      <c r="CA30" s="67">
        <f t="shared" si="6"/>
        <v>6</v>
      </c>
      <c r="CB30" s="114">
        <f t="shared" si="7"/>
        <v>7</v>
      </c>
      <c r="CC30" s="67">
        <v>5.7995098E7</v>
      </c>
    </row>
    <row r="31" ht="15.0" hidden="1" customHeight="1" outlineLevel="1">
      <c r="A31" s="59">
        <v>46203.60131333333</v>
      </c>
      <c r="B31" s="115" t="s">
        <v>105</v>
      </c>
      <c r="C31" s="54" t="s">
        <v>100</v>
      </c>
      <c r="D31" s="56" t="s">
        <v>101</v>
      </c>
      <c r="E31" s="69">
        <v>46205.458333333336</v>
      </c>
      <c r="F31" s="73" t="s">
        <v>103</v>
      </c>
      <c r="G31" s="60" t="s">
        <v>801</v>
      </c>
      <c r="H31" s="60" t="s">
        <v>802</v>
      </c>
      <c r="I31" s="67" t="s">
        <v>192</v>
      </c>
      <c r="J31" s="79" t="s">
        <v>803</v>
      </c>
      <c r="K31" s="67" t="s">
        <v>109</v>
      </c>
      <c r="L31" s="79" t="s">
        <v>560</v>
      </c>
      <c r="M31" s="83" t="s">
        <v>561</v>
      </c>
      <c r="N31" s="78">
        <v>17771.0</v>
      </c>
      <c r="O31" s="80" t="s">
        <v>40</v>
      </c>
      <c r="P31" s="70" t="s">
        <v>804</v>
      </c>
      <c r="Q31" s="54"/>
      <c r="R31" s="84"/>
      <c r="S31" s="84"/>
      <c r="T31" s="54"/>
      <c r="U31" s="86"/>
      <c r="V31" s="54"/>
      <c r="W31" s="86"/>
      <c r="X31" s="54"/>
      <c r="Y31" s="78"/>
      <c r="Z31" s="54"/>
      <c r="AA31" s="70"/>
      <c r="AB31" s="83"/>
      <c r="AC31" s="83"/>
      <c r="AD31" s="83" t="s">
        <v>805</v>
      </c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54" t="s">
        <v>806</v>
      </c>
      <c r="AR31" s="83" t="s">
        <v>807</v>
      </c>
      <c r="AS31" s="83" t="s">
        <v>808</v>
      </c>
      <c r="AT31" s="93" t="s">
        <v>803</v>
      </c>
      <c r="AU31" s="93" t="s">
        <v>803</v>
      </c>
      <c r="AV31" s="93" t="s">
        <v>803</v>
      </c>
      <c r="AW31" s="83" t="s">
        <v>809</v>
      </c>
      <c r="AX31" s="83">
        <v>1.0</v>
      </c>
      <c r="AY31" s="83">
        <v>1.0</v>
      </c>
      <c r="AZ31" s="83" t="s">
        <v>810</v>
      </c>
      <c r="BA31" s="83" t="s">
        <v>811</v>
      </c>
      <c r="BB31" s="83" t="s">
        <v>812</v>
      </c>
      <c r="BC31" s="54" t="s">
        <v>40</v>
      </c>
      <c r="BD31" s="54" t="str">
        <f t="shared" si="1"/>
        <v>Chiclayo</v>
      </c>
      <c r="BE31" s="67" t="s">
        <v>140</v>
      </c>
      <c r="BF31" s="67" t="s">
        <v>141</v>
      </c>
      <c r="BG31" s="67" t="s">
        <v>142</v>
      </c>
      <c r="BH31" s="67"/>
      <c r="BI31" s="67"/>
      <c r="BJ31" s="67"/>
      <c r="BK31" s="67"/>
      <c r="BL31" s="67" t="s">
        <v>213</v>
      </c>
      <c r="BM31" s="67" t="s">
        <v>214</v>
      </c>
      <c r="BN31" s="100">
        <v>110.0</v>
      </c>
      <c r="BO31" s="102" t="s">
        <v>182</v>
      </c>
      <c r="BP31" s="67" t="s">
        <v>144</v>
      </c>
      <c r="BQ31" s="79" t="s">
        <v>141</v>
      </c>
      <c r="BR31" s="67" t="s">
        <v>149</v>
      </c>
      <c r="BS31" s="102">
        <v>1.0</v>
      </c>
      <c r="BT31" s="106">
        <v>46205.0</v>
      </c>
      <c r="BU31" s="107">
        <v>3.0</v>
      </c>
      <c r="BV31" s="108">
        <f t="shared" si="2"/>
        <v>46203</v>
      </c>
      <c r="BW31" s="108">
        <f t="shared" si="3"/>
        <v>46205</v>
      </c>
      <c r="BX31" s="102" t="str">
        <f t="shared" si="4"/>
        <v>11</v>
      </c>
      <c r="BY31" s="107">
        <f t="shared" si="5"/>
        <v>5</v>
      </c>
      <c r="BZ31" s="107">
        <f t="array" ref="BZ31">IF($A31&lt;&gt;"",INDEX(LISTA!$M$2:$N$27,MATCH($BC31,LISTA!$N$2:$N$27,0),1),"")</f>
        <v>16</v>
      </c>
      <c r="CA31" s="67">
        <f t="shared" si="6"/>
        <v>6</v>
      </c>
      <c r="CB31" s="114">
        <f t="shared" si="7"/>
        <v>7</v>
      </c>
      <c r="CC31" s="67">
        <v>5.8033635E7</v>
      </c>
    </row>
    <row r="32" ht="15.0" hidden="1" customHeight="1" outlineLevel="1">
      <c r="A32" s="59">
        <v>46203.54532023148</v>
      </c>
      <c r="B32" s="115" t="s">
        <v>105</v>
      </c>
      <c r="C32" s="54" t="s">
        <v>100</v>
      </c>
      <c r="D32" s="56" t="s">
        <v>101</v>
      </c>
      <c r="E32" s="69">
        <v>46205.375</v>
      </c>
      <c r="F32" s="73" t="s">
        <v>813</v>
      </c>
      <c r="G32" s="60" t="s">
        <v>814</v>
      </c>
      <c r="H32" s="60" t="s">
        <v>815</v>
      </c>
      <c r="I32" s="67" t="s">
        <v>360</v>
      </c>
      <c r="J32" s="79" t="s">
        <v>816</v>
      </c>
      <c r="K32" s="67" t="s">
        <v>109</v>
      </c>
      <c r="L32" s="79" t="s">
        <v>551</v>
      </c>
      <c r="M32" s="83" t="s">
        <v>552</v>
      </c>
      <c r="N32" s="78">
        <v>33323.0</v>
      </c>
      <c r="O32" s="80" t="s">
        <v>46</v>
      </c>
      <c r="P32" s="70" t="s">
        <v>817</v>
      </c>
      <c r="Q32" s="54"/>
      <c r="R32" s="84"/>
      <c r="S32" s="84"/>
      <c r="T32" s="54"/>
      <c r="U32" s="86"/>
      <c r="V32" s="54"/>
      <c r="W32" s="86"/>
      <c r="X32" s="54"/>
      <c r="Y32" s="78"/>
      <c r="Z32" s="54"/>
      <c r="AA32" s="70"/>
      <c r="AB32" s="83"/>
      <c r="AC32" s="83"/>
      <c r="AD32" s="83"/>
      <c r="AE32" s="83"/>
      <c r="AF32" s="83"/>
      <c r="AG32" s="83"/>
      <c r="AH32" s="83"/>
      <c r="AI32" s="83"/>
      <c r="AJ32" s="83"/>
      <c r="AK32" s="83" t="s">
        <v>199</v>
      </c>
      <c r="AL32" s="83"/>
      <c r="AM32" s="83"/>
      <c r="AN32" s="83"/>
      <c r="AO32" s="83"/>
      <c r="AP32" s="83"/>
      <c r="AQ32" s="54" t="s">
        <v>818</v>
      </c>
      <c r="AR32" s="83" t="s">
        <v>819</v>
      </c>
      <c r="AS32" s="83" t="s">
        <v>820</v>
      </c>
      <c r="AT32" s="93" t="s">
        <v>816</v>
      </c>
      <c r="AU32" s="93" t="s">
        <v>816</v>
      </c>
      <c r="AV32" s="93" t="s">
        <v>816</v>
      </c>
      <c r="AW32" s="83" t="s">
        <v>821</v>
      </c>
      <c r="AX32" s="83">
        <v>2.0</v>
      </c>
      <c r="AY32" s="83" t="s">
        <v>822</v>
      </c>
      <c r="AZ32" s="83" t="s">
        <v>823</v>
      </c>
      <c r="BA32" s="83" t="s">
        <v>824</v>
      </c>
      <c r="BB32" s="83" t="s">
        <v>823</v>
      </c>
      <c r="BC32" s="54" t="s">
        <v>46</v>
      </c>
      <c r="BD32" s="54" t="str">
        <f t="shared" si="1"/>
        <v>Piura</v>
      </c>
      <c r="BE32" s="67" t="s">
        <v>140</v>
      </c>
      <c r="BF32" s="67" t="s">
        <v>141</v>
      </c>
      <c r="BG32" s="67" t="s">
        <v>142</v>
      </c>
      <c r="BH32" s="67"/>
      <c r="BI32" s="67"/>
      <c r="BJ32" s="67"/>
      <c r="BK32" s="67"/>
      <c r="BL32" s="67" t="s">
        <v>283</v>
      </c>
      <c r="BM32" s="67" t="s">
        <v>146</v>
      </c>
      <c r="BN32" s="100">
        <v>94.0</v>
      </c>
      <c r="BO32" s="102" t="s">
        <v>148</v>
      </c>
      <c r="BP32" s="67" t="s">
        <v>141</v>
      </c>
      <c r="BQ32" s="79" t="s">
        <v>144</v>
      </c>
      <c r="BR32" s="67" t="s">
        <v>149</v>
      </c>
      <c r="BS32" s="102" t="s">
        <v>149</v>
      </c>
      <c r="BT32" s="106">
        <v>46205.0</v>
      </c>
      <c r="BU32" s="107">
        <v>4.0</v>
      </c>
      <c r="BV32" s="108">
        <f t="shared" si="2"/>
        <v>46203</v>
      </c>
      <c r="BW32" s="108">
        <f t="shared" si="3"/>
        <v>46205</v>
      </c>
      <c r="BX32" s="102" t="str">
        <f t="shared" si="4"/>
        <v>09</v>
      </c>
      <c r="BY32" s="107">
        <f t="shared" si="5"/>
        <v>5</v>
      </c>
      <c r="BZ32" s="107">
        <f t="array" ref="BZ32">IF($A32&lt;&gt;"",INDEX(LISTA!$M$2:$N$27,MATCH($BC32,LISTA!$N$2:$N$27,0),1),"")</f>
        <v>21</v>
      </c>
      <c r="CA32" s="67">
        <f t="shared" si="6"/>
        <v>6</v>
      </c>
      <c r="CB32" s="114">
        <f t="shared" si="7"/>
        <v>7</v>
      </c>
      <c r="CC32" s="67">
        <v>5.8023666E7</v>
      </c>
    </row>
    <row r="33" ht="15.0" hidden="1" customHeight="1" outlineLevel="1">
      <c r="A33" s="59">
        <v>46203.56472403935</v>
      </c>
      <c r="B33" s="115" t="s">
        <v>105</v>
      </c>
      <c r="C33" s="54" t="s">
        <v>100</v>
      </c>
      <c r="D33" s="56" t="s">
        <v>101</v>
      </c>
      <c r="E33" s="69">
        <v>46205.583333333336</v>
      </c>
      <c r="F33" s="73" t="s">
        <v>786</v>
      </c>
      <c r="G33" s="60" t="s">
        <v>825</v>
      </c>
      <c r="H33" s="60" t="s">
        <v>826</v>
      </c>
      <c r="I33" s="67" t="s">
        <v>360</v>
      </c>
      <c r="J33" s="79" t="s">
        <v>827</v>
      </c>
      <c r="K33" s="67" t="s">
        <v>109</v>
      </c>
      <c r="L33" s="79" t="s">
        <v>548</v>
      </c>
      <c r="M33" s="83" t="s">
        <v>549</v>
      </c>
      <c r="N33" s="78">
        <v>38561.0</v>
      </c>
      <c r="O33" s="80" t="s">
        <v>37</v>
      </c>
      <c r="P33" s="70" t="s">
        <v>830</v>
      </c>
      <c r="Q33" s="54"/>
      <c r="R33" s="84"/>
      <c r="S33" s="84"/>
      <c r="T33" s="54"/>
      <c r="U33" s="86"/>
      <c r="V33" s="54"/>
      <c r="W33" s="86"/>
      <c r="X33" s="54"/>
      <c r="Y33" s="78"/>
      <c r="Z33" s="54"/>
      <c r="AA33" s="70"/>
      <c r="AB33" s="83"/>
      <c r="AC33" s="83"/>
      <c r="AD33" s="83"/>
      <c r="AE33" s="83"/>
      <c r="AF33" s="83" t="s">
        <v>165</v>
      </c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54" t="s">
        <v>837</v>
      </c>
      <c r="AR33" s="83" t="s">
        <v>838</v>
      </c>
      <c r="AS33" s="83" t="s">
        <v>839</v>
      </c>
      <c r="AT33" s="93" t="s">
        <v>827</v>
      </c>
      <c r="AU33" s="93" t="s">
        <v>827</v>
      </c>
      <c r="AV33" s="93" t="s">
        <v>827</v>
      </c>
      <c r="AW33" s="83" t="s">
        <v>841</v>
      </c>
      <c r="AX33" s="83">
        <v>5.0</v>
      </c>
      <c r="AY33" s="83" t="s">
        <v>842</v>
      </c>
      <c r="AZ33" s="83" t="s">
        <v>843</v>
      </c>
      <c r="BA33" s="83" t="s">
        <v>844</v>
      </c>
      <c r="BB33" s="83" t="s">
        <v>843</v>
      </c>
      <c r="BC33" s="54" t="s">
        <v>41</v>
      </c>
      <c r="BD33" s="54" t="str">
        <f t="shared" si="1"/>
        <v>San Martín de Porres</v>
      </c>
      <c r="BE33" s="67" t="s">
        <v>140</v>
      </c>
      <c r="BF33" s="67" t="s">
        <v>141</v>
      </c>
      <c r="BG33" s="67" t="s">
        <v>142</v>
      </c>
      <c r="BH33" s="67"/>
      <c r="BI33" s="67"/>
      <c r="BJ33" s="67"/>
      <c r="BK33" s="67"/>
      <c r="BL33" s="67" t="s">
        <v>283</v>
      </c>
      <c r="BM33" s="67" t="s">
        <v>146</v>
      </c>
      <c r="BN33" s="100">
        <v>94.0</v>
      </c>
      <c r="BO33" s="102" t="s">
        <v>148</v>
      </c>
      <c r="BP33" s="67" t="s">
        <v>141</v>
      </c>
      <c r="BQ33" s="79" t="s">
        <v>144</v>
      </c>
      <c r="BR33" s="67" t="s">
        <v>149</v>
      </c>
      <c r="BS33" s="102" t="s">
        <v>149</v>
      </c>
      <c r="BT33" s="106">
        <v>46205.0</v>
      </c>
      <c r="BU33" s="107">
        <v>5.0</v>
      </c>
      <c r="BV33" s="108">
        <f t="shared" si="2"/>
        <v>46203</v>
      </c>
      <c r="BW33" s="108">
        <f t="shared" si="3"/>
        <v>46205</v>
      </c>
      <c r="BX33" s="102" t="str">
        <f t="shared" si="4"/>
        <v>14</v>
      </c>
      <c r="BY33" s="107">
        <f t="shared" si="5"/>
        <v>5</v>
      </c>
      <c r="BZ33" s="107">
        <f t="array" ref="BZ33">IF($A33&lt;&gt;"",INDEX(LISTA!$M$2:$N$27,MATCH($BC33,LISTA!$N$2:$N$27,0),1),"")</f>
        <v>1</v>
      </c>
      <c r="CA33" s="67">
        <f t="shared" si="6"/>
        <v>6</v>
      </c>
      <c r="CB33" s="114">
        <f t="shared" si="7"/>
        <v>7</v>
      </c>
      <c r="CC33" s="67">
        <v>5.8023004E7</v>
      </c>
    </row>
    <row r="34" ht="15.0" hidden="1" customHeight="1" outlineLevel="1">
      <c r="A34" s="59">
        <v>46200.38424122686</v>
      </c>
      <c r="B34" s="115" t="s">
        <v>105</v>
      </c>
      <c r="C34" s="54" t="s">
        <v>100</v>
      </c>
      <c r="D34" s="56" t="s">
        <v>101</v>
      </c>
      <c r="E34" s="69">
        <v>46206.375</v>
      </c>
      <c r="F34" s="73" t="s">
        <v>853</v>
      </c>
      <c r="G34" s="60" t="s">
        <v>854</v>
      </c>
      <c r="H34" s="60" t="s">
        <v>855</v>
      </c>
      <c r="I34" s="67" t="s">
        <v>367</v>
      </c>
      <c r="J34" s="79" t="s">
        <v>856</v>
      </c>
      <c r="K34" s="67" t="s">
        <v>109</v>
      </c>
      <c r="L34" s="79" t="s">
        <v>575</v>
      </c>
      <c r="M34" s="83" t="s">
        <v>861</v>
      </c>
      <c r="N34" s="78">
        <v>22897.0</v>
      </c>
      <c r="O34" s="80" t="s">
        <v>37</v>
      </c>
      <c r="P34" s="70" t="s">
        <v>864</v>
      </c>
      <c r="Q34" s="54"/>
      <c r="R34" s="84"/>
      <c r="S34" s="84"/>
      <c r="T34" s="54"/>
      <c r="U34" s="86"/>
      <c r="V34" s="54"/>
      <c r="W34" s="86"/>
      <c r="X34" s="54"/>
      <c r="Y34" s="78"/>
      <c r="Z34" s="54"/>
      <c r="AA34" s="70"/>
      <c r="AB34" s="83"/>
      <c r="AC34" s="83"/>
      <c r="AD34" s="83"/>
      <c r="AE34" s="83"/>
      <c r="AF34" s="83" t="s">
        <v>792</v>
      </c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54" t="s">
        <v>874</v>
      </c>
      <c r="AR34" s="83" t="s">
        <v>875</v>
      </c>
      <c r="AS34" s="83" t="s">
        <v>876</v>
      </c>
      <c r="AT34" s="93" t="s">
        <v>877</v>
      </c>
      <c r="AU34" s="93" t="s">
        <v>877</v>
      </c>
      <c r="AV34" s="93" t="s">
        <v>879</v>
      </c>
      <c r="AW34" s="83" t="s">
        <v>880</v>
      </c>
      <c r="AX34" s="83">
        <v>2.0</v>
      </c>
      <c r="AY34" s="83">
        <v>0.0</v>
      </c>
      <c r="AZ34" s="83" t="s">
        <v>881</v>
      </c>
      <c r="BA34" s="83" t="s">
        <v>882</v>
      </c>
      <c r="BB34" s="83" t="s">
        <v>883</v>
      </c>
      <c r="BC34" s="54" t="s">
        <v>41</v>
      </c>
      <c r="BD34" s="54" t="str">
        <f t="shared" si="1"/>
        <v>Los Olivos</v>
      </c>
      <c r="BE34" s="67" t="s">
        <v>140</v>
      </c>
      <c r="BF34" s="67" t="s">
        <v>144</v>
      </c>
      <c r="BG34" s="67" t="s">
        <v>142</v>
      </c>
      <c r="BH34" s="67"/>
      <c r="BI34" s="67"/>
      <c r="BJ34" s="67"/>
      <c r="BK34" s="67"/>
      <c r="BL34" s="67" t="s">
        <v>147</v>
      </c>
      <c r="BM34" s="67" t="s">
        <v>247</v>
      </c>
      <c r="BN34" s="100">
        <v>89.0</v>
      </c>
      <c r="BO34" s="102" t="s">
        <v>148</v>
      </c>
      <c r="BP34" s="67" t="s">
        <v>141</v>
      </c>
      <c r="BQ34" s="79" t="s">
        <v>141</v>
      </c>
      <c r="BR34" s="67" t="s">
        <v>149</v>
      </c>
      <c r="BS34" s="102">
        <v>1.0</v>
      </c>
      <c r="BT34" s="106">
        <v>46206.0</v>
      </c>
      <c r="BU34" s="107">
        <v>2.0</v>
      </c>
      <c r="BV34" s="108">
        <f t="shared" si="2"/>
        <v>46200</v>
      </c>
      <c r="BW34" s="108">
        <f t="shared" si="3"/>
        <v>46206</v>
      </c>
      <c r="BX34" s="102" t="str">
        <f t="shared" si="4"/>
        <v>09</v>
      </c>
      <c r="BY34" s="107">
        <f t="shared" si="5"/>
        <v>5</v>
      </c>
      <c r="BZ34" s="107">
        <f t="array" ref="BZ34">IF($A34&lt;&gt;"",INDEX(LISTA!$M$2:$N$27,MATCH($BC34,LISTA!$N$2:$N$27,0),1),"")</f>
        <v>1</v>
      </c>
      <c r="CA34" s="67">
        <f t="shared" si="6"/>
        <v>6</v>
      </c>
      <c r="CB34" s="114">
        <f t="shared" si="7"/>
        <v>7</v>
      </c>
      <c r="CC34" s="67">
        <v>5.8004758E7</v>
      </c>
    </row>
    <row r="35" ht="15.0" hidden="1" customHeight="1" outlineLevel="1">
      <c r="A35" s="59">
        <v>46203.746429074075</v>
      </c>
      <c r="B35" s="115" t="s">
        <v>105</v>
      </c>
      <c r="C35" s="54" t="s">
        <v>100</v>
      </c>
      <c r="D35" s="56" t="s">
        <v>101</v>
      </c>
      <c r="E35" s="69">
        <v>46206.666666666664</v>
      </c>
      <c r="F35" s="73" t="s">
        <v>103</v>
      </c>
      <c r="G35" s="60" t="s">
        <v>896</v>
      </c>
      <c r="H35" s="60" t="s">
        <v>897</v>
      </c>
      <c r="I35" s="67" t="s">
        <v>355</v>
      </c>
      <c r="J35" s="79" t="s">
        <v>898</v>
      </c>
      <c r="K35" s="67" t="s">
        <v>109</v>
      </c>
      <c r="L35" s="79" t="s">
        <v>589</v>
      </c>
      <c r="M35" s="83" t="s">
        <v>902</v>
      </c>
      <c r="N35" s="78">
        <v>36128.0</v>
      </c>
      <c r="O35" s="80" t="s">
        <v>33</v>
      </c>
      <c r="P35" s="70" t="s">
        <v>903</v>
      </c>
      <c r="Q35" s="54"/>
      <c r="R35" s="84"/>
      <c r="S35" s="84"/>
      <c r="T35" s="54"/>
      <c r="U35" s="86"/>
      <c r="V35" s="54"/>
      <c r="W35" s="86"/>
      <c r="X35" s="54"/>
      <c r="Y35" s="78"/>
      <c r="Z35" s="54" t="s">
        <v>267</v>
      </c>
      <c r="AA35" s="70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54" t="s">
        <v>904</v>
      </c>
      <c r="AR35" s="83" t="s">
        <v>905</v>
      </c>
      <c r="AS35" s="83" t="s">
        <v>906</v>
      </c>
      <c r="AT35" s="93" t="s">
        <v>898</v>
      </c>
      <c r="AU35" s="93" t="s">
        <v>898</v>
      </c>
      <c r="AV35" s="93" t="s">
        <v>898</v>
      </c>
      <c r="AW35" s="83" t="s">
        <v>907</v>
      </c>
      <c r="AX35" s="83">
        <v>2.0</v>
      </c>
      <c r="AY35" s="83" t="s">
        <v>174</v>
      </c>
      <c r="AZ35" s="83" t="s">
        <v>908</v>
      </c>
      <c r="BA35" s="83" t="s">
        <v>909</v>
      </c>
      <c r="BB35" s="83" t="s">
        <v>910</v>
      </c>
      <c r="BC35" s="54" t="s">
        <v>33</v>
      </c>
      <c r="BD35" s="54" t="str">
        <f t="shared" si="1"/>
        <v>Huánuco</v>
      </c>
      <c r="BE35" s="67" t="s">
        <v>140</v>
      </c>
      <c r="BF35" s="67" t="s">
        <v>141</v>
      </c>
      <c r="BG35" s="67" t="s">
        <v>142</v>
      </c>
      <c r="BH35" s="67"/>
      <c r="BI35" s="67"/>
      <c r="BJ35" s="67"/>
      <c r="BK35" s="67"/>
      <c r="BL35" s="67" t="s">
        <v>283</v>
      </c>
      <c r="BM35" s="67" t="s">
        <v>146</v>
      </c>
      <c r="BN35" s="100">
        <v>94.0</v>
      </c>
      <c r="BO35" s="102" t="s">
        <v>148</v>
      </c>
      <c r="BP35" s="67"/>
      <c r="BQ35" s="79" t="s">
        <v>144</v>
      </c>
      <c r="BR35" s="67" t="s">
        <v>149</v>
      </c>
      <c r="BS35" s="102" t="s">
        <v>149</v>
      </c>
      <c r="BT35" s="106">
        <v>46206.0</v>
      </c>
      <c r="BU35" s="107">
        <v>3.0</v>
      </c>
      <c r="BV35" s="108">
        <f t="shared" si="2"/>
        <v>46203</v>
      </c>
      <c r="BW35" s="108">
        <f t="shared" si="3"/>
        <v>46206</v>
      </c>
      <c r="BX35" s="102" t="str">
        <f t="shared" si="4"/>
        <v>16</v>
      </c>
      <c r="BY35" s="107">
        <f t="shared" si="5"/>
        <v>5</v>
      </c>
      <c r="BZ35" s="107">
        <f t="array" ref="BZ35">IF($A35&lt;&gt;"",INDEX(LISTA!$M$2:$N$27,MATCH($BC35,LISTA!$N$2:$N$27,0),1),"")</f>
        <v>12</v>
      </c>
      <c r="CA35" s="67">
        <f t="shared" si="6"/>
        <v>6</v>
      </c>
      <c r="CB35" s="114">
        <f t="shared" si="7"/>
        <v>7</v>
      </c>
      <c r="CC35" s="67">
        <v>5.8026003E7</v>
      </c>
    </row>
    <row r="36" ht="15.0" hidden="1" customHeight="1" outlineLevel="1">
      <c r="A36" s="59">
        <v>46203.48133850694</v>
      </c>
      <c r="B36" s="115" t="s">
        <v>105</v>
      </c>
      <c r="C36" s="54" t="s">
        <v>100</v>
      </c>
      <c r="D36" s="56" t="s">
        <v>101</v>
      </c>
      <c r="E36" s="69">
        <v>46206.375</v>
      </c>
      <c r="F36" s="73" t="s">
        <v>926</v>
      </c>
      <c r="G36" s="60" t="s">
        <v>927</v>
      </c>
      <c r="H36" s="60" t="s">
        <v>928</v>
      </c>
      <c r="I36" s="67" t="s">
        <v>360</v>
      </c>
      <c r="J36" s="79" t="s">
        <v>929</v>
      </c>
      <c r="K36" s="67" t="s">
        <v>109</v>
      </c>
      <c r="L36" s="79" t="s">
        <v>591</v>
      </c>
      <c r="M36" s="83" t="s">
        <v>592</v>
      </c>
      <c r="N36" s="78">
        <v>27999.0</v>
      </c>
      <c r="O36" s="80" t="s">
        <v>27</v>
      </c>
      <c r="P36" s="70" t="s">
        <v>930</v>
      </c>
      <c r="Q36" s="54"/>
      <c r="R36" s="84"/>
      <c r="S36" s="84"/>
      <c r="T36" s="54" t="s">
        <v>122</v>
      </c>
      <c r="U36" s="86"/>
      <c r="V36" s="54"/>
      <c r="W36" s="86"/>
      <c r="X36" s="54"/>
      <c r="Y36" s="78"/>
      <c r="Z36" s="54"/>
      <c r="AA36" s="70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54" t="s">
        <v>931</v>
      </c>
      <c r="AR36" s="83" t="s">
        <v>932</v>
      </c>
      <c r="AS36" s="83" t="s">
        <v>933</v>
      </c>
      <c r="AT36" s="93" t="s">
        <v>929</v>
      </c>
      <c r="AU36" s="93" t="s">
        <v>929</v>
      </c>
      <c r="AV36" s="93" t="s">
        <v>929</v>
      </c>
      <c r="AW36" s="83" t="s">
        <v>934</v>
      </c>
      <c r="AX36" s="83">
        <v>2.0</v>
      </c>
      <c r="AY36" s="83" t="s">
        <v>842</v>
      </c>
      <c r="AZ36" s="83" t="s">
        <v>935</v>
      </c>
      <c r="BA36" s="83" t="s">
        <v>936</v>
      </c>
      <c r="BB36" s="83" t="s">
        <v>937</v>
      </c>
      <c r="BC36" s="54" t="s">
        <v>27</v>
      </c>
      <c r="BD36" s="54" t="str">
        <f t="shared" si="1"/>
        <v>Arequipa</v>
      </c>
      <c r="BE36" s="67" t="s">
        <v>140</v>
      </c>
      <c r="BF36" s="67" t="s">
        <v>144</v>
      </c>
      <c r="BG36" s="67" t="s">
        <v>142</v>
      </c>
      <c r="BH36" s="67"/>
      <c r="BI36" s="67"/>
      <c r="BJ36" s="67"/>
      <c r="BK36" s="67"/>
      <c r="BL36" s="67" t="s">
        <v>283</v>
      </c>
      <c r="BM36" s="67" t="s">
        <v>146</v>
      </c>
      <c r="BN36" s="100">
        <v>94.0</v>
      </c>
      <c r="BO36" s="102" t="s">
        <v>148</v>
      </c>
      <c r="BP36" s="67" t="s">
        <v>141</v>
      </c>
      <c r="BQ36" s="79" t="s">
        <v>141</v>
      </c>
      <c r="BR36" s="67" t="s">
        <v>149</v>
      </c>
      <c r="BS36" s="102">
        <v>1.0</v>
      </c>
      <c r="BT36" s="106">
        <v>46206.0</v>
      </c>
      <c r="BU36" s="107">
        <v>5.0</v>
      </c>
      <c r="BV36" s="108">
        <f t="shared" si="2"/>
        <v>46203</v>
      </c>
      <c r="BW36" s="108">
        <f t="shared" si="3"/>
        <v>46206</v>
      </c>
      <c r="BX36" s="102" t="str">
        <f t="shared" si="4"/>
        <v>09</v>
      </c>
      <c r="BY36" s="107">
        <f t="shared" si="5"/>
        <v>5</v>
      </c>
      <c r="BZ36" s="107">
        <f t="array" ref="BZ36">IF($A36&lt;&gt;"",INDEX(LISTA!$M$2:$N$27,MATCH($BC36,LISTA!$N$2:$N$27,0),1),"")</f>
        <v>7</v>
      </c>
      <c r="CA36" s="67">
        <f t="shared" si="6"/>
        <v>6</v>
      </c>
      <c r="CB36" s="114">
        <f t="shared" si="7"/>
        <v>7</v>
      </c>
      <c r="CC36" s="67">
        <v>5.8029133E7</v>
      </c>
    </row>
    <row r="37" ht="15.0" hidden="1" customHeight="1" outlineLevel="1">
      <c r="A37" s="59">
        <v>46203.57456717592</v>
      </c>
      <c r="B37" s="115" t="s">
        <v>105</v>
      </c>
      <c r="C37" s="54" t="s">
        <v>100</v>
      </c>
      <c r="D37" s="56" t="s">
        <v>101</v>
      </c>
      <c r="E37" s="69">
        <v>46206.375</v>
      </c>
      <c r="F37" s="73" t="s">
        <v>949</v>
      </c>
      <c r="G37" s="60" t="s">
        <v>950</v>
      </c>
      <c r="H37" s="60" t="s">
        <v>953</v>
      </c>
      <c r="I37" s="67" t="s">
        <v>192</v>
      </c>
      <c r="J37" s="79" t="s">
        <v>955</v>
      </c>
      <c r="K37" s="67" t="s">
        <v>109</v>
      </c>
      <c r="L37" s="79" t="s">
        <v>586</v>
      </c>
      <c r="M37" s="83" t="s">
        <v>588</v>
      </c>
      <c r="N37" s="78">
        <v>24562.0</v>
      </c>
      <c r="O37" s="80" t="s">
        <v>36</v>
      </c>
      <c r="P37" s="70" t="s">
        <v>163</v>
      </c>
      <c r="Q37" s="54"/>
      <c r="R37" s="84"/>
      <c r="S37" s="84"/>
      <c r="T37" s="54"/>
      <c r="U37" s="86"/>
      <c r="V37" s="54"/>
      <c r="W37" s="86"/>
      <c r="X37" s="54"/>
      <c r="Y37" s="78"/>
      <c r="Z37" s="54"/>
      <c r="AA37" s="70"/>
      <c r="AB37" s="83"/>
      <c r="AC37" s="83"/>
      <c r="AD37" s="83"/>
      <c r="AE37" s="83"/>
      <c r="AF37" s="83" t="s">
        <v>123</v>
      </c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54" t="s">
        <v>956</v>
      </c>
      <c r="AR37" s="83" t="s">
        <v>957</v>
      </c>
      <c r="AS37" s="83" t="s">
        <v>958</v>
      </c>
      <c r="AT37" s="93" t="s">
        <v>959</v>
      </c>
      <c r="AU37" s="93" t="s">
        <v>959</v>
      </c>
      <c r="AV37" s="93" t="s">
        <v>959</v>
      </c>
      <c r="AW37" s="83" t="s">
        <v>960</v>
      </c>
      <c r="AX37" s="83">
        <v>2.0</v>
      </c>
      <c r="AY37" s="83" t="s">
        <v>238</v>
      </c>
      <c r="AZ37" s="83" t="s">
        <v>961</v>
      </c>
      <c r="BA37" s="83" t="s">
        <v>962</v>
      </c>
      <c r="BB37" s="83" t="s">
        <v>963</v>
      </c>
      <c r="BC37" s="54" t="s">
        <v>41</v>
      </c>
      <c r="BD37" s="54" t="str">
        <f t="shared" si="1"/>
        <v>Santiago de Surco</v>
      </c>
      <c r="BE37" s="67" t="s">
        <v>140</v>
      </c>
      <c r="BF37" s="67" t="s">
        <v>144</v>
      </c>
      <c r="BG37" s="67" t="s">
        <v>142</v>
      </c>
      <c r="BH37" s="67"/>
      <c r="BI37" s="67"/>
      <c r="BJ37" s="67"/>
      <c r="BK37" s="67"/>
      <c r="BL37" s="67" t="s">
        <v>213</v>
      </c>
      <c r="BM37" s="67" t="s">
        <v>214</v>
      </c>
      <c r="BN37" s="100">
        <v>110.0</v>
      </c>
      <c r="BO37" s="102" t="s">
        <v>182</v>
      </c>
      <c r="BP37" s="67" t="s">
        <v>144</v>
      </c>
      <c r="BQ37" s="79" t="s">
        <v>141</v>
      </c>
      <c r="BR37" s="67" t="s">
        <v>149</v>
      </c>
      <c r="BS37" s="102">
        <v>1.0</v>
      </c>
      <c r="BT37" s="106">
        <v>46206.0</v>
      </c>
      <c r="BU37" s="107">
        <v>6.0</v>
      </c>
      <c r="BV37" s="108">
        <f t="shared" si="2"/>
        <v>46203</v>
      </c>
      <c r="BW37" s="108">
        <f t="shared" si="3"/>
        <v>46206</v>
      </c>
      <c r="BX37" s="102" t="str">
        <f t="shared" si="4"/>
        <v>09</v>
      </c>
      <c r="BY37" s="107">
        <f t="shared" si="5"/>
        <v>5</v>
      </c>
      <c r="BZ37" s="107">
        <f t="array" ref="BZ37">IF($A37&lt;&gt;"",INDEX(LISTA!$M$2:$N$27,MATCH($BC37,LISTA!$N$2:$N$27,0),1),"")</f>
        <v>1</v>
      </c>
      <c r="CA37" s="67">
        <f t="shared" si="6"/>
        <v>6</v>
      </c>
      <c r="CB37" s="114">
        <f t="shared" si="7"/>
        <v>7</v>
      </c>
      <c r="CC37" s="67">
        <v>5.8023332E7</v>
      </c>
    </row>
    <row r="38" ht="15.0" hidden="1" customHeight="1" outlineLevel="1">
      <c r="A38" s="59">
        <v>46200.40570074074</v>
      </c>
      <c r="B38" s="115" t="s">
        <v>105</v>
      </c>
      <c r="C38" s="54" t="s">
        <v>100</v>
      </c>
      <c r="D38" s="56" t="s">
        <v>101</v>
      </c>
      <c r="E38" s="69">
        <v>46206.541666666664</v>
      </c>
      <c r="F38" s="73" t="s">
        <v>980</v>
      </c>
      <c r="G38" s="60" t="s">
        <v>981</v>
      </c>
      <c r="H38" s="60" t="s">
        <v>982</v>
      </c>
      <c r="I38" s="67" t="s">
        <v>287</v>
      </c>
      <c r="J38" s="79" t="s">
        <v>983</v>
      </c>
      <c r="K38" s="67" t="s">
        <v>109</v>
      </c>
      <c r="L38" s="79" t="s">
        <v>579</v>
      </c>
      <c r="M38" s="83" t="s">
        <v>580</v>
      </c>
      <c r="N38" s="78">
        <v>28087.0</v>
      </c>
      <c r="O38" s="80" t="s">
        <v>29</v>
      </c>
      <c r="P38" s="70" t="s">
        <v>984</v>
      </c>
      <c r="Q38" s="54"/>
      <c r="R38" s="84"/>
      <c r="S38" s="84"/>
      <c r="T38" s="54"/>
      <c r="U38" s="86"/>
      <c r="V38" s="54" t="s">
        <v>985</v>
      </c>
      <c r="W38" s="86"/>
      <c r="X38" s="54"/>
      <c r="Y38" s="78"/>
      <c r="Z38" s="54"/>
      <c r="AA38" s="70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54" t="s">
        <v>986</v>
      </c>
      <c r="AR38" s="83" t="s">
        <v>987</v>
      </c>
      <c r="AS38" s="83" t="s">
        <v>988</v>
      </c>
      <c r="AT38" s="93" t="s">
        <v>989</v>
      </c>
      <c r="AU38" s="93" t="s">
        <v>989</v>
      </c>
      <c r="AV38" s="93" t="s">
        <v>989</v>
      </c>
      <c r="AW38" s="83" t="s">
        <v>990</v>
      </c>
      <c r="AX38" s="83">
        <v>1.0</v>
      </c>
      <c r="AY38" s="83" t="s">
        <v>991</v>
      </c>
      <c r="AZ38" s="83" t="s">
        <v>992</v>
      </c>
      <c r="BA38" s="83" t="s">
        <v>993</v>
      </c>
      <c r="BB38" s="83" t="s">
        <v>994</v>
      </c>
      <c r="BC38" s="54" t="s">
        <v>29</v>
      </c>
      <c r="BD38" s="54" t="str">
        <f t="shared" si="1"/>
        <v>Cajabamba</v>
      </c>
      <c r="BE38" s="67" t="s">
        <v>140</v>
      </c>
      <c r="BF38" s="67" t="s">
        <v>144</v>
      </c>
      <c r="BG38" s="67" t="s">
        <v>142</v>
      </c>
      <c r="BH38" s="67"/>
      <c r="BI38" s="67"/>
      <c r="BJ38" s="67"/>
      <c r="BK38" s="67"/>
      <c r="BL38" s="67" t="s">
        <v>147</v>
      </c>
      <c r="BM38" s="67" t="s">
        <v>146</v>
      </c>
      <c r="BN38" s="100">
        <v>100.0</v>
      </c>
      <c r="BO38" s="102" t="s">
        <v>330</v>
      </c>
      <c r="BP38" s="67" t="s">
        <v>141</v>
      </c>
      <c r="BQ38" s="79" t="s">
        <v>141</v>
      </c>
      <c r="BR38" s="67" t="s">
        <v>149</v>
      </c>
      <c r="BS38" s="102">
        <v>1.0</v>
      </c>
      <c r="BT38" s="106">
        <v>46206.0</v>
      </c>
      <c r="BU38" s="107">
        <v>7.0</v>
      </c>
      <c r="BV38" s="108">
        <f t="shared" si="2"/>
        <v>46200</v>
      </c>
      <c r="BW38" s="108">
        <f t="shared" si="3"/>
        <v>46206</v>
      </c>
      <c r="BX38" s="102" t="str">
        <f t="shared" si="4"/>
        <v>13</v>
      </c>
      <c r="BY38" s="107">
        <f t="shared" si="5"/>
        <v>5</v>
      </c>
      <c r="BZ38" s="107">
        <f t="array" ref="BZ38">IF($A38&lt;&gt;"",INDEX(LISTA!$M$2:$N$27,MATCH($BC38,LISTA!$N$2:$N$27,0),1),"")</f>
        <v>9</v>
      </c>
      <c r="CA38" s="67">
        <f t="shared" si="6"/>
        <v>6</v>
      </c>
      <c r="CB38" s="114">
        <f t="shared" si="7"/>
        <v>7</v>
      </c>
      <c r="CC38" s="67">
        <v>5.8004934E7</v>
      </c>
    </row>
    <row r="39" ht="15.0" hidden="1" customHeight="1" outlineLevel="1">
      <c r="A39" s="59">
        <v>46203.43567568287</v>
      </c>
      <c r="B39" s="115" t="s">
        <v>105</v>
      </c>
      <c r="C39" s="54" t="s">
        <v>100</v>
      </c>
      <c r="D39" s="56" t="s">
        <v>101</v>
      </c>
      <c r="E39" s="69">
        <v>46207.458333333336</v>
      </c>
      <c r="F39" s="73" t="s">
        <v>1004</v>
      </c>
      <c r="G39" s="60" t="s">
        <v>1005</v>
      </c>
      <c r="H39" s="60" t="s">
        <v>1006</v>
      </c>
      <c r="I39" s="67" t="s">
        <v>192</v>
      </c>
      <c r="J39" s="79" t="s">
        <v>1009</v>
      </c>
      <c r="K39" s="67" t="s">
        <v>109</v>
      </c>
      <c r="L39" s="79" t="s">
        <v>603</v>
      </c>
      <c r="M39" s="83" t="s">
        <v>604</v>
      </c>
      <c r="N39" s="78">
        <v>32454.0</v>
      </c>
      <c r="O39" s="80" t="s">
        <v>31</v>
      </c>
      <c r="P39" s="70" t="s">
        <v>1011</v>
      </c>
      <c r="Q39" s="54"/>
      <c r="R39" s="84"/>
      <c r="S39" s="84"/>
      <c r="T39" s="54"/>
      <c r="U39" s="86"/>
      <c r="V39" s="54"/>
      <c r="W39" s="86"/>
      <c r="X39" s="54" t="s">
        <v>1012</v>
      </c>
      <c r="Y39" s="78"/>
      <c r="Z39" s="54"/>
      <c r="AA39" s="70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54" t="s">
        <v>1013</v>
      </c>
      <c r="AR39" s="83" t="s">
        <v>645</v>
      </c>
      <c r="AS39" s="83" t="s">
        <v>1014</v>
      </c>
      <c r="AT39" s="93" t="s">
        <v>1009</v>
      </c>
      <c r="AU39" s="93" t="s">
        <v>1009</v>
      </c>
      <c r="AV39" s="93" t="s">
        <v>1009</v>
      </c>
      <c r="AW39" s="83" t="s">
        <v>1015</v>
      </c>
      <c r="AX39" s="83">
        <v>2.0</v>
      </c>
      <c r="AY39" s="83" t="s">
        <v>1016</v>
      </c>
      <c r="AZ39" s="83" t="s">
        <v>1017</v>
      </c>
      <c r="BA39" s="83" t="s">
        <v>1018</v>
      </c>
      <c r="BB39" s="83" t="s">
        <v>1019</v>
      </c>
      <c r="BC39" s="54" t="s">
        <v>31</v>
      </c>
      <c r="BD39" s="54" t="str">
        <f t="shared" si="1"/>
        <v>Cusco</v>
      </c>
      <c r="BE39" s="67" t="s">
        <v>140</v>
      </c>
      <c r="BF39" s="67" t="s">
        <v>144</v>
      </c>
      <c r="BG39" s="67" t="s">
        <v>142</v>
      </c>
      <c r="BH39" s="67"/>
      <c r="BI39" s="67"/>
      <c r="BJ39" s="67"/>
      <c r="BK39" s="67"/>
      <c r="BL39" s="67" t="s">
        <v>147</v>
      </c>
      <c r="BM39" s="67" t="s">
        <v>247</v>
      </c>
      <c r="BN39" s="100">
        <v>89.0</v>
      </c>
      <c r="BO39" s="102" t="s">
        <v>148</v>
      </c>
      <c r="BP39" s="67"/>
      <c r="BQ39" s="79" t="s">
        <v>141</v>
      </c>
      <c r="BR39" s="67" t="s">
        <v>149</v>
      </c>
      <c r="BS39" s="102">
        <v>1.0</v>
      </c>
      <c r="BT39" s="106">
        <v>46207.0</v>
      </c>
      <c r="BU39" s="107">
        <v>1.0</v>
      </c>
      <c r="BV39" s="108">
        <f t="shared" si="2"/>
        <v>46203</v>
      </c>
      <c r="BW39" s="108">
        <f t="shared" si="3"/>
        <v>46207</v>
      </c>
      <c r="BX39" s="102" t="str">
        <f t="shared" si="4"/>
        <v>11</v>
      </c>
      <c r="BY39" s="107">
        <f t="shared" si="5"/>
        <v>5</v>
      </c>
      <c r="BZ39" s="107">
        <f t="array" ref="BZ39">IF($A39&lt;&gt;"",INDEX(LISTA!$M$2:$N$27,MATCH($BC39,LISTA!$N$2:$N$27,0),1),"")</f>
        <v>10</v>
      </c>
      <c r="CA39" s="67">
        <f t="shared" si="6"/>
        <v>6</v>
      </c>
      <c r="CB39" s="114">
        <f t="shared" si="7"/>
        <v>7</v>
      </c>
      <c r="CC39" s="67">
        <v>5.8020247E7</v>
      </c>
    </row>
    <row r="40" ht="15.0" hidden="1" customHeight="1" outlineLevel="1">
      <c r="A40" s="59">
        <v>46200.7332803125</v>
      </c>
      <c r="B40" s="115" t="s">
        <v>105</v>
      </c>
      <c r="C40" s="54" t="s">
        <v>100</v>
      </c>
      <c r="D40" s="56" t="s">
        <v>101</v>
      </c>
      <c r="E40" s="69">
        <v>46209.583333333336</v>
      </c>
      <c r="F40" s="73" t="s">
        <v>1034</v>
      </c>
      <c r="G40" s="60" t="s">
        <v>1035</v>
      </c>
      <c r="H40" s="60" t="s">
        <v>1037</v>
      </c>
      <c r="I40" s="67" t="s">
        <v>367</v>
      </c>
      <c r="J40" s="79" t="s">
        <v>1038</v>
      </c>
      <c r="K40" s="67" t="s">
        <v>109</v>
      </c>
      <c r="L40" s="79" t="s">
        <v>620</v>
      </c>
      <c r="M40" s="83" t="s">
        <v>621</v>
      </c>
      <c r="N40" s="78">
        <v>34310.0</v>
      </c>
      <c r="O40" s="80" t="s">
        <v>37</v>
      </c>
      <c r="P40" s="70" t="s">
        <v>1039</v>
      </c>
      <c r="Q40" s="54"/>
      <c r="R40" s="84"/>
      <c r="S40" s="84"/>
      <c r="T40" s="54"/>
      <c r="U40" s="86"/>
      <c r="V40" s="54"/>
      <c r="W40" s="86"/>
      <c r="X40" s="54"/>
      <c r="Y40" s="78"/>
      <c r="Z40" s="54"/>
      <c r="AA40" s="70"/>
      <c r="AB40" s="83"/>
      <c r="AC40" s="83"/>
      <c r="AD40" s="83"/>
      <c r="AE40" s="83"/>
      <c r="AF40" s="83" t="s">
        <v>165</v>
      </c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54" t="s">
        <v>1040</v>
      </c>
      <c r="AR40" s="83" t="s">
        <v>1041</v>
      </c>
      <c r="AS40" s="83" t="s">
        <v>1042</v>
      </c>
      <c r="AT40" s="93" t="s">
        <v>1038</v>
      </c>
      <c r="AU40" s="93" t="s">
        <v>1038</v>
      </c>
      <c r="AV40" s="93" t="s">
        <v>1038</v>
      </c>
      <c r="AW40" s="83" t="s">
        <v>1043</v>
      </c>
      <c r="AX40" s="83">
        <v>1.0</v>
      </c>
      <c r="AY40" s="83" t="s">
        <v>1044</v>
      </c>
      <c r="AZ40" s="83" t="s">
        <v>1045</v>
      </c>
      <c r="BA40" s="83" t="s">
        <v>1046</v>
      </c>
      <c r="BB40" s="83" t="s">
        <v>1047</v>
      </c>
      <c r="BC40" s="54" t="s">
        <v>41</v>
      </c>
      <c r="BD40" s="54" t="str">
        <f t="shared" si="1"/>
        <v>San Martín de Porres</v>
      </c>
      <c r="BE40" s="67" t="s">
        <v>140</v>
      </c>
      <c r="BF40" s="67" t="s">
        <v>144</v>
      </c>
      <c r="BG40" s="67" t="s">
        <v>142</v>
      </c>
      <c r="BH40" s="67"/>
      <c r="BI40" s="67"/>
      <c r="BJ40" s="67"/>
      <c r="BK40" s="67"/>
      <c r="BL40" s="67" t="s">
        <v>283</v>
      </c>
      <c r="BM40" s="67" t="s">
        <v>146</v>
      </c>
      <c r="BN40" s="100">
        <v>94.0</v>
      </c>
      <c r="BO40" s="102" t="s">
        <v>148</v>
      </c>
      <c r="BP40" s="67" t="s">
        <v>141</v>
      </c>
      <c r="BQ40" s="79" t="s">
        <v>144</v>
      </c>
      <c r="BR40" s="67" t="s">
        <v>149</v>
      </c>
      <c r="BS40" s="102">
        <v>1.0</v>
      </c>
      <c r="BT40" s="106">
        <v>46209.0</v>
      </c>
      <c r="BU40" s="107">
        <v>2.0</v>
      </c>
      <c r="BV40" s="108">
        <f t="shared" si="2"/>
        <v>46200</v>
      </c>
      <c r="BW40" s="108">
        <f t="shared" si="3"/>
        <v>46209</v>
      </c>
      <c r="BX40" s="102" t="str">
        <f t="shared" si="4"/>
        <v>14</v>
      </c>
      <c r="BY40" s="107">
        <f t="shared" si="5"/>
        <v>5</v>
      </c>
      <c r="BZ40" s="107">
        <f t="array" ref="BZ40">IF($A40&lt;&gt;"",INDEX(LISTA!$M$2:$N$27,MATCH($BC40,LISTA!$N$2:$N$27,0),1),"")</f>
        <v>1</v>
      </c>
      <c r="CA40" s="67">
        <f t="shared" si="6"/>
        <v>6</v>
      </c>
      <c r="CB40" s="114">
        <f t="shared" si="7"/>
        <v>7</v>
      </c>
      <c r="CC40" s="67">
        <v>5.8009872E7</v>
      </c>
    </row>
    <row r="41" ht="15.0" hidden="1" customHeight="1" outlineLevel="1">
      <c r="A41" s="59">
        <v>46196.6220450463</v>
      </c>
      <c r="B41" s="115" t="s">
        <v>411</v>
      </c>
      <c r="C41" s="54" t="s">
        <v>100</v>
      </c>
      <c r="D41" s="56" t="s">
        <v>101</v>
      </c>
      <c r="E41" s="69">
        <v>46199.75</v>
      </c>
      <c r="F41" s="73" t="s">
        <v>1062</v>
      </c>
      <c r="G41" s="60" t="s">
        <v>1065</v>
      </c>
      <c r="H41" s="60" t="s">
        <v>1066</v>
      </c>
      <c r="I41" s="67" t="s">
        <v>107</v>
      </c>
      <c r="J41" s="79" t="s">
        <v>1067</v>
      </c>
      <c r="K41" s="67" t="s">
        <v>109</v>
      </c>
      <c r="L41" s="79" t="s">
        <v>1068</v>
      </c>
      <c r="M41" s="83" t="s">
        <v>1069</v>
      </c>
      <c r="N41" s="78">
        <v>32767.0</v>
      </c>
      <c r="O41" s="80" t="s">
        <v>31</v>
      </c>
      <c r="P41" s="70" t="s">
        <v>1070</v>
      </c>
      <c r="Q41" s="54"/>
      <c r="R41" s="84"/>
      <c r="S41" s="84"/>
      <c r="T41" s="54"/>
      <c r="U41" s="86"/>
      <c r="V41" s="54"/>
      <c r="W41" s="86"/>
      <c r="X41" s="54" t="s">
        <v>1071</v>
      </c>
      <c r="Y41" s="78"/>
      <c r="Z41" s="54"/>
      <c r="AA41" s="70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54" t="s">
        <v>1072</v>
      </c>
      <c r="AR41" s="83" t="s">
        <v>1073</v>
      </c>
      <c r="AS41" s="83" t="s">
        <v>1074</v>
      </c>
      <c r="AT41" s="93" t="s">
        <v>1067</v>
      </c>
      <c r="AU41" s="93" t="s">
        <v>1067</v>
      </c>
      <c r="AV41" s="93" t="s">
        <v>1067</v>
      </c>
      <c r="AW41" s="83" t="s">
        <v>1075</v>
      </c>
      <c r="AX41" s="83">
        <v>2.0</v>
      </c>
      <c r="AY41" s="83">
        <v>1.0</v>
      </c>
      <c r="AZ41" s="83" t="s">
        <v>1077</v>
      </c>
      <c r="BA41" s="83" t="s">
        <v>1078</v>
      </c>
      <c r="BB41" s="83" t="s">
        <v>1079</v>
      </c>
      <c r="BC41" s="54" t="s">
        <v>31</v>
      </c>
      <c r="BD41" s="54" t="str">
        <f t="shared" si="1"/>
        <v>Canchis</v>
      </c>
      <c r="BE41" s="67" t="s">
        <v>140</v>
      </c>
      <c r="BF41" s="67" t="s">
        <v>144</v>
      </c>
      <c r="BG41" s="67" t="s">
        <v>142</v>
      </c>
      <c r="BH41" s="67"/>
      <c r="BI41" s="67"/>
      <c r="BJ41" s="67"/>
      <c r="BK41" s="67"/>
      <c r="BL41" s="67" t="s">
        <v>213</v>
      </c>
      <c r="BM41" s="67" t="s">
        <v>146</v>
      </c>
      <c r="BN41" s="100">
        <v>110.0</v>
      </c>
      <c r="BO41" s="102" t="s">
        <v>182</v>
      </c>
      <c r="BP41" s="67" t="s">
        <v>144</v>
      </c>
      <c r="BQ41" s="79" t="s">
        <v>141</v>
      </c>
      <c r="BR41" s="67" t="s">
        <v>149</v>
      </c>
      <c r="BS41" s="102">
        <v>1.0</v>
      </c>
      <c r="BT41" s="106"/>
      <c r="BU41" s="107"/>
      <c r="BV41" s="108">
        <f t="shared" si="2"/>
        <v>46196</v>
      </c>
      <c r="BW41" s="108">
        <f t="shared" si="3"/>
        <v>46199</v>
      </c>
      <c r="BX41" s="102" t="str">
        <f t="shared" si="4"/>
        <v>18</v>
      </c>
      <c r="BY41" s="107">
        <f t="shared" si="5"/>
        <v>3</v>
      </c>
      <c r="BZ41" s="107">
        <f t="array" ref="BZ41">IF($A41&lt;&gt;"",INDEX(LISTA!$M$2:$N$27,MATCH($BC41,LISTA!$N$2:$N$27,0),1),"")</f>
        <v>10</v>
      </c>
      <c r="CA41" s="67">
        <f t="shared" si="6"/>
        <v>6</v>
      </c>
      <c r="CB41" s="114" t="str">
        <f t="shared" si="7"/>
        <v/>
      </c>
      <c r="CC41" s="114"/>
    </row>
    <row r="42" ht="15.0" hidden="1" customHeight="1" outlineLevel="1">
      <c r="A42" s="59">
        <v>46193.49458658565</v>
      </c>
      <c r="B42" s="115" t="s">
        <v>410</v>
      </c>
      <c r="C42" s="54" t="s">
        <v>100</v>
      </c>
      <c r="D42" s="56" t="s">
        <v>150</v>
      </c>
      <c r="E42" s="69">
        <v>46200.583333333336</v>
      </c>
      <c r="F42" s="73" t="s">
        <v>1020</v>
      </c>
      <c r="G42" s="60" t="s">
        <v>1021</v>
      </c>
      <c r="H42" s="60" t="s">
        <v>1022</v>
      </c>
      <c r="I42" s="67" t="s">
        <v>287</v>
      </c>
      <c r="J42" s="79" t="s">
        <v>1023</v>
      </c>
      <c r="K42" s="67" t="s">
        <v>109</v>
      </c>
      <c r="L42" s="79" t="s">
        <v>1024</v>
      </c>
      <c r="M42" s="83" t="s">
        <v>1025</v>
      </c>
      <c r="N42" s="78">
        <v>37529.0</v>
      </c>
      <c r="O42" s="80" t="s">
        <v>33</v>
      </c>
      <c r="P42" s="70" t="s">
        <v>1026</v>
      </c>
      <c r="Q42" s="54"/>
      <c r="R42" s="84"/>
      <c r="S42" s="84"/>
      <c r="T42" s="54"/>
      <c r="U42" s="86"/>
      <c r="V42" s="54"/>
      <c r="W42" s="86"/>
      <c r="X42" s="54"/>
      <c r="Y42" s="78"/>
      <c r="Z42" s="54" t="s">
        <v>267</v>
      </c>
      <c r="AA42" s="70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54" t="s">
        <v>1027</v>
      </c>
      <c r="AR42" s="83" t="s">
        <v>1028</v>
      </c>
      <c r="AS42" s="83" t="s">
        <v>1029</v>
      </c>
      <c r="AT42" s="93" t="s">
        <v>1023</v>
      </c>
      <c r="AU42" s="93" t="s">
        <v>1023</v>
      </c>
      <c r="AV42" s="93" t="s">
        <v>1023</v>
      </c>
      <c r="AW42" s="83" t="s">
        <v>1030</v>
      </c>
      <c r="AX42" s="83">
        <v>2.0</v>
      </c>
      <c r="AY42" s="83" t="s">
        <v>1031</v>
      </c>
      <c r="AZ42" s="83" t="s">
        <v>1032</v>
      </c>
      <c r="BA42" s="83" t="s">
        <v>1033</v>
      </c>
      <c r="BB42" s="83" t="s">
        <v>1036</v>
      </c>
      <c r="BC42" s="54" t="s">
        <v>33</v>
      </c>
      <c r="BD42" s="54" t="str">
        <f t="shared" si="1"/>
        <v>Huánuco</v>
      </c>
      <c r="BE42" s="67" t="s">
        <v>140</v>
      </c>
      <c r="BF42" s="67" t="s">
        <v>144</v>
      </c>
      <c r="BG42" s="67" t="s">
        <v>142</v>
      </c>
      <c r="BH42" s="67"/>
      <c r="BI42" s="67"/>
      <c r="BJ42" s="67"/>
      <c r="BK42" s="67"/>
      <c r="BL42" s="67" t="s">
        <v>147</v>
      </c>
      <c r="BM42" s="67" t="s">
        <v>146</v>
      </c>
      <c r="BN42" s="100">
        <v>110.0</v>
      </c>
      <c r="BO42" s="102" t="s">
        <v>182</v>
      </c>
      <c r="BP42" s="67" t="s">
        <v>144</v>
      </c>
      <c r="BQ42" s="79" t="s">
        <v>141</v>
      </c>
      <c r="BR42" s="67" t="s">
        <v>149</v>
      </c>
      <c r="BS42" s="102">
        <v>1.0</v>
      </c>
      <c r="BT42" s="106"/>
      <c r="BU42" s="107"/>
      <c r="BV42" s="108">
        <f t="shared" si="2"/>
        <v>46193</v>
      </c>
      <c r="BW42" s="108">
        <f t="shared" si="3"/>
        <v>46200</v>
      </c>
      <c r="BX42" s="102" t="str">
        <f t="shared" si="4"/>
        <v>14</v>
      </c>
      <c r="BY42" s="107">
        <f t="shared" si="5"/>
        <v>3</v>
      </c>
      <c r="BZ42" s="107">
        <f t="array" ref="BZ42">IF($A42&lt;&gt;"",INDEX(LISTA!$M$2:$N$27,MATCH($BC42,LISTA!$N$2:$N$27,0),1),"")</f>
        <v>12</v>
      </c>
      <c r="CA42" s="67">
        <f t="shared" si="6"/>
        <v>6</v>
      </c>
      <c r="CB42" s="114" t="str">
        <f t="shared" si="7"/>
        <v/>
      </c>
      <c r="CC42" s="114"/>
    </row>
    <row r="43" ht="15.0" hidden="1" customHeight="1" outlineLevel="1">
      <c r="A43" s="59">
        <v>46200.44035831018</v>
      </c>
      <c r="B43" s="115" t="s">
        <v>410</v>
      </c>
      <c r="C43" s="54" t="s">
        <v>100</v>
      </c>
      <c r="D43" s="56" t="s">
        <v>101</v>
      </c>
      <c r="E43" s="69">
        <v>46200.666666666664</v>
      </c>
      <c r="F43" s="73" t="s">
        <v>723</v>
      </c>
      <c r="G43" s="60" t="s">
        <v>996</v>
      </c>
      <c r="H43" s="60" t="s">
        <v>997</v>
      </c>
      <c r="I43" s="67" t="s">
        <v>360</v>
      </c>
      <c r="J43" s="79" t="s">
        <v>998</v>
      </c>
      <c r="K43" s="67" t="s">
        <v>109</v>
      </c>
      <c r="L43" s="79" t="s">
        <v>999</v>
      </c>
      <c r="M43" s="83" t="s">
        <v>1000</v>
      </c>
      <c r="N43" s="78">
        <v>35107.0</v>
      </c>
      <c r="O43" s="80" t="s">
        <v>41</v>
      </c>
      <c r="P43" s="70" t="s">
        <v>550</v>
      </c>
      <c r="Q43" s="54"/>
      <c r="R43" s="84"/>
      <c r="S43" s="84"/>
      <c r="T43" s="54"/>
      <c r="U43" s="86"/>
      <c r="V43" s="54"/>
      <c r="W43" s="86"/>
      <c r="X43" s="54"/>
      <c r="Y43" s="78"/>
      <c r="Z43" s="54"/>
      <c r="AA43" s="70"/>
      <c r="AB43" s="83"/>
      <c r="AC43" s="83"/>
      <c r="AD43" s="83"/>
      <c r="AE43" s="83"/>
      <c r="AF43" s="83" t="s">
        <v>753</v>
      </c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54" t="s">
        <v>956</v>
      </c>
      <c r="AR43" s="83" t="s">
        <v>1001</v>
      </c>
      <c r="AS43" s="83" t="s">
        <v>1002</v>
      </c>
      <c r="AT43" s="93" t="s">
        <v>998</v>
      </c>
      <c r="AU43" s="93" t="s">
        <v>998</v>
      </c>
      <c r="AV43" s="93" t="s">
        <v>998</v>
      </c>
      <c r="AW43" s="83" t="s">
        <v>1003</v>
      </c>
      <c r="AX43" s="83">
        <v>1.0</v>
      </c>
      <c r="AY43" s="83" t="s">
        <v>842</v>
      </c>
      <c r="AZ43" s="83" t="s">
        <v>1007</v>
      </c>
      <c r="BA43" s="83" t="s">
        <v>1008</v>
      </c>
      <c r="BB43" s="83" t="s">
        <v>1010</v>
      </c>
      <c r="BC43" s="54" t="s">
        <v>41</v>
      </c>
      <c r="BD43" s="54" t="str">
        <f t="shared" si="1"/>
        <v>Carabayllo</v>
      </c>
      <c r="BE43" s="67" t="s">
        <v>140</v>
      </c>
      <c r="BF43" s="67" t="s">
        <v>144</v>
      </c>
      <c r="BG43" s="67" t="s">
        <v>142</v>
      </c>
      <c r="BH43" s="67"/>
      <c r="BI43" s="67"/>
      <c r="BJ43" s="67"/>
      <c r="BK43" s="67"/>
      <c r="BL43" s="67" t="s">
        <v>147</v>
      </c>
      <c r="BM43" s="67" t="s">
        <v>146</v>
      </c>
      <c r="BN43" s="100">
        <v>94.0</v>
      </c>
      <c r="BO43" s="102" t="s">
        <v>148</v>
      </c>
      <c r="BP43" s="67" t="s">
        <v>141</v>
      </c>
      <c r="BQ43" s="79" t="s">
        <v>144</v>
      </c>
      <c r="BR43" s="67" t="s">
        <v>149</v>
      </c>
      <c r="BS43" s="102" t="s">
        <v>149</v>
      </c>
      <c r="BT43" s="106"/>
      <c r="BU43" s="107"/>
      <c r="BV43" s="108">
        <f t="shared" si="2"/>
        <v>46200</v>
      </c>
      <c r="BW43" s="108">
        <f t="shared" si="3"/>
        <v>46200</v>
      </c>
      <c r="BX43" s="102" t="str">
        <f t="shared" si="4"/>
        <v>16</v>
      </c>
      <c r="BY43" s="107">
        <f t="shared" si="5"/>
        <v>3</v>
      </c>
      <c r="BZ43" s="107">
        <f t="array" ref="BZ43">IF($A43&lt;&gt;"",INDEX(LISTA!$M$2:$N$27,MATCH($BC43,LISTA!$N$2:$N$27,0),1),"")</f>
        <v>1</v>
      </c>
      <c r="CA43" s="67">
        <f t="shared" si="6"/>
        <v>6</v>
      </c>
      <c r="CB43" s="114" t="str">
        <f t="shared" si="7"/>
        <v/>
      </c>
      <c r="CC43" s="114"/>
    </row>
    <row r="44" ht="15.0" hidden="1" customHeight="1" outlineLevel="1">
      <c r="A44" s="59">
        <v>46191.475388287035</v>
      </c>
      <c r="B44" s="115" t="s">
        <v>373</v>
      </c>
      <c r="C44" s="54" t="s">
        <v>100</v>
      </c>
      <c r="D44" s="56" t="s">
        <v>150</v>
      </c>
      <c r="E44" s="69">
        <v>46193.083333333336</v>
      </c>
      <c r="F44" s="73" t="s">
        <v>1097</v>
      </c>
      <c r="G44" s="60" t="s">
        <v>1098</v>
      </c>
      <c r="H44" s="60" t="s">
        <v>1099</v>
      </c>
      <c r="I44" s="67" t="s">
        <v>150</v>
      </c>
      <c r="J44" s="79" t="s">
        <v>1100</v>
      </c>
      <c r="K44" s="67" t="s">
        <v>109</v>
      </c>
      <c r="L44" s="79" t="s">
        <v>1101</v>
      </c>
      <c r="M44" s="83" t="s">
        <v>1102</v>
      </c>
      <c r="N44" s="78">
        <v>31043.0</v>
      </c>
      <c r="O44" s="80" t="s">
        <v>33</v>
      </c>
      <c r="P44" s="70" t="s">
        <v>1103</v>
      </c>
      <c r="Q44" s="54"/>
      <c r="R44" s="84"/>
      <c r="S44" s="84"/>
      <c r="T44" s="54"/>
      <c r="U44" s="86"/>
      <c r="V44" s="54"/>
      <c r="W44" s="86"/>
      <c r="X44" s="54"/>
      <c r="Y44" s="78"/>
      <c r="Z44" s="54"/>
      <c r="AA44" s="70"/>
      <c r="AB44" s="83"/>
      <c r="AC44" s="83"/>
      <c r="AD44" s="83"/>
      <c r="AE44" s="83"/>
      <c r="AF44" s="83" t="s">
        <v>972</v>
      </c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54" t="s">
        <v>1104</v>
      </c>
      <c r="AR44" s="83" t="s">
        <v>1105</v>
      </c>
      <c r="AS44" s="83" t="s">
        <v>1106</v>
      </c>
      <c r="AT44" s="93" t="s">
        <v>1107</v>
      </c>
      <c r="AU44" s="93" t="s">
        <v>1107</v>
      </c>
      <c r="AV44" s="93" t="s">
        <v>1108</v>
      </c>
      <c r="AW44" s="83" t="s">
        <v>1109</v>
      </c>
      <c r="AX44" s="83">
        <v>1.0</v>
      </c>
      <c r="AY44" s="83" t="s">
        <v>238</v>
      </c>
      <c r="AZ44" s="83" t="s">
        <v>1110</v>
      </c>
      <c r="BA44" s="83" t="s">
        <v>1111</v>
      </c>
      <c r="BB44" s="83" t="s">
        <v>1112</v>
      </c>
      <c r="BC44" s="54" t="s">
        <v>41</v>
      </c>
      <c r="BD44" s="54" t="str">
        <f t="shared" si="1"/>
        <v>San Juan de Lurigancho</v>
      </c>
      <c r="BE44" s="67" t="s">
        <v>143</v>
      </c>
      <c r="BF44" s="67" t="s">
        <v>141</v>
      </c>
      <c r="BG44" s="67" t="s">
        <v>142</v>
      </c>
      <c r="BH44" s="67"/>
      <c r="BI44" s="67"/>
      <c r="BJ44" s="67"/>
      <c r="BK44" s="67"/>
      <c r="BL44" s="67" t="s">
        <v>145</v>
      </c>
      <c r="BM44" s="67" t="s">
        <v>146</v>
      </c>
      <c r="BN44" s="100">
        <v>170.0</v>
      </c>
      <c r="BO44" s="102" t="s">
        <v>148</v>
      </c>
      <c r="BP44" s="67" t="s">
        <v>144</v>
      </c>
      <c r="BQ44" s="79" t="s">
        <v>141</v>
      </c>
      <c r="BR44" s="67">
        <v>2.0</v>
      </c>
      <c r="BS44" s="102">
        <v>1.0</v>
      </c>
      <c r="BT44" s="106"/>
      <c r="BU44" s="107"/>
      <c r="BV44" s="108">
        <f t="shared" si="2"/>
        <v>46191</v>
      </c>
      <c r="BW44" s="108">
        <f t="shared" si="3"/>
        <v>46193</v>
      </c>
      <c r="BX44" s="102" t="str">
        <f t="shared" si="4"/>
        <v>02</v>
      </c>
      <c r="BY44" s="107">
        <f t="shared" si="5"/>
        <v>2</v>
      </c>
      <c r="BZ44" s="107">
        <f t="array" ref="BZ44">IF($A44&lt;&gt;"",INDEX(LISTA!$M$2:$N$27,MATCH($BC44,LISTA!$N$2:$N$27,0),1),"")</f>
        <v>1</v>
      </c>
      <c r="CA44" s="67">
        <f t="shared" si="6"/>
        <v>6</v>
      </c>
      <c r="CB44" s="114" t="str">
        <f t="shared" si="7"/>
        <v/>
      </c>
      <c r="CC44" s="114"/>
    </row>
    <row r="45" ht="15.0" hidden="1" customHeight="1" outlineLevel="1">
      <c r="A45" s="59">
        <v>46191.550588784725</v>
      </c>
      <c r="B45" s="115" t="s">
        <v>373</v>
      </c>
      <c r="C45" s="54" t="s">
        <v>100</v>
      </c>
      <c r="D45" s="56" t="s">
        <v>150</v>
      </c>
      <c r="E45" s="69">
        <v>46195.458333333336</v>
      </c>
      <c r="F45" s="73">
        <v>32.0</v>
      </c>
      <c r="G45" s="60" t="s">
        <v>1114</v>
      </c>
      <c r="H45" s="60" t="s">
        <v>1115</v>
      </c>
      <c r="I45" s="67" t="s">
        <v>192</v>
      </c>
      <c r="J45" s="79" t="s">
        <v>1116</v>
      </c>
      <c r="K45" s="67" t="s">
        <v>1117</v>
      </c>
      <c r="L45" s="79" t="s">
        <v>1118</v>
      </c>
      <c r="M45" s="83" t="s">
        <v>1119</v>
      </c>
      <c r="N45" s="78">
        <v>35994.0</v>
      </c>
      <c r="O45" s="80" t="s">
        <v>1120</v>
      </c>
      <c r="P45" s="70" t="s">
        <v>1121</v>
      </c>
      <c r="Q45" s="54"/>
      <c r="R45" s="84"/>
      <c r="S45" s="84"/>
      <c r="T45" s="54"/>
      <c r="U45" s="86"/>
      <c r="V45" s="54"/>
      <c r="W45" s="86"/>
      <c r="X45" s="54"/>
      <c r="Y45" s="78"/>
      <c r="Z45" s="54"/>
      <c r="AA45" s="70"/>
      <c r="AB45" s="83"/>
      <c r="AC45" s="83"/>
      <c r="AD45" s="83"/>
      <c r="AE45" s="83"/>
      <c r="AF45" s="83" t="s">
        <v>431</v>
      </c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54" t="s">
        <v>1122</v>
      </c>
      <c r="AR45" s="83" t="s">
        <v>1123</v>
      </c>
      <c r="AS45" s="83" t="s">
        <v>1124</v>
      </c>
      <c r="AT45" s="93" t="s">
        <v>1116</v>
      </c>
      <c r="AU45" s="93" t="s">
        <v>1116</v>
      </c>
      <c r="AV45" s="93" t="s">
        <v>1116</v>
      </c>
      <c r="AW45" s="83" t="s">
        <v>1125</v>
      </c>
      <c r="AX45" s="83">
        <v>2.0</v>
      </c>
      <c r="AY45" s="83" t="s">
        <v>238</v>
      </c>
      <c r="AZ45" s="83" t="s">
        <v>1126</v>
      </c>
      <c r="BA45" s="83" t="s">
        <v>1127</v>
      </c>
      <c r="BB45" s="83" t="s">
        <v>1128</v>
      </c>
      <c r="BC45" s="54" t="s">
        <v>41</v>
      </c>
      <c r="BD45" s="54" t="str">
        <f t="shared" si="1"/>
        <v>La Victoria</v>
      </c>
      <c r="BE45" s="67" t="s">
        <v>140</v>
      </c>
      <c r="BF45" s="67" t="s">
        <v>141</v>
      </c>
      <c r="BG45" s="67" t="s">
        <v>142</v>
      </c>
      <c r="BH45" s="67"/>
      <c r="BI45" s="67"/>
      <c r="BJ45" s="67"/>
      <c r="BK45" s="67"/>
      <c r="BL45" s="67" t="s">
        <v>147</v>
      </c>
      <c r="BM45" s="67" t="s">
        <v>247</v>
      </c>
      <c r="BN45" s="100">
        <v>89.0</v>
      </c>
      <c r="BO45" s="102" t="s">
        <v>148</v>
      </c>
      <c r="BP45" s="67" t="s">
        <v>141</v>
      </c>
      <c r="BQ45" s="79" t="s">
        <v>141</v>
      </c>
      <c r="BR45" s="67" t="s">
        <v>149</v>
      </c>
      <c r="BS45" s="102">
        <v>1.0</v>
      </c>
      <c r="BT45" s="106"/>
      <c r="BU45" s="107"/>
      <c r="BV45" s="108">
        <f t="shared" si="2"/>
        <v>46191</v>
      </c>
      <c r="BW45" s="108">
        <f t="shared" si="3"/>
        <v>46195</v>
      </c>
      <c r="BX45" s="102" t="str">
        <f t="shared" si="4"/>
        <v>11</v>
      </c>
      <c r="BY45" s="107">
        <f t="shared" si="5"/>
        <v>2</v>
      </c>
      <c r="BZ45" s="107">
        <f t="array" ref="BZ45">IF($A45&lt;&gt;"",INDEX(LISTA!$M$2:$N$27,MATCH($BC45,LISTA!$N$2:$N$27,0),1),"")</f>
        <v>1</v>
      </c>
      <c r="CA45" s="67">
        <f t="shared" si="6"/>
        <v>6</v>
      </c>
      <c r="CB45" s="114" t="str">
        <f t="shared" si="7"/>
        <v/>
      </c>
      <c r="CC45" s="114"/>
    </row>
    <row r="46" ht="15.0" hidden="1" customHeight="1" outlineLevel="1">
      <c r="A46" s="59">
        <v>46191.70013728009</v>
      </c>
      <c r="B46" s="115" t="s">
        <v>373</v>
      </c>
      <c r="C46" s="54" t="s">
        <v>100</v>
      </c>
      <c r="D46" s="56" t="s">
        <v>150</v>
      </c>
      <c r="E46" s="69">
        <v>46193.458333333336</v>
      </c>
      <c r="F46" s="73" t="s">
        <v>1129</v>
      </c>
      <c r="G46" s="60" t="s">
        <v>1130</v>
      </c>
      <c r="H46" s="60" t="s">
        <v>1131</v>
      </c>
      <c r="I46" s="67" t="s">
        <v>287</v>
      </c>
      <c r="J46" s="79" t="s">
        <v>1132</v>
      </c>
      <c r="K46" s="67" t="s">
        <v>109</v>
      </c>
      <c r="L46" s="79" t="s">
        <v>1133</v>
      </c>
      <c r="M46" s="83" t="s">
        <v>1134</v>
      </c>
      <c r="N46" s="78">
        <v>29300.0</v>
      </c>
      <c r="O46" s="80" t="s">
        <v>37</v>
      </c>
      <c r="P46" s="70" t="s">
        <v>228</v>
      </c>
      <c r="Q46" s="54"/>
      <c r="R46" s="84"/>
      <c r="S46" s="84"/>
      <c r="T46" s="54"/>
      <c r="U46" s="86"/>
      <c r="V46" s="54"/>
      <c r="W46" s="86"/>
      <c r="X46" s="54"/>
      <c r="Y46" s="78"/>
      <c r="Z46" s="54"/>
      <c r="AA46" s="70"/>
      <c r="AB46" s="83"/>
      <c r="AC46" s="83"/>
      <c r="AD46" s="83"/>
      <c r="AE46" s="83"/>
      <c r="AF46" s="83" t="s">
        <v>165</v>
      </c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54" t="s">
        <v>1135</v>
      </c>
      <c r="AR46" s="83" t="s">
        <v>1136</v>
      </c>
      <c r="AS46" s="83" t="s">
        <v>1137</v>
      </c>
      <c r="AT46" s="93" t="s">
        <v>1132</v>
      </c>
      <c r="AU46" s="93" t="s">
        <v>1132</v>
      </c>
      <c r="AV46" s="93" t="s">
        <v>1132</v>
      </c>
      <c r="AW46" s="83" t="s">
        <v>1138</v>
      </c>
      <c r="AX46" s="83">
        <v>3.0</v>
      </c>
      <c r="AY46" s="83">
        <v>1.0</v>
      </c>
      <c r="AZ46" s="83" t="s">
        <v>1139</v>
      </c>
      <c r="BA46" s="83" t="s">
        <v>1140</v>
      </c>
      <c r="BB46" s="83" t="s">
        <v>1141</v>
      </c>
      <c r="BC46" s="54" t="s">
        <v>41</v>
      </c>
      <c r="BD46" s="54" t="str">
        <f t="shared" si="1"/>
        <v>San Martín de Porres</v>
      </c>
      <c r="BE46" s="67" t="s">
        <v>140</v>
      </c>
      <c r="BF46" s="67" t="s">
        <v>141</v>
      </c>
      <c r="BG46" s="67" t="s">
        <v>142</v>
      </c>
      <c r="BH46" s="67"/>
      <c r="BI46" s="67"/>
      <c r="BJ46" s="67"/>
      <c r="BK46" s="67"/>
      <c r="BL46" s="67" t="s">
        <v>147</v>
      </c>
      <c r="BM46" s="67" t="s">
        <v>1142</v>
      </c>
      <c r="BN46" s="100">
        <v>89.0</v>
      </c>
      <c r="BO46" s="102" t="s">
        <v>148</v>
      </c>
      <c r="BP46" s="67" t="s">
        <v>141</v>
      </c>
      <c r="BQ46" s="79" t="s">
        <v>141</v>
      </c>
      <c r="BR46" s="67" t="s">
        <v>149</v>
      </c>
      <c r="BS46" s="102" t="s">
        <v>149</v>
      </c>
      <c r="BT46" s="106"/>
      <c r="BU46" s="107"/>
      <c r="BV46" s="108">
        <f t="shared" si="2"/>
        <v>46191</v>
      </c>
      <c r="BW46" s="108">
        <f t="shared" si="3"/>
        <v>46193</v>
      </c>
      <c r="BX46" s="102" t="str">
        <f t="shared" si="4"/>
        <v>11</v>
      </c>
      <c r="BY46" s="107">
        <f t="shared" si="5"/>
        <v>2</v>
      </c>
      <c r="BZ46" s="107">
        <f t="array" ref="BZ46">IF($A46&lt;&gt;"",INDEX(LISTA!$M$2:$N$27,MATCH($BC46,LISTA!$N$2:$N$27,0),1),"")</f>
        <v>1</v>
      </c>
      <c r="CA46" s="67">
        <f t="shared" si="6"/>
        <v>6</v>
      </c>
      <c r="CB46" s="114" t="str">
        <f t="shared" si="7"/>
        <v/>
      </c>
      <c r="CC46" s="114"/>
    </row>
    <row r="47" ht="15.0" hidden="1" customHeight="1" outlineLevel="1">
      <c r="A47" s="59">
        <v>46191.82022863426</v>
      </c>
      <c r="B47" s="115" t="s">
        <v>373</v>
      </c>
      <c r="C47" s="54" t="s">
        <v>100</v>
      </c>
      <c r="D47" s="56" t="s">
        <v>150</v>
      </c>
      <c r="E47" s="69"/>
      <c r="F47" s="73" t="s">
        <v>1149</v>
      </c>
      <c r="G47" s="60"/>
      <c r="H47" s="60"/>
      <c r="I47" s="67" t="s">
        <v>293</v>
      </c>
      <c r="J47" s="79" t="s">
        <v>1150</v>
      </c>
      <c r="K47" s="67" t="s">
        <v>1151</v>
      </c>
      <c r="L47" s="79" t="s">
        <v>1152</v>
      </c>
      <c r="M47" s="83" t="s">
        <v>1153</v>
      </c>
      <c r="N47" s="78">
        <v>26631.0</v>
      </c>
      <c r="O47" s="80" t="s">
        <v>24</v>
      </c>
      <c r="P47" s="70" t="s">
        <v>1154</v>
      </c>
      <c r="Q47" s="54"/>
      <c r="R47" s="84"/>
      <c r="S47" s="84"/>
      <c r="T47" s="54"/>
      <c r="U47" s="86"/>
      <c r="V47" s="54"/>
      <c r="W47" s="86"/>
      <c r="X47" s="54"/>
      <c r="Y47" s="78"/>
      <c r="Z47" s="54"/>
      <c r="AA47" s="70"/>
      <c r="AB47" s="83"/>
      <c r="AC47" s="83"/>
      <c r="AD47" s="83"/>
      <c r="AE47" s="83"/>
      <c r="AF47" s="83" t="s">
        <v>1159</v>
      </c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54" t="s">
        <v>1164</v>
      </c>
      <c r="AR47" s="83" t="s">
        <v>1165</v>
      </c>
      <c r="AS47" s="83" t="s">
        <v>1166</v>
      </c>
      <c r="AT47" s="93" t="s">
        <v>1167</v>
      </c>
      <c r="AU47" s="93" t="s">
        <v>1167</v>
      </c>
      <c r="AV47" s="93" t="s">
        <v>1167</v>
      </c>
      <c r="AW47" s="83" t="s">
        <v>1168</v>
      </c>
      <c r="AX47" s="83">
        <v>3.0</v>
      </c>
      <c r="AY47" s="83">
        <v>1.0</v>
      </c>
      <c r="AZ47" s="83" t="s">
        <v>1169</v>
      </c>
      <c r="BA47" s="83" t="s">
        <v>1170</v>
      </c>
      <c r="BB47" s="83" t="s">
        <v>1171</v>
      </c>
      <c r="BC47" s="54" t="s">
        <v>41</v>
      </c>
      <c r="BD47" s="54" t="str">
        <f t="shared" si="1"/>
        <v>Cercado de Lima</v>
      </c>
      <c r="BE47" s="67" t="s">
        <v>140</v>
      </c>
      <c r="BF47" s="67" t="s">
        <v>141</v>
      </c>
      <c r="BG47" s="67" t="s">
        <v>142</v>
      </c>
      <c r="BH47" s="67"/>
      <c r="BI47" s="67"/>
      <c r="BJ47" s="67"/>
      <c r="BK47" s="67"/>
      <c r="BL47" s="67" t="s">
        <v>145</v>
      </c>
      <c r="BM47" s="67" t="s">
        <v>1172</v>
      </c>
      <c r="BN47" s="100">
        <v>170.0</v>
      </c>
      <c r="BO47" s="102" t="s">
        <v>148</v>
      </c>
      <c r="BP47" s="67" t="s">
        <v>144</v>
      </c>
      <c r="BQ47" s="79" t="s">
        <v>141</v>
      </c>
      <c r="BR47" s="67">
        <v>2.0</v>
      </c>
      <c r="BS47" s="102">
        <v>1.0</v>
      </c>
      <c r="BT47" s="106"/>
      <c r="BU47" s="107"/>
      <c r="BV47" s="108">
        <f t="shared" si="2"/>
        <v>46191</v>
      </c>
      <c r="BW47" s="108" t="str">
        <f t="shared" si="3"/>
        <v/>
      </c>
      <c r="BX47" s="102" t="str">
        <f t="shared" si="4"/>
        <v/>
      </c>
      <c r="BY47" s="107">
        <f t="shared" si="5"/>
        <v>2</v>
      </c>
      <c r="BZ47" s="107">
        <f t="array" ref="BZ47">IF($A47&lt;&gt;"",INDEX(LISTA!$M$2:$N$27,MATCH($BC47,LISTA!$N$2:$N$27,0),1),"")</f>
        <v>1</v>
      </c>
      <c r="CA47" s="67">
        <f t="shared" si="6"/>
        <v>6</v>
      </c>
      <c r="CB47" s="114" t="str">
        <f t="shared" si="7"/>
        <v/>
      </c>
      <c r="CC47" s="114"/>
    </row>
    <row r="48" ht="15.0" hidden="1" customHeight="1" outlineLevel="1">
      <c r="A48" s="59">
        <v>46196.808990729165</v>
      </c>
      <c r="B48" s="115" t="s">
        <v>373</v>
      </c>
      <c r="C48" s="54" t="s">
        <v>100</v>
      </c>
      <c r="D48" s="56" t="s">
        <v>101</v>
      </c>
      <c r="E48" s="69">
        <v>46197.583333333336</v>
      </c>
      <c r="F48" s="73" t="s">
        <v>1184</v>
      </c>
      <c r="G48" s="60" t="s">
        <v>1186</v>
      </c>
      <c r="H48" s="60" t="s">
        <v>1188</v>
      </c>
      <c r="I48" s="67" t="s">
        <v>107</v>
      </c>
      <c r="J48" s="79" t="s">
        <v>1190</v>
      </c>
      <c r="K48" s="67" t="s">
        <v>109</v>
      </c>
      <c r="L48" s="79" t="s">
        <v>1191</v>
      </c>
      <c r="M48" s="83" t="s">
        <v>1192</v>
      </c>
      <c r="N48" s="78">
        <v>27814.0</v>
      </c>
      <c r="O48" s="80" t="s">
        <v>41</v>
      </c>
      <c r="P48" s="70" t="s">
        <v>1193</v>
      </c>
      <c r="Q48" s="54"/>
      <c r="R48" s="84"/>
      <c r="S48" s="84"/>
      <c r="T48" s="54"/>
      <c r="U48" s="86" t="s">
        <v>1194</v>
      </c>
      <c r="V48" s="54"/>
      <c r="W48" s="86"/>
      <c r="X48" s="54"/>
      <c r="Y48" s="78"/>
      <c r="Z48" s="54"/>
      <c r="AA48" s="70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54" t="s">
        <v>1195</v>
      </c>
      <c r="AR48" s="83" t="s">
        <v>1196</v>
      </c>
      <c r="AS48" s="83" t="s">
        <v>1197</v>
      </c>
      <c r="AT48" s="93" t="s">
        <v>1190</v>
      </c>
      <c r="AU48" s="93" t="s">
        <v>1190</v>
      </c>
      <c r="AV48" s="93" t="s">
        <v>1190</v>
      </c>
      <c r="AW48" s="83" t="s">
        <v>1198</v>
      </c>
      <c r="AX48" s="83">
        <v>1.0</v>
      </c>
      <c r="AY48" s="83">
        <v>1.0</v>
      </c>
      <c r="AZ48" s="83" t="s">
        <v>1199</v>
      </c>
      <c r="BA48" s="83" t="s">
        <v>1200</v>
      </c>
      <c r="BB48" s="83" t="s">
        <v>1201</v>
      </c>
      <c r="BC48" s="54" t="s">
        <v>28</v>
      </c>
      <c r="BD48" s="54" t="str">
        <f t="shared" si="1"/>
        <v>Huanta</v>
      </c>
      <c r="BE48" s="67" t="s">
        <v>140</v>
      </c>
      <c r="BF48" s="67" t="s">
        <v>141</v>
      </c>
      <c r="BG48" s="67" t="s">
        <v>142</v>
      </c>
      <c r="BH48" s="67"/>
      <c r="BI48" s="67"/>
      <c r="BJ48" s="67"/>
      <c r="BK48" s="67"/>
      <c r="BL48" s="67" t="s">
        <v>147</v>
      </c>
      <c r="BM48" s="67" t="s">
        <v>247</v>
      </c>
      <c r="BN48" s="100">
        <v>89.0</v>
      </c>
      <c r="BO48" s="102" t="s">
        <v>148</v>
      </c>
      <c r="BP48" s="67" t="s">
        <v>141</v>
      </c>
      <c r="BQ48" s="79" t="s">
        <v>141</v>
      </c>
      <c r="BR48" s="67" t="s">
        <v>149</v>
      </c>
      <c r="BS48" s="102">
        <v>1.0</v>
      </c>
      <c r="BT48" s="106"/>
      <c r="BU48" s="107"/>
      <c r="BV48" s="108">
        <f t="shared" si="2"/>
        <v>46196</v>
      </c>
      <c r="BW48" s="108">
        <f t="shared" si="3"/>
        <v>46197</v>
      </c>
      <c r="BX48" s="102" t="str">
        <f t="shared" si="4"/>
        <v>14</v>
      </c>
      <c r="BY48" s="107">
        <f t="shared" si="5"/>
        <v>2</v>
      </c>
      <c r="BZ48" s="107">
        <f t="array" ref="BZ48">IF($A48&lt;&gt;"",INDEX(LISTA!$M$2:$N$27,MATCH($BC48,LISTA!$N$2:$N$27,0),1),"")</f>
        <v>8</v>
      </c>
      <c r="CA48" s="67">
        <f t="shared" si="6"/>
        <v>6</v>
      </c>
      <c r="CB48" s="114" t="str">
        <f t="shared" si="7"/>
        <v/>
      </c>
      <c r="CC48" s="114"/>
    </row>
    <row r="49" ht="15.0" hidden="1" customHeight="1" outlineLevel="1">
      <c r="A49" s="59">
        <v>46197.765178518515</v>
      </c>
      <c r="B49" s="115" t="s">
        <v>373</v>
      </c>
      <c r="C49" s="54" t="s">
        <v>100</v>
      </c>
      <c r="D49" s="56" t="s">
        <v>101</v>
      </c>
      <c r="E49" s="69">
        <v>46199.375</v>
      </c>
      <c r="F49" s="73" t="s">
        <v>1184</v>
      </c>
      <c r="G49" s="60" t="s">
        <v>1202</v>
      </c>
      <c r="H49" s="60" t="s">
        <v>1203</v>
      </c>
      <c r="I49" s="67" t="s">
        <v>365</v>
      </c>
      <c r="J49" s="79" t="s">
        <v>1204</v>
      </c>
      <c r="K49" s="67" t="s">
        <v>109</v>
      </c>
      <c r="L49" s="79" t="s">
        <v>1205</v>
      </c>
      <c r="M49" s="83" t="s">
        <v>1206</v>
      </c>
      <c r="N49" s="78">
        <v>31113.0</v>
      </c>
      <c r="O49" s="80" t="s">
        <v>51</v>
      </c>
      <c r="P49" s="70" t="s">
        <v>1179</v>
      </c>
      <c r="Q49" s="54"/>
      <c r="R49" s="84"/>
      <c r="S49" s="84"/>
      <c r="T49" s="54"/>
      <c r="U49" s="86"/>
      <c r="V49" s="54"/>
      <c r="W49" s="86"/>
      <c r="X49" s="54"/>
      <c r="Y49" s="78"/>
      <c r="Z49" s="54"/>
      <c r="AA49" s="70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 t="s">
        <v>1207</v>
      </c>
      <c r="AP49" s="83"/>
      <c r="AQ49" s="54" t="s">
        <v>1208</v>
      </c>
      <c r="AR49" s="83" t="s">
        <v>1209</v>
      </c>
      <c r="AS49" s="83" t="s">
        <v>1210</v>
      </c>
      <c r="AT49" s="93" t="s">
        <v>1212</v>
      </c>
      <c r="AU49" s="93" t="s">
        <v>1212</v>
      </c>
      <c r="AV49" s="93" t="s">
        <v>1212</v>
      </c>
      <c r="AW49" s="83" t="s">
        <v>1214</v>
      </c>
      <c r="AX49" s="83">
        <v>1.0</v>
      </c>
      <c r="AY49" s="83">
        <v>1.0</v>
      </c>
      <c r="AZ49" s="83" t="s">
        <v>1215</v>
      </c>
      <c r="BA49" s="83" t="s">
        <v>1216</v>
      </c>
      <c r="BB49" s="83" t="s">
        <v>1217</v>
      </c>
      <c r="BC49" s="54" t="s">
        <v>51</v>
      </c>
      <c r="BD49" s="54" t="str">
        <f t="shared" si="1"/>
        <v>Tumbes</v>
      </c>
      <c r="BE49" s="67" t="s">
        <v>140</v>
      </c>
      <c r="BF49" s="67" t="s">
        <v>141</v>
      </c>
      <c r="BG49" s="67" t="s">
        <v>142</v>
      </c>
      <c r="BH49" s="67"/>
      <c r="BI49" s="67"/>
      <c r="BJ49" s="67"/>
      <c r="BK49" s="67"/>
      <c r="BL49" s="67" t="s">
        <v>145</v>
      </c>
      <c r="BM49" s="67" t="s">
        <v>146</v>
      </c>
      <c r="BN49" s="100">
        <v>170.0</v>
      </c>
      <c r="BO49" s="102" t="s">
        <v>148</v>
      </c>
      <c r="BP49" s="67" t="s">
        <v>144</v>
      </c>
      <c r="BQ49" s="79" t="s">
        <v>141</v>
      </c>
      <c r="BR49" s="67">
        <v>2.0</v>
      </c>
      <c r="BS49" s="102">
        <v>1.0</v>
      </c>
      <c r="BT49" s="106"/>
      <c r="BU49" s="107"/>
      <c r="BV49" s="108">
        <f t="shared" si="2"/>
        <v>46197</v>
      </c>
      <c r="BW49" s="108">
        <f t="shared" si="3"/>
        <v>46199</v>
      </c>
      <c r="BX49" s="102" t="str">
        <f t="shared" si="4"/>
        <v>09</v>
      </c>
      <c r="BY49" s="107">
        <f t="shared" si="5"/>
        <v>2</v>
      </c>
      <c r="BZ49" s="107">
        <f t="array" ref="BZ49">IF($A49&lt;&gt;"",INDEX(LISTA!$M$2:$N$27,MATCH($BC49,LISTA!$N$2:$N$27,0),1),"")</f>
        <v>25</v>
      </c>
      <c r="CA49" s="67">
        <f t="shared" si="6"/>
        <v>6</v>
      </c>
      <c r="CB49" s="114" t="str">
        <f t="shared" si="7"/>
        <v/>
      </c>
      <c r="CC49" s="114"/>
    </row>
    <row r="50" ht="15.0" hidden="1" customHeight="1" outlineLevel="1">
      <c r="A50" s="59">
        <v>46193.6755761574</v>
      </c>
      <c r="B50" s="115" t="s">
        <v>385</v>
      </c>
      <c r="C50" s="54" t="s">
        <v>100</v>
      </c>
      <c r="D50" s="56" t="s">
        <v>150</v>
      </c>
      <c r="E50" s="69">
        <v>46196.458333333336</v>
      </c>
      <c r="F50" s="73" t="s">
        <v>183</v>
      </c>
      <c r="G50" s="60" t="s">
        <v>184</v>
      </c>
      <c r="H50" s="60" t="s">
        <v>185</v>
      </c>
      <c r="I50" s="67" t="s">
        <v>107</v>
      </c>
      <c r="J50" s="79" t="s">
        <v>186</v>
      </c>
      <c r="K50" s="67" t="s">
        <v>109</v>
      </c>
      <c r="L50" s="79" t="s">
        <v>188</v>
      </c>
      <c r="M50" s="83" t="s">
        <v>190</v>
      </c>
      <c r="N50" s="78">
        <v>26578.0</v>
      </c>
      <c r="O50" s="80" t="s">
        <v>46</v>
      </c>
      <c r="P50" s="70" t="s">
        <v>193</v>
      </c>
      <c r="Q50" s="54"/>
      <c r="R50" s="84"/>
      <c r="S50" s="84"/>
      <c r="T50" s="54"/>
      <c r="U50" s="86"/>
      <c r="V50" s="54"/>
      <c r="W50" s="86"/>
      <c r="X50" s="54"/>
      <c r="Y50" s="78"/>
      <c r="Z50" s="54"/>
      <c r="AA50" s="70"/>
      <c r="AB50" s="83"/>
      <c r="AC50" s="83"/>
      <c r="AD50" s="83"/>
      <c r="AE50" s="83"/>
      <c r="AF50" s="83"/>
      <c r="AG50" s="83"/>
      <c r="AH50" s="83"/>
      <c r="AI50" s="83"/>
      <c r="AJ50" s="83"/>
      <c r="AK50" s="83" t="s">
        <v>199</v>
      </c>
      <c r="AL50" s="83"/>
      <c r="AM50" s="83"/>
      <c r="AN50" s="83"/>
      <c r="AO50" s="83"/>
      <c r="AP50" s="83"/>
      <c r="AQ50" s="54" t="s">
        <v>200</v>
      </c>
      <c r="AR50" s="83" t="s">
        <v>201</v>
      </c>
      <c r="AS50" s="83" t="s">
        <v>202</v>
      </c>
      <c r="AT50" s="93" t="s">
        <v>186</v>
      </c>
      <c r="AU50" s="93" t="s">
        <v>186</v>
      </c>
      <c r="AV50" s="93" t="s">
        <v>186</v>
      </c>
      <c r="AW50" s="83" t="s">
        <v>206</v>
      </c>
      <c r="AX50" s="83">
        <v>2.0</v>
      </c>
      <c r="AY50" s="83">
        <v>1.0</v>
      </c>
      <c r="AZ50" s="83" t="s">
        <v>207</v>
      </c>
      <c r="BA50" s="83" t="s">
        <v>207</v>
      </c>
      <c r="BB50" s="83" t="s">
        <v>208</v>
      </c>
      <c r="BC50" s="54" t="s">
        <v>46</v>
      </c>
      <c r="BD50" s="54" t="str">
        <f t="shared" si="1"/>
        <v>Piura</v>
      </c>
      <c r="BE50" s="67" t="s">
        <v>140</v>
      </c>
      <c r="BF50" s="67" t="s">
        <v>141</v>
      </c>
      <c r="BG50" s="67" t="s">
        <v>142</v>
      </c>
      <c r="BH50" s="67"/>
      <c r="BI50" s="67"/>
      <c r="BJ50" s="67"/>
      <c r="BK50" s="67"/>
      <c r="BL50" s="67" t="s">
        <v>213</v>
      </c>
      <c r="BM50" s="67" t="s">
        <v>146</v>
      </c>
      <c r="BN50" s="100">
        <v>110.0</v>
      </c>
      <c r="BO50" s="102" t="s">
        <v>182</v>
      </c>
      <c r="BP50" s="67" t="s">
        <v>144</v>
      </c>
      <c r="BQ50" s="79" t="s">
        <v>141</v>
      </c>
      <c r="BR50" s="67" t="s">
        <v>149</v>
      </c>
      <c r="BS50" s="102">
        <v>1.0</v>
      </c>
      <c r="BT50" s="106"/>
      <c r="BU50" s="107"/>
      <c r="BV50" s="108">
        <f t="shared" si="2"/>
        <v>46193</v>
      </c>
      <c r="BW50" s="108">
        <f t="shared" si="3"/>
        <v>46196</v>
      </c>
      <c r="BX50" s="102" t="str">
        <f t="shared" si="4"/>
        <v>11</v>
      </c>
      <c r="BY50" s="107">
        <f t="shared" si="5"/>
        <v>2</v>
      </c>
      <c r="BZ50" s="107">
        <f t="array" ref="BZ50">IF($A50&lt;&gt;"",INDEX(LISTA!$M$2:$N$27,MATCH($BC50,LISTA!$N$2:$N$27,0),1),"")</f>
        <v>21</v>
      </c>
      <c r="CA50" s="67">
        <f t="shared" si="6"/>
        <v>6</v>
      </c>
      <c r="CB50" s="114" t="str">
        <f t="shared" si="7"/>
        <v/>
      </c>
      <c r="CC50" s="114"/>
    </row>
    <row r="51" ht="15.0" hidden="1" customHeight="1" outlineLevel="1">
      <c r="A51" s="59">
        <v>46195.54517297454</v>
      </c>
      <c r="B51" s="115" t="s">
        <v>398</v>
      </c>
      <c r="C51" s="54" t="s">
        <v>100</v>
      </c>
      <c r="D51" s="56" t="s">
        <v>101</v>
      </c>
      <c r="E51" s="69">
        <v>46197.583333333336</v>
      </c>
      <c r="F51" s="73" t="s">
        <v>938</v>
      </c>
      <c r="G51" s="60" t="s">
        <v>939</v>
      </c>
      <c r="H51" s="60" t="s">
        <v>940</v>
      </c>
      <c r="I51" s="67" t="s">
        <v>293</v>
      </c>
      <c r="J51" s="79" t="s">
        <v>941</v>
      </c>
      <c r="K51" s="67" t="s">
        <v>109</v>
      </c>
      <c r="L51" s="79" t="s">
        <v>942</v>
      </c>
      <c r="M51" s="83" t="s">
        <v>943</v>
      </c>
      <c r="N51" s="78">
        <v>35257.0</v>
      </c>
      <c r="O51" s="80" t="s">
        <v>27</v>
      </c>
      <c r="P51" s="70" t="s">
        <v>944</v>
      </c>
      <c r="Q51" s="54"/>
      <c r="R51" s="84"/>
      <c r="S51" s="84"/>
      <c r="T51" s="54" t="s">
        <v>122</v>
      </c>
      <c r="U51" s="86"/>
      <c r="V51" s="54"/>
      <c r="W51" s="86"/>
      <c r="X51" s="54"/>
      <c r="Y51" s="78"/>
      <c r="Z51" s="54"/>
      <c r="AA51" s="70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54" t="s">
        <v>945</v>
      </c>
      <c r="AR51" s="83" t="s">
        <v>946</v>
      </c>
      <c r="AS51" s="83" t="s">
        <v>947</v>
      </c>
      <c r="AT51" s="93" t="s">
        <v>941</v>
      </c>
      <c r="AU51" s="93" t="s">
        <v>941</v>
      </c>
      <c r="AV51" s="93" t="s">
        <v>941</v>
      </c>
      <c r="AW51" s="83" t="s">
        <v>948</v>
      </c>
      <c r="AX51" s="83">
        <v>3.0</v>
      </c>
      <c r="AY51" s="83">
        <v>0.0</v>
      </c>
      <c r="AZ51" s="83" t="s">
        <v>951</v>
      </c>
      <c r="BA51" s="83" t="s">
        <v>952</v>
      </c>
      <c r="BB51" s="83" t="s">
        <v>954</v>
      </c>
      <c r="BC51" s="54" t="s">
        <v>27</v>
      </c>
      <c r="BD51" s="54" t="str">
        <f t="shared" si="1"/>
        <v>Arequipa</v>
      </c>
      <c r="BE51" s="67" t="s">
        <v>143</v>
      </c>
      <c r="BF51" s="67" t="s">
        <v>144</v>
      </c>
      <c r="BG51" s="67" t="s">
        <v>142</v>
      </c>
      <c r="BH51" s="67"/>
      <c r="BI51" s="67"/>
      <c r="BJ51" s="67"/>
      <c r="BK51" s="67"/>
      <c r="BL51" s="67" t="s">
        <v>147</v>
      </c>
      <c r="BM51" s="67" t="s">
        <v>247</v>
      </c>
      <c r="BN51" s="100">
        <v>89.0</v>
      </c>
      <c r="BO51" s="102" t="s">
        <v>148</v>
      </c>
      <c r="BP51" s="67" t="s">
        <v>141</v>
      </c>
      <c r="BQ51" s="79" t="s">
        <v>141</v>
      </c>
      <c r="BR51" s="67" t="s">
        <v>149</v>
      </c>
      <c r="BS51" s="102">
        <v>1.0</v>
      </c>
      <c r="BT51" s="106"/>
      <c r="BU51" s="107"/>
      <c r="BV51" s="108">
        <f t="shared" si="2"/>
        <v>46195</v>
      </c>
      <c r="BW51" s="108">
        <f t="shared" si="3"/>
        <v>46197</v>
      </c>
      <c r="BX51" s="102" t="str">
        <f t="shared" si="4"/>
        <v>14</v>
      </c>
      <c r="BY51" s="107">
        <f t="shared" si="5"/>
        <v>2</v>
      </c>
      <c r="BZ51" s="107">
        <f t="array" ref="BZ51">IF($A51&lt;&gt;"",INDEX(LISTA!$M$2:$N$27,MATCH($BC51,LISTA!$N$2:$N$27,0),1),"")</f>
        <v>7</v>
      </c>
      <c r="CA51" s="67">
        <f t="shared" si="6"/>
        <v>6</v>
      </c>
      <c r="CB51" s="114" t="str">
        <f t="shared" si="7"/>
        <v/>
      </c>
      <c r="CC51" s="114"/>
    </row>
    <row r="52" ht="15.0" hidden="1" customHeight="1" outlineLevel="1">
      <c r="A52" s="59">
        <v>46191.460557569444</v>
      </c>
      <c r="B52" s="115" t="s">
        <v>381</v>
      </c>
      <c r="C52" s="54" t="s">
        <v>100</v>
      </c>
      <c r="D52" s="56" t="s">
        <v>101</v>
      </c>
      <c r="E52" s="69">
        <v>46197.375</v>
      </c>
      <c r="F52" s="73" t="s">
        <v>911</v>
      </c>
      <c r="G52" s="60" t="s">
        <v>912</v>
      </c>
      <c r="H52" s="60" t="s">
        <v>913</v>
      </c>
      <c r="I52" s="67" t="s">
        <v>192</v>
      </c>
      <c r="J52" s="79" t="s">
        <v>914</v>
      </c>
      <c r="K52" s="67" t="s">
        <v>109</v>
      </c>
      <c r="L52" s="79" t="s">
        <v>915</v>
      </c>
      <c r="M52" s="83" t="s">
        <v>916</v>
      </c>
      <c r="N52" s="78">
        <v>25972.0</v>
      </c>
      <c r="O52" s="80" t="s">
        <v>36</v>
      </c>
      <c r="P52" s="70" t="s">
        <v>917</v>
      </c>
      <c r="Q52" s="54"/>
      <c r="R52" s="84"/>
      <c r="S52" s="84"/>
      <c r="T52" s="54"/>
      <c r="U52" s="86"/>
      <c r="V52" s="54"/>
      <c r="W52" s="86"/>
      <c r="X52" s="54"/>
      <c r="Y52" s="78"/>
      <c r="Z52" s="54"/>
      <c r="AA52" s="70"/>
      <c r="AB52" s="83" t="s">
        <v>229</v>
      </c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54" t="s">
        <v>918</v>
      </c>
      <c r="AR52" s="83" t="s">
        <v>919</v>
      </c>
      <c r="AS52" s="83" t="s">
        <v>920</v>
      </c>
      <c r="AT52" s="93" t="s">
        <v>914</v>
      </c>
      <c r="AU52" s="93" t="s">
        <v>914</v>
      </c>
      <c r="AV52" s="93" t="s">
        <v>914</v>
      </c>
      <c r="AW52" s="83" t="s">
        <v>921</v>
      </c>
      <c r="AX52" s="83">
        <v>4.0</v>
      </c>
      <c r="AY52" s="83" t="s">
        <v>922</v>
      </c>
      <c r="AZ52" s="83" t="s">
        <v>923</v>
      </c>
      <c r="BA52" s="83" t="s">
        <v>924</v>
      </c>
      <c r="BB52" s="83" t="s">
        <v>925</v>
      </c>
      <c r="BC52" s="54" t="s">
        <v>36</v>
      </c>
      <c r="BD52" s="54" t="str">
        <f t="shared" si="1"/>
        <v>Chanchamayo</v>
      </c>
      <c r="BE52" s="67" t="s">
        <v>140</v>
      </c>
      <c r="BF52" s="67" t="s">
        <v>144</v>
      </c>
      <c r="BG52" s="67" t="s">
        <v>142</v>
      </c>
      <c r="BH52" s="67"/>
      <c r="BI52" s="67"/>
      <c r="BJ52" s="67"/>
      <c r="BK52" s="67"/>
      <c r="BL52" s="67" t="s">
        <v>147</v>
      </c>
      <c r="BM52" s="67" t="s">
        <v>247</v>
      </c>
      <c r="BN52" s="100">
        <v>89.0</v>
      </c>
      <c r="BO52" s="102" t="s">
        <v>148</v>
      </c>
      <c r="BP52" s="67" t="s">
        <v>141</v>
      </c>
      <c r="BQ52" s="79" t="s">
        <v>141</v>
      </c>
      <c r="BR52" s="67" t="s">
        <v>149</v>
      </c>
      <c r="BS52" s="102">
        <v>1.0</v>
      </c>
      <c r="BT52" s="106"/>
      <c r="BU52" s="107"/>
      <c r="BV52" s="108">
        <f t="shared" si="2"/>
        <v>46191</v>
      </c>
      <c r="BW52" s="108">
        <f t="shared" si="3"/>
        <v>46197</v>
      </c>
      <c r="BX52" s="102" t="str">
        <f t="shared" si="4"/>
        <v>09</v>
      </c>
      <c r="BY52" s="107">
        <f t="shared" si="5"/>
        <v>2</v>
      </c>
      <c r="BZ52" s="107">
        <f t="array" ref="BZ52">IF($A52&lt;&gt;"",INDEX(LISTA!$M$2:$N$27,MATCH($BC52,LISTA!$N$2:$N$27,0),1),"")</f>
        <v>14</v>
      </c>
      <c r="CA52" s="67">
        <f t="shared" si="6"/>
        <v>6</v>
      </c>
      <c r="CB52" s="114" t="str">
        <f t="shared" si="7"/>
        <v/>
      </c>
      <c r="CC52" s="114"/>
    </row>
    <row r="53" ht="15.0" hidden="1" customHeight="1" outlineLevel="1">
      <c r="A53" s="59">
        <v>46195.4164878125</v>
      </c>
      <c r="B53" s="115" t="s">
        <v>381</v>
      </c>
      <c r="C53" s="54" t="s">
        <v>100</v>
      </c>
      <c r="D53" s="56" t="s">
        <v>101</v>
      </c>
      <c r="E53" s="69">
        <v>46196.583333333336</v>
      </c>
      <c r="F53" s="73" t="s">
        <v>885</v>
      </c>
      <c r="G53" s="60" t="s">
        <v>886</v>
      </c>
      <c r="H53" s="60" t="s">
        <v>887</v>
      </c>
      <c r="I53" s="67" t="s">
        <v>192</v>
      </c>
      <c r="J53" s="79" t="s">
        <v>888</v>
      </c>
      <c r="K53" s="67" t="s">
        <v>109</v>
      </c>
      <c r="L53" s="79" t="s">
        <v>889</v>
      </c>
      <c r="M53" s="83" t="s">
        <v>890</v>
      </c>
      <c r="N53" s="78">
        <v>33904.0</v>
      </c>
      <c r="O53" s="80" t="s">
        <v>48</v>
      </c>
      <c r="P53" s="70" t="s">
        <v>891</v>
      </c>
      <c r="Q53" s="54"/>
      <c r="R53" s="84"/>
      <c r="S53" s="84"/>
      <c r="T53" s="54"/>
      <c r="U53" s="86"/>
      <c r="V53" s="54"/>
      <c r="W53" s="86"/>
      <c r="X53" s="54"/>
      <c r="Y53" s="78"/>
      <c r="Z53" s="54"/>
      <c r="AA53" s="70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 t="s">
        <v>892</v>
      </c>
      <c r="AM53" s="83"/>
      <c r="AN53" s="83"/>
      <c r="AO53" s="83"/>
      <c r="AP53" s="83"/>
      <c r="AQ53" s="54" t="s">
        <v>893</v>
      </c>
      <c r="AR53" s="83" t="s">
        <v>894</v>
      </c>
      <c r="AS53" s="83" t="s">
        <v>895</v>
      </c>
      <c r="AT53" s="93" t="s">
        <v>888</v>
      </c>
      <c r="AU53" s="93" t="s">
        <v>888</v>
      </c>
      <c r="AV53" s="93" t="s">
        <v>888</v>
      </c>
      <c r="AW53" s="83" t="s">
        <v>895</v>
      </c>
      <c r="AX53" s="83">
        <v>2.0</v>
      </c>
      <c r="AY53" s="83" t="s">
        <v>238</v>
      </c>
      <c r="AZ53" s="83" t="s">
        <v>899</v>
      </c>
      <c r="BA53" s="83" t="s">
        <v>900</v>
      </c>
      <c r="BB53" s="83" t="s">
        <v>901</v>
      </c>
      <c r="BC53" s="54" t="s">
        <v>48</v>
      </c>
      <c r="BD53" s="54" t="str">
        <f t="shared" si="1"/>
        <v>San Román</v>
      </c>
      <c r="BE53" s="67" t="s">
        <v>140</v>
      </c>
      <c r="BF53" s="67" t="s">
        <v>144</v>
      </c>
      <c r="BG53" s="67" t="s">
        <v>142</v>
      </c>
      <c r="BH53" s="67"/>
      <c r="BI53" s="67"/>
      <c r="BJ53" s="67"/>
      <c r="BK53" s="67"/>
      <c r="BL53" s="67" t="s">
        <v>147</v>
      </c>
      <c r="BM53" s="67" t="s">
        <v>247</v>
      </c>
      <c r="BN53" s="100">
        <v>89.0</v>
      </c>
      <c r="BO53" s="102" t="s">
        <v>148</v>
      </c>
      <c r="BP53" s="67" t="s">
        <v>141</v>
      </c>
      <c r="BQ53" s="79" t="s">
        <v>141</v>
      </c>
      <c r="BR53" s="67" t="s">
        <v>149</v>
      </c>
      <c r="BS53" s="102">
        <v>1.0</v>
      </c>
      <c r="BT53" s="106"/>
      <c r="BU53" s="107"/>
      <c r="BV53" s="108">
        <f t="shared" si="2"/>
        <v>46195</v>
      </c>
      <c r="BW53" s="108">
        <f t="shared" si="3"/>
        <v>46196</v>
      </c>
      <c r="BX53" s="102" t="str">
        <f t="shared" si="4"/>
        <v>14</v>
      </c>
      <c r="BY53" s="107">
        <f t="shared" si="5"/>
        <v>2</v>
      </c>
      <c r="BZ53" s="107">
        <f t="array" ref="BZ53">IF($A53&lt;&gt;"",INDEX(LISTA!$M$2:$N$27,MATCH($BC53,LISTA!$N$2:$N$27,0),1),"")</f>
        <v>22</v>
      </c>
      <c r="CA53" s="67">
        <f t="shared" si="6"/>
        <v>6</v>
      </c>
      <c r="CB53" s="114" t="str">
        <f t="shared" si="7"/>
        <v/>
      </c>
      <c r="CC53" s="114"/>
    </row>
    <row r="54" ht="15.0" hidden="1" customHeight="1" outlineLevel="1">
      <c r="A54" s="59">
        <v>46203.7731384838</v>
      </c>
      <c r="B54" s="115" t="s">
        <v>381</v>
      </c>
      <c r="C54" s="54" t="s">
        <v>100</v>
      </c>
      <c r="D54" s="56" t="s">
        <v>101</v>
      </c>
      <c r="E54" s="69">
        <v>46205.458333333336</v>
      </c>
      <c r="F54" s="73" t="s">
        <v>1225</v>
      </c>
      <c r="G54" s="60" t="s">
        <v>1226</v>
      </c>
      <c r="H54" s="60" t="s">
        <v>1227</v>
      </c>
      <c r="I54" s="67" t="s">
        <v>107</v>
      </c>
      <c r="J54" s="79" t="s">
        <v>1228</v>
      </c>
      <c r="K54" s="67" t="s">
        <v>109</v>
      </c>
      <c r="L54" s="79" t="s">
        <v>1229</v>
      </c>
      <c r="M54" s="83" t="s">
        <v>1230</v>
      </c>
      <c r="N54" s="78">
        <v>38471.0</v>
      </c>
      <c r="O54" s="80" t="s">
        <v>41</v>
      </c>
      <c r="P54" s="70" t="s">
        <v>1231</v>
      </c>
      <c r="Q54" s="54"/>
      <c r="R54" s="84"/>
      <c r="S54" s="84"/>
      <c r="T54" s="54"/>
      <c r="U54" s="86"/>
      <c r="V54" s="54"/>
      <c r="W54" s="86"/>
      <c r="X54" s="54"/>
      <c r="Y54" s="78"/>
      <c r="Z54" s="54"/>
      <c r="AA54" s="70"/>
      <c r="AB54" s="83"/>
      <c r="AC54" s="83"/>
      <c r="AD54" s="83"/>
      <c r="AE54" s="83"/>
      <c r="AF54" s="83" t="s">
        <v>165</v>
      </c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54" t="s">
        <v>1241</v>
      </c>
      <c r="AR54" s="83" t="s">
        <v>1242</v>
      </c>
      <c r="AS54" s="83" t="s">
        <v>1243</v>
      </c>
      <c r="AT54" s="93" t="s">
        <v>1228</v>
      </c>
      <c r="AU54" s="93" t="s">
        <v>1228</v>
      </c>
      <c r="AV54" s="93" t="s">
        <v>1228</v>
      </c>
      <c r="AW54" s="83" t="s">
        <v>1244</v>
      </c>
      <c r="AX54" s="83">
        <v>2.0</v>
      </c>
      <c r="AY54" s="83">
        <v>1.0</v>
      </c>
      <c r="AZ54" s="83" t="s">
        <v>1245</v>
      </c>
      <c r="BA54" s="83" t="s">
        <v>1246</v>
      </c>
      <c r="BB54" s="83" t="s">
        <v>1247</v>
      </c>
      <c r="BC54" s="54" t="s">
        <v>41</v>
      </c>
      <c r="BD54" s="54" t="str">
        <f t="shared" si="1"/>
        <v>San Martín de Porres</v>
      </c>
      <c r="BE54" s="67" t="s">
        <v>140</v>
      </c>
      <c r="BF54" s="67" t="s">
        <v>144</v>
      </c>
      <c r="BG54" s="67" t="s">
        <v>142</v>
      </c>
      <c r="BH54" s="67"/>
      <c r="BI54" s="67"/>
      <c r="BJ54" s="67"/>
      <c r="BK54" s="67"/>
      <c r="BL54" s="67" t="s">
        <v>283</v>
      </c>
      <c r="BM54" s="67" t="s">
        <v>146</v>
      </c>
      <c r="BN54" s="100">
        <v>94.0</v>
      </c>
      <c r="BO54" s="102" t="s">
        <v>148</v>
      </c>
      <c r="BP54" s="67" t="s">
        <v>141</v>
      </c>
      <c r="BQ54" s="79" t="s">
        <v>144</v>
      </c>
      <c r="BR54" s="67" t="s">
        <v>149</v>
      </c>
      <c r="BS54" s="102">
        <v>1.0</v>
      </c>
      <c r="BT54" s="106"/>
      <c r="BU54" s="107"/>
      <c r="BV54" s="108">
        <f t="shared" si="2"/>
        <v>46203</v>
      </c>
      <c r="BW54" s="108">
        <f t="shared" si="3"/>
        <v>46205</v>
      </c>
      <c r="BX54" s="102" t="str">
        <f t="shared" si="4"/>
        <v>11</v>
      </c>
      <c r="BY54" s="107">
        <f t="shared" si="5"/>
        <v>2</v>
      </c>
      <c r="BZ54" s="107">
        <f t="array" ref="BZ54">IF($A54&lt;&gt;"",INDEX(LISTA!$M$2:$N$27,MATCH($BC54,LISTA!$N$2:$N$27,0),1),"")</f>
        <v>1</v>
      </c>
      <c r="CA54" s="67">
        <f t="shared" si="6"/>
        <v>6</v>
      </c>
      <c r="CB54" s="114" t="str">
        <f t="shared" si="7"/>
        <v/>
      </c>
      <c r="CC54" s="114"/>
    </row>
    <row r="55" ht="15.0" hidden="1" customHeight="1" outlineLevel="1">
      <c r="A55" s="59">
        <v>46184.49452902778</v>
      </c>
      <c r="B55" s="115" t="s">
        <v>377</v>
      </c>
      <c r="C55" s="54" t="s">
        <v>100</v>
      </c>
      <c r="D55" s="56" t="s">
        <v>150</v>
      </c>
      <c r="E55" s="69">
        <v>46186.458333333336</v>
      </c>
      <c r="F55" s="73" t="s">
        <v>1248</v>
      </c>
      <c r="G55" s="60" t="s">
        <v>1249</v>
      </c>
      <c r="H55" s="60" t="s">
        <v>1250</v>
      </c>
      <c r="I55" s="67" t="s">
        <v>150</v>
      </c>
      <c r="J55" s="79" t="s">
        <v>1251</v>
      </c>
      <c r="K55" s="67" t="s">
        <v>109</v>
      </c>
      <c r="L55" s="79" t="s">
        <v>1252</v>
      </c>
      <c r="M55" s="83" t="s">
        <v>1253</v>
      </c>
      <c r="N55" s="78">
        <v>35962.0</v>
      </c>
      <c r="O55" s="80" t="s">
        <v>37</v>
      </c>
      <c r="P55" s="70" t="s">
        <v>228</v>
      </c>
      <c r="Q55" s="54"/>
      <c r="R55" s="84"/>
      <c r="S55" s="84"/>
      <c r="T55" s="54"/>
      <c r="U55" s="86"/>
      <c r="V55" s="54"/>
      <c r="W55" s="86"/>
      <c r="X55" s="54"/>
      <c r="Y55" s="78"/>
      <c r="Z55" s="54"/>
      <c r="AA55" s="70"/>
      <c r="AB55" s="83"/>
      <c r="AC55" s="83"/>
      <c r="AD55" s="83"/>
      <c r="AE55" s="83"/>
      <c r="AF55" s="83" t="s">
        <v>165</v>
      </c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54" t="s">
        <v>1254</v>
      </c>
      <c r="AR55" s="83" t="s">
        <v>1255</v>
      </c>
      <c r="AS55" s="83" t="s">
        <v>1256</v>
      </c>
      <c r="AT55" s="93" t="s">
        <v>1251</v>
      </c>
      <c r="AU55" s="93" t="s">
        <v>1251</v>
      </c>
      <c r="AV55" s="93" t="s">
        <v>1251</v>
      </c>
      <c r="AW55" s="83" t="s">
        <v>1257</v>
      </c>
      <c r="AX55" s="83">
        <v>4.0</v>
      </c>
      <c r="AY55" s="83">
        <v>1.0</v>
      </c>
      <c r="AZ55" s="83" t="s">
        <v>1258</v>
      </c>
      <c r="BA55" s="83" t="s">
        <v>1259</v>
      </c>
      <c r="BB55" s="83" t="s">
        <v>1260</v>
      </c>
      <c r="BC55" s="54" t="s">
        <v>41</v>
      </c>
      <c r="BD55" s="54" t="str">
        <f t="shared" si="1"/>
        <v>San Martín de Porres</v>
      </c>
      <c r="BE55" s="67" t="s">
        <v>143</v>
      </c>
      <c r="BF55" s="67" t="s">
        <v>144</v>
      </c>
      <c r="BG55" s="67" t="s">
        <v>142</v>
      </c>
      <c r="BH55" s="67"/>
      <c r="BI55" s="67"/>
      <c r="BJ55" s="67"/>
      <c r="BK55" s="67"/>
      <c r="BL55" s="67" t="s">
        <v>147</v>
      </c>
      <c r="BM55" s="67" t="s">
        <v>146</v>
      </c>
      <c r="BN55" s="100">
        <v>89.0</v>
      </c>
      <c r="BO55" s="102" t="s">
        <v>148</v>
      </c>
      <c r="BP55" s="67" t="s">
        <v>141</v>
      </c>
      <c r="BQ55" s="79" t="s">
        <v>141</v>
      </c>
      <c r="BR55" s="67" t="s">
        <v>149</v>
      </c>
      <c r="BS55" s="102" t="s">
        <v>149</v>
      </c>
      <c r="BT55" s="106"/>
      <c r="BU55" s="107"/>
      <c r="BV55" s="108">
        <f t="shared" si="2"/>
        <v>46184</v>
      </c>
      <c r="BW55" s="108">
        <f t="shared" si="3"/>
        <v>46186</v>
      </c>
      <c r="BX55" s="102" t="str">
        <f t="shared" si="4"/>
        <v>11</v>
      </c>
      <c r="BY55" s="107">
        <f t="shared" si="5"/>
        <v>2</v>
      </c>
      <c r="BZ55" s="107">
        <f t="array" ref="BZ55">IF($A55&lt;&gt;"",INDEX(LISTA!$M$2:$N$27,MATCH($BC55,LISTA!$N$2:$N$27,0),1),"")</f>
        <v>1</v>
      </c>
      <c r="CA55" s="67">
        <f t="shared" si="6"/>
        <v>6</v>
      </c>
      <c r="CB55" s="114" t="str">
        <f t="shared" si="7"/>
        <v/>
      </c>
      <c r="CC55" s="114"/>
    </row>
    <row r="56" ht="15.0" hidden="1" customHeight="1" outlineLevel="1">
      <c r="A56" s="59">
        <v>46185.628424803246</v>
      </c>
      <c r="B56" s="115" t="s">
        <v>377</v>
      </c>
      <c r="C56" s="54" t="s">
        <v>100</v>
      </c>
      <c r="D56" s="56" t="s">
        <v>150</v>
      </c>
      <c r="E56" s="69">
        <v>46187.458333333336</v>
      </c>
      <c r="F56" s="73" t="s">
        <v>1262</v>
      </c>
      <c r="G56" s="60" t="s">
        <v>1263</v>
      </c>
      <c r="H56" s="60" t="s">
        <v>1264</v>
      </c>
      <c r="I56" s="67" t="s">
        <v>107</v>
      </c>
      <c r="J56" s="79" t="s">
        <v>1265</v>
      </c>
      <c r="K56" s="67" t="s">
        <v>109</v>
      </c>
      <c r="L56" s="79" t="s">
        <v>1266</v>
      </c>
      <c r="M56" s="83" t="s">
        <v>1267</v>
      </c>
      <c r="N56" s="78">
        <v>38660.0</v>
      </c>
      <c r="O56" s="80" t="s">
        <v>42</v>
      </c>
      <c r="P56" s="70" t="s">
        <v>1268</v>
      </c>
      <c r="Q56" s="54"/>
      <c r="R56" s="84"/>
      <c r="S56" s="84"/>
      <c r="T56" s="54"/>
      <c r="U56" s="86"/>
      <c r="V56" s="54"/>
      <c r="W56" s="86"/>
      <c r="X56" s="54"/>
      <c r="Y56" s="78"/>
      <c r="Z56" s="54"/>
      <c r="AA56" s="70"/>
      <c r="AB56" s="83"/>
      <c r="AC56" s="83"/>
      <c r="AD56" s="83"/>
      <c r="AE56" s="83"/>
      <c r="AF56" s="83" t="s">
        <v>165</v>
      </c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54" t="s">
        <v>1269</v>
      </c>
      <c r="AR56" s="83" t="s">
        <v>1270</v>
      </c>
      <c r="AS56" s="83" t="s">
        <v>1271</v>
      </c>
      <c r="AT56" s="93" t="s">
        <v>1265</v>
      </c>
      <c r="AU56" s="93" t="s">
        <v>1265</v>
      </c>
      <c r="AV56" s="93" t="s">
        <v>1265</v>
      </c>
      <c r="AW56" s="83" t="s">
        <v>1272</v>
      </c>
      <c r="AX56" s="83">
        <v>4.0</v>
      </c>
      <c r="AY56" s="83">
        <v>1.0</v>
      </c>
      <c r="AZ56" s="83" t="s">
        <v>1273</v>
      </c>
      <c r="BA56" s="83" t="s">
        <v>1274</v>
      </c>
      <c r="BB56" s="83" t="s">
        <v>1275</v>
      </c>
      <c r="BC56" s="54" t="s">
        <v>41</v>
      </c>
      <c r="BD56" s="54" t="str">
        <f t="shared" si="1"/>
        <v>San Martín de Porres</v>
      </c>
      <c r="BE56" s="67" t="s">
        <v>140</v>
      </c>
      <c r="BF56" s="67" t="s">
        <v>144</v>
      </c>
      <c r="BG56" s="67" t="s">
        <v>142</v>
      </c>
      <c r="BH56" s="67"/>
      <c r="BI56" s="67"/>
      <c r="BJ56" s="67"/>
      <c r="BK56" s="67"/>
      <c r="BL56" s="67" t="s">
        <v>147</v>
      </c>
      <c r="BM56" s="67" t="s">
        <v>146</v>
      </c>
      <c r="BN56" s="100">
        <v>89.0</v>
      </c>
      <c r="BO56" s="102" t="s">
        <v>148</v>
      </c>
      <c r="BP56" s="67" t="s">
        <v>141</v>
      </c>
      <c r="BQ56" s="79" t="s">
        <v>141</v>
      </c>
      <c r="BR56" s="67" t="s">
        <v>149</v>
      </c>
      <c r="BS56" s="102">
        <v>1.0</v>
      </c>
      <c r="BT56" s="106"/>
      <c r="BU56" s="107"/>
      <c r="BV56" s="108">
        <f t="shared" si="2"/>
        <v>46185</v>
      </c>
      <c r="BW56" s="108">
        <f t="shared" si="3"/>
        <v>46187</v>
      </c>
      <c r="BX56" s="102" t="str">
        <f t="shared" si="4"/>
        <v>11</v>
      </c>
      <c r="BY56" s="107">
        <f t="shared" si="5"/>
        <v>2</v>
      </c>
      <c r="BZ56" s="107">
        <f t="array" ref="BZ56">IF($A56&lt;&gt;"",INDEX(LISTA!$M$2:$N$27,MATCH($BC56,LISTA!$N$2:$N$27,0),1),"")</f>
        <v>1</v>
      </c>
      <c r="CA56" s="67">
        <f t="shared" si="6"/>
        <v>6</v>
      </c>
      <c r="CB56" s="114" t="str">
        <f t="shared" si="7"/>
        <v/>
      </c>
      <c r="CC56" s="114"/>
    </row>
    <row r="57" ht="15.0" hidden="1" customHeight="1" outlineLevel="1">
      <c r="A57" s="59">
        <v>46185.75114432871</v>
      </c>
      <c r="B57" s="115" t="s">
        <v>377</v>
      </c>
      <c r="C57" s="54" t="s">
        <v>100</v>
      </c>
      <c r="D57" s="56" t="s">
        <v>150</v>
      </c>
      <c r="E57" s="69">
        <v>46189.083333333336</v>
      </c>
      <c r="F57" s="73" t="s">
        <v>1277</v>
      </c>
      <c r="G57" s="60" t="s">
        <v>1278</v>
      </c>
      <c r="H57" s="60" t="s">
        <v>1279</v>
      </c>
      <c r="I57" s="67" t="s">
        <v>360</v>
      </c>
      <c r="J57" s="79" t="s">
        <v>1280</v>
      </c>
      <c r="K57" s="67" t="s">
        <v>109</v>
      </c>
      <c r="L57" s="79" t="s">
        <v>1281</v>
      </c>
      <c r="M57" s="83" t="s">
        <v>1282</v>
      </c>
      <c r="N57" s="78">
        <v>39000.0</v>
      </c>
      <c r="O57" s="80" t="s">
        <v>24</v>
      </c>
      <c r="P57" s="156" t="s">
        <v>1283</v>
      </c>
      <c r="Q57" s="54"/>
      <c r="R57" s="84" t="s">
        <v>1284</v>
      </c>
      <c r="S57" s="84"/>
      <c r="T57" s="54"/>
      <c r="U57" s="86"/>
      <c r="V57" s="54"/>
      <c r="W57" s="86"/>
      <c r="X57" s="54"/>
      <c r="Y57" s="78"/>
      <c r="Z57" s="54"/>
      <c r="AA57" s="70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54" t="s">
        <v>1285</v>
      </c>
      <c r="AR57" s="83" t="s">
        <v>1286</v>
      </c>
      <c r="AS57" s="83" t="s">
        <v>1287</v>
      </c>
      <c r="AT57" s="93" t="s">
        <v>1280</v>
      </c>
      <c r="AU57" s="93" t="s">
        <v>1280</v>
      </c>
      <c r="AV57" s="93" t="s">
        <v>1280</v>
      </c>
      <c r="AW57" s="83" t="s">
        <v>1288</v>
      </c>
      <c r="AX57" s="83">
        <v>2.0</v>
      </c>
      <c r="AY57" s="83">
        <v>1.0</v>
      </c>
      <c r="AZ57" s="83" t="s">
        <v>1289</v>
      </c>
      <c r="BA57" s="83" t="s">
        <v>1290</v>
      </c>
      <c r="BB57" s="83" t="s">
        <v>1291</v>
      </c>
      <c r="BC57" s="54" t="s">
        <v>24</v>
      </c>
      <c r="BD57" s="54" t="str">
        <f t="shared" si="1"/>
        <v>Santa</v>
      </c>
      <c r="BE57" s="67" t="s">
        <v>140</v>
      </c>
      <c r="BF57" s="67" t="s">
        <v>141</v>
      </c>
      <c r="BG57" s="67" t="s">
        <v>142</v>
      </c>
      <c r="BH57" s="67"/>
      <c r="BI57" s="67"/>
      <c r="BJ57" s="67"/>
      <c r="BK57" s="67"/>
      <c r="BL57" s="67" t="s">
        <v>145</v>
      </c>
      <c r="BM57" s="67" t="s">
        <v>146</v>
      </c>
      <c r="BN57" s="100">
        <v>170.0</v>
      </c>
      <c r="BO57" s="102" t="s">
        <v>148</v>
      </c>
      <c r="BP57" s="67" t="s">
        <v>141</v>
      </c>
      <c r="BQ57" s="79" t="s">
        <v>141</v>
      </c>
      <c r="BR57" s="67">
        <v>1.0</v>
      </c>
      <c r="BS57" s="102" t="s">
        <v>149</v>
      </c>
      <c r="BT57" s="106"/>
      <c r="BU57" s="107"/>
      <c r="BV57" s="108">
        <f t="shared" si="2"/>
        <v>46185</v>
      </c>
      <c r="BW57" s="108">
        <f t="shared" si="3"/>
        <v>46189</v>
      </c>
      <c r="BX57" s="102" t="str">
        <f t="shared" si="4"/>
        <v>02</v>
      </c>
      <c r="BY57" s="107">
        <f t="shared" si="5"/>
        <v>2</v>
      </c>
      <c r="BZ57" s="107">
        <f t="array" ref="BZ57">IF($A57&lt;&gt;"",INDEX(LISTA!$M$2:$N$27,MATCH($BC57,LISTA!$N$2:$N$27,0),1),"")</f>
        <v>5</v>
      </c>
      <c r="CA57" s="67">
        <f t="shared" si="6"/>
        <v>6</v>
      </c>
      <c r="CB57" s="114" t="str">
        <f t="shared" si="7"/>
        <v/>
      </c>
      <c r="CC57" s="114"/>
    </row>
    <row r="58" ht="15.0" hidden="1" customHeight="1" outlineLevel="1">
      <c r="A58" s="59">
        <v>46186.46572820602</v>
      </c>
      <c r="B58" s="115" t="s">
        <v>377</v>
      </c>
      <c r="C58" s="54" t="s">
        <v>100</v>
      </c>
      <c r="D58" s="56" t="s">
        <v>101</v>
      </c>
      <c r="E58" s="69">
        <v>46201.666666666664</v>
      </c>
      <c r="F58" s="73" t="s">
        <v>1292</v>
      </c>
      <c r="G58" s="60" t="s">
        <v>1293</v>
      </c>
      <c r="H58" s="60" t="s">
        <v>1294</v>
      </c>
      <c r="I58" s="67" t="s">
        <v>150</v>
      </c>
      <c r="J58" s="79" t="s">
        <v>1295</v>
      </c>
      <c r="K58" s="67" t="s">
        <v>109</v>
      </c>
      <c r="L58" s="79" t="s">
        <v>1296</v>
      </c>
      <c r="M58" s="83" t="s">
        <v>1297</v>
      </c>
      <c r="N58" s="78">
        <v>37813.0</v>
      </c>
      <c r="O58" s="80" t="s">
        <v>37</v>
      </c>
      <c r="P58" s="70" t="s">
        <v>1298</v>
      </c>
      <c r="Q58" s="54"/>
      <c r="R58" s="84"/>
      <c r="S58" s="84"/>
      <c r="T58" s="54"/>
      <c r="U58" s="86"/>
      <c r="V58" s="54"/>
      <c r="W58" s="86"/>
      <c r="X58" s="54"/>
      <c r="Y58" s="78"/>
      <c r="Z58" s="54"/>
      <c r="AA58" s="70"/>
      <c r="AB58" s="83"/>
      <c r="AC58" s="83"/>
      <c r="AD58" s="83"/>
      <c r="AE58" s="83"/>
      <c r="AF58" s="83" t="s">
        <v>300</v>
      </c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54" t="s">
        <v>1299</v>
      </c>
      <c r="AR58" s="83" t="s">
        <v>1234</v>
      </c>
      <c r="AS58" s="83" t="s">
        <v>1300</v>
      </c>
      <c r="AT58" s="93" t="s">
        <v>1295</v>
      </c>
      <c r="AU58" s="93" t="s">
        <v>1295</v>
      </c>
      <c r="AV58" s="93" t="s">
        <v>1295</v>
      </c>
      <c r="AW58" s="83" t="s">
        <v>1301</v>
      </c>
      <c r="AX58" s="83">
        <v>2.0</v>
      </c>
      <c r="AY58" s="83" t="s">
        <v>238</v>
      </c>
      <c r="AZ58" s="83" t="s">
        <v>1302</v>
      </c>
      <c r="BA58" s="83" t="s">
        <v>1303</v>
      </c>
      <c r="BB58" s="83" t="s">
        <v>1304</v>
      </c>
      <c r="BC58" s="54" t="s">
        <v>41</v>
      </c>
      <c r="BD58" s="54" t="str">
        <f t="shared" si="1"/>
        <v>Ate</v>
      </c>
      <c r="BE58" s="67" t="s">
        <v>140</v>
      </c>
      <c r="BF58" s="67" t="s">
        <v>141</v>
      </c>
      <c r="BG58" s="67" t="s">
        <v>142</v>
      </c>
      <c r="BH58" s="67"/>
      <c r="BI58" s="67"/>
      <c r="BJ58" s="67"/>
      <c r="BK58" s="67"/>
      <c r="BL58" s="67" t="s">
        <v>147</v>
      </c>
      <c r="BM58" s="67" t="s">
        <v>247</v>
      </c>
      <c r="BN58" s="100">
        <v>89.0</v>
      </c>
      <c r="BO58" s="102" t="s">
        <v>148</v>
      </c>
      <c r="BP58" s="67" t="s">
        <v>141</v>
      </c>
      <c r="BQ58" s="79" t="s">
        <v>141</v>
      </c>
      <c r="BR58" s="67" t="s">
        <v>149</v>
      </c>
      <c r="BS58" s="102">
        <v>1.0</v>
      </c>
      <c r="BT58" s="106"/>
      <c r="BU58" s="107"/>
      <c r="BV58" s="108">
        <f t="shared" si="2"/>
        <v>46186</v>
      </c>
      <c r="BW58" s="108">
        <f t="shared" si="3"/>
        <v>46201</v>
      </c>
      <c r="BX58" s="102" t="str">
        <f t="shared" si="4"/>
        <v>16</v>
      </c>
      <c r="BY58" s="107">
        <f t="shared" si="5"/>
        <v>2</v>
      </c>
      <c r="BZ58" s="107">
        <f t="array" ref="BZ58">IF($A58&lt;&gt;"",INDEX(LISTA!$M$2:$N$27,MATCH($BC58,LISTA!$N$2:$N$27,0),1),"")</f>
        <v>1</v>
      </c>
      <c r="CA58" s="67">
        <f t="shared" si="6"/>
        <v>6</v>
      </c>
      <c r="CB58" s="114" t="str">
        <f t="shared" si="7"/>
        <v/>
      </c>
      <c r="CC58" s="114"/>
    </row>
    <row r="59" ht="15.0" hidden="1" customHeight="1" outlineLevel="1">
      <c r="A59" s="59">
        <v>46195.707695543984</v>
      </c>
      <c r="B59" s="115" t="s">
        <v>377</v>
      </c>
      <c r="C59" s="54" t="s">
        <v>100</v>
      </c>
      <c r="D59" s="56" t="s">
        <v>101</v>
      </c>
      <c r="E59" s="69">
        <v>46201.666666666664</v>
      </c>
      <c r="F59" s="73" t="s">
        <v>1305</v>
      </c>
      <c r="G59" s="60" t="s">
        <v>1306</v>
      </c>
      <c r="H59" s="60" t="s">
        <v>1307</v>
      </c>
      <c r="I59" s="67" t="s">
        <v>365</v>
      </c>
      <c r="J59" s="79" t="s">
        <v>1308</v>
      </c>
      <c r="K59" s="67" t="s">
        <v>109</v>
      </c>
      <c r="L59" s="79" t="s">
        <v>1309</v>
      </c>
      <c r="M59" s="83" t="s">
        <v>1310</v>
      </c>
      <c r="N59" s="78">
        <v>37717.0</v>
      </c>
      <c r="O59" s="80" t="s">
        <v>37</v>
      </c>
      <c r="P59" s="70" t="s">
        <v>1039</v>
      </c>
      <c r="Q59" s="54"/>
      <c r="R59" s="84"/>
      <c r="S59" s="84"/>
      <c r="T59" s="54"/>
      <c r="U59" s="86"/>
      <c r="V59" s="54"/>
      <c r="W59" s="86"/>
      <c r="X59" s="54"/>
      <c r="Y59" s="78"/>
      <c r="Z59" s="54"/>
      <c r="AA59" s="70"/>
      <c r="AB59" s="83"/>
      <c r="AC59" s="83"/>
      <c r="AD59" s="83"/>
      <c r="AE59" s="83"/>
      <c r="AF59" s="83" t="s">
        <v>753</v>
      </c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54" t="s">
        <v>1311</v>
      </c>
      <c r="AR59" s="83" t="s">
        <v>1312</v>
      </c>
      <c r="AS59" s="83" t="s">
        <v>1313</v>
      </c>
      <c r="AT59" s="93" t="s">
        <v>1314</v>
      </c>
      <c r="AU59" s="93" t="s">
        <v>1314</v>
      </c>
      <c r="AV59" s="93" t="s">
        <v>1315</v>
      </c>
      <c r="AW59" s="83" t="s">
        <v>1316</v>
      </c>
      <c r="AX59" s="83">
        <v>3.0</v>
      </c>
      <c r="AY59" s="83">
        <v>1.0</v>
      </c>
      <c r="AZ59" s="83" t="s">
        <v>1317</v>
      </c>
      <c r="BA59" s="83" t="s">
        <v>1318</v>
      </c>
      <c r="BB59" s="83" t="s">
        <v>1319</v>
      </c>
      <c r="BC59" s="54" t="s">
        <v>41</v>
      </c>
      <c r="BD59" s="54" t="str">
        <f t="shared" si="1"/>
        <v>Carabayllo</v>
      </c>
      <c r="BE59" s="67" t="s">
        <v>140</v>
      </c>
      <c r="BF59" s="67" t="s">
        <v>141</v>
      </c>
      <c r="BG59" s="67" t="s">
        <v>142</v>
      </c>
      <c r="BH59" s="67"/>
      <c r="BI59" s="67"/>
      <c r="BJ59" s="67"/>
      <c r="BK59" s="67"/>
      <c r="BL59" s="67" t="s">
        <v>213</v>
      </c>
      <c r="BM59" s="67" t="s">
        <v>146</v>
      </c>
      <c r="BN59" s="100">
        <v>110.0</v>
      </c>
      <c r="BO59" s="102" t="s">
        <v>182</v>
      </c>
      <c r="BP59" s="67" t="s">
        <v>144</v>
      </c>
      <c r="BQ59" s="79" t="s">
        <v>141</v>
      </c>
      <c r="BR59" s="67" t="s">
        <v>149</v>
      </c>
      <c r="BS59" s="102">
        <v>1.0</v>
      </c>
      <c r="BT59" s="106"/>
      <c r="BU59" s="107"/>
      <c r="BV59" s="108">
        <f t="shared" si="2"/>
        <v>46195</v>
      </c>
      <c r="BW59" s="108">
        <f t="shared" si="3"/>
        <v>46201</v>
      </c>
      <c r="BX59" s="102" t="str">
        <f t="shared" si="4"/>
        <v>16</v>
      </c>
      <c r="BY59" s="107">
        <f t="shared" si="5"/>
        <v>2</v>
      </c>
      <c r="BZ59" s="107">
        <f t="array" ref="BZ59">IF($A59&lt;&gt;"",INDEX(LISTA!$M$2:$N$27,MATCH($BC59,LISTA!$N$2:$N$27,0),1),"")</f>
        <v>1</v>
      </c>
      <c r="CA59" s="67">
        <f t="shared" si="6"/>
        <v>6</v>
      </c>
      <c r="CB59" s="114" t="str">
        <f t="shared" si="7"/>
        <v/>
      </c>
      <c r="CC59" s="114"/>
    </row>
    <row r="60" ht="15.0" hidden="1" customHeight="1" outlineLevel="1">
      <c r="A60" s="59">
        <v>46196.4432015625</v>
      </c>
      <c r="B60" s="115" t="s">
        <v>377</v>
      </c>
      <c r="C60" s="54" t="s">
        <v>100</v>
      </c>
      <c r="D60" s="56" t="s">
        <v>101</v>
      </c>
      <c r="E60" s="69">
        <v>46201.458333333336</v>
      </c>
      <c r="F60" s="73" t="s">
        <v>1320</v>
      </c>
      <c r="G60" s="60" t="s">
        <v>1321</v>
      </c>
      <c r="H60" s="60" t="s">
        <v>1322</v>
      </c>
      <c r="I60" s="67" t="s">
        <v>287</v>
      </c>
      <c r="J60" s="79" t="s">
        <v>1323</v>
      </c>
      <c r="K60" s="67" t="s">
        <v>109</v>
      </c>
      <c r="L60" s="79" t="s">
        <v>1324</v>
      </c>
      <c r="M60" s="83" t="s">
        <v>1325</v>
      </c>
      <c r="N60" s="78">
        <v>34628.0</v>
      </c>
      <c r="O60" s="80" t="s">
        <v>41</v>
      </c>
      <c r="P60" s="70" t="s">
        <v>1326</v>
      </c>
      <c r="Q60" s="54"/>
      <c r="R60" s="84"/>
      <c r="S60" s="84"/>
      <c r="T60" s="54"/>
      <c r="U60" s="86"/>
      <c r="V60" s="54"/>
      <c r="W60" s="86"/>
      <c r="X60" s="54"/>
      <c r="Y60" s="78"/>
      <c r="Z60" s="54"/>
      <c r="AA60" s="70"/>
      <c r="AB60" s="83"/>
      <c r="AC60" s="83"/>
      <c r="AD60" s="83"/>
      <c r="AE60" s="83"/>
      <c r="AF60" s="83" t="s">
        <v>300</v>
      </c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54" t="s">
        <v>1327</v>
      </c>
      <c r="AR60" s="83" t="s">
        <v>1328</v>
      </c>
      <c r="AS60" s="83" t="s">
        <v>1329</v>
      </c>
      <c r="AT60" s="93" t="s">
        <v>1323</v>
      </c>
      <c r="AU60" s="93" t="s">
        <v>1323</v>
      </c>
      <c r="AV60" s="93" t="s">
        <v>1323</v>
      </c>
      <c r="AW60" s="83" t="s">
        <v>1330</v>
      </c>
      <c r="AX60" s="83">
        <v>4.0</v>
      </c>
      <c r="AY60" s="83">
        <v>1.0</v>
      </c>
      <c r="AZ60" s="83" t="s">
        <v>1331</v>
      </c>
      <c r="BA60" s="83" t="s">
        <v>1332</v>
      </c>
      <c r="BB60" s="83" t="s">
        <v>1333</v>
      </c>
      <c r="BC60" s="54" t="s">
        <v>41</v>
      </c>
      <c r="BD60" s="54" t="str">
        <f t="shared" si="1"/>
        <v>Ate</v>
      </c>
      <c r="BE60" s="67" t="s">
        <v>140</v>
      </c>
      <c r="BF60" s="67" t="s">
        <v>141</v>
      </c>
      <c r="BG60" s="67" t="s">
        <v>142</v>
      </c>
      <c r="BH60" s="67"/>
      <c r="BI60" s="67"/>
      <c r="BJ60" s="67"/>
      <c r="BK60" s="67"/>
      <c r="BL60" s="67" t="s">
        <v>147</v>
      </c>
      <c r="BM60" s="67" t="s">
        <v>146</v>
      </c>
      <c r="BN60" s="100">
        <v>110.0</v>
      </c>
      <c r="BO60" s="102" t="s">
        <v>182</v>
      </c>
      <c r="BP60" s="67" t="s">
        <v>141</v>
      </c>
      <c r="BQ60" s="79" t="s">
        <v>141</v>
      </c>
      <c r="BR60" s="67">
        <v>4.0</v>
      </c>
      <c r="BS60" s="102">
        <v>1.0</v>
      </c>
      <c r="BT60" s="106"/>
      <c r="BU60" s="107"/>
      <c r="BV60" s="108">
        <f t="shared" si="2"/>
        <v>46196</v>
      </c>
      <c r="BW60" s="108">
        <f t="shared" si="3"/>
        <v>46201</v>
      </c>
      <c r="BX60" s="102" t="str">
        <f t="shared" si="4"/>
        <v>11</v>
      </c>
      <c r="BY60" s="107">
        <f t="shared" si="5"/>
        <v>2</v>
      </c>
      <c r="BZ60" s="107">
        <f t="array" ref="BZ60">IF($A60&lt;&gt;"",INDEX(LISTA!$M$2:$N$27,MATCH($BC60,LISTA!$N$2:$N$27,0),1),"")</f>
        <v>1</v>
      </c>
      <c r="CA60" s="67">
        <f t="shared" si="6"/>
        <v>6</v>
      </c>
      <c r="CB60" s="114" t="str">
        <f t="shared" si="7"/>
        <v/>
      </c>
      <c r="CC60" s="114"/>
    </row>
    <row r="61" ht="15.0" hidden="1" customHeight="1" outlineLevel="1">
      <c r="A61" s="59">
        <v>46197.46025025463</v>
      </c>
      <c r="B61" s="115" t="s">
        <v>377</v>
      </c>
      <c r="C61" s="54" t="s">
        <v>100</v>
      </c>
      <c r="D61" s="56" t="s">
        <v>101</v>
      </c>
      <c r="E61" s="69">
        <v>46198.666666666664</v>
      </c>
      <c r="F61" s="73" t="s">
        <v>1334</v>
      </c>
      <c r="G61" s="60" t="s">
        <v>1335</v>
      </c>
      <c r="H61" s="60" t="s">
        <v>1336</v>
      </c>
      <c r="I61" s="67" t="s">
        <v>360</v>
      </c>
      <c r="J61" s="79" t="s">
        <v>1337</v>
      </c>
      <c r="K61" s="67" t="s">
        <v>109</v>
      </c>
      <c r="L61" s="79" t="s">
        <v>1338</v>
      </c>
      <c r="M61" s="83" t="s">
        <v>1339</v>
      </c>
      <c r="N61" s="78">
        <v>38309.0</v>
      </c>
      <c r="O61" s="80" t="s">
        <v>37</v>
      </c>
      <c r="P61" s="70" t="s">
        <v>1340</v>
      </c>
      <c r="Q61" s="54"/>
      <c r="R61" s="84"/>
      <c r="S61" s="84"/>
      <c r="T61" s="54"/>
      <c r="U61" s="86"/>
      <c r="V61" s="54"/>
      <c r="W61" s="86"/>
      <c r="X61" s="54"/>
      <c r="Y61" s="78"/>
      <c r="Z61" s="54"/>
      <c r="AA61" s="70"/>
      <c r="AB61" s="83"/>
      <c r="AC61" s="83"/>
      <c r="AD61" s="83"/>
      <c r="AE61" s="83"/>
      <c r="AF61" s="83" t="s">
        <v>165</v>
      </c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54" t="s">
        <v>1341</v>
      </c>
      <c r="AR61" s="83" t="s">
        <v>1342</v>
      </c>
      <c r="AS61" s="83" t="s">
        <v>1343</v>
      </c>
      <c r="AT61" s="93" t="s">
        <v>1337</v>
      </c>
      <c r="AU61" s="93" t="s">
        <v>1337</v>
      </c>
      <c r="AV61" s="93" t="s">
        <v>1337</v>
      </c>
      <c r="AW61" s="83" t="s">
        <v>1344</v>
      </c>
      <c r="AX61" s="83">
        <v>1.0</v>
      </c>
      <c r="AY61" s="83" t="s">
        <v>1345</v>
      </c>
      <c r="AZ61" s="83" t="s">
        <v>1346</v>
      </c>
      <c r="BA61" s="83" t="s">
        <v>1347</v>
      </c>
      <c r="BB61" s="83" t="s">
        <v>1348</v>
      </c>
      <c r="BC61" s="54" t="s">
        <v>41</v>
      </c>
      <c r="BD61" s="54" t="str">
        <f t="shared" si="1"/>
        <v>San Martín de Porres</v>
      </c>
      <c r="BE61" s="67" t="s">
        <v>140</v>
      </c>
      <c r="BF61" s="67" t="s">
        <v>141</v>
      </c>
      <c r="BG61" s="67" t="s">
        <v>142</v>
      </c>
      <c r="BH61" s="67"/>
      <c r="BI61" s="67"/>
      <c r="BJ61" s="67"/>
      <c r="BK61" s="67"/>
      <c r="BL61" s="67" t="s">
        <v>145</v>
      </c>
      <c r="BM61" s="67" t="s">
        <v>146</v>
      </c>
      <c r="BN61" s="100">
        <v>170.0</v>
      </c>
      <c r="BO61" s="102" t="s">
        <v>148</v>
      </c>
      <c r="BP61" s="67" t="s">
        <v>144</v>
      </c>
      <c r="BQ61" s="79" t="s">
        <v>141</v>
      </c>
      <c r="BR61" s="67">
        <v>2.0</v>
      </c>
      <c r="BS61" s="102">
        <v>1.0</v>
      </c>
      <c r="BT61" s="106"/>
      <c r="BU61" s="107"/>
      <c r="BV61" s="108">
        <f t="shared" si="2"/>
        <v>46197</v>
      </c>
      <c r="BW61" s="108">
        <f t="shared" si="3"/>
        <v>46198</v>
      </c>
      <c r="BX61" s="102" t="str">
        <f t="shared" si="4"/>
        <v>16</v>
      </c>
      <c r="BY61" s="107">
        <f t="shared" si="5"/>
        <v>2</v>
      </c>
      <c r="BZ61" s="107">
        <f t="array" ref="BZ61">IF($A61&lt;&gt;"",INDEX(LISTA!$M$2:$N$27,MATCH($BC61,LISTA!$N$2:$N$27,0),1),"")</f>
        <v>1</v>
      </c>
      <c r="CA61" s="67">
        <f t="shared" si="6"/>
        <v>6</v>
      </c>
      <c r="CB61" s="114" t="str">
        <f t="shared" si="7"/>
        <v/>
      </c>
      <c r="CC61" s="114"/>
    </row>
    <row r="62" ht="15.0" hidden="1" customHeight="1" outlineLevel="1">
      <c r="A62" s="59">
        <v>46198.807960509264</v>
      </c>
      <c r="B62" s="115" t="s">
        <v>377</v>
      </c>
      <c r="C62" s="54" t="s">
        <v>100</v>
      </c>
      <c r="D62" s="56" t="s">
        <v>150</v>
      </c>
      <c r="E62" s="69">
        <v>46200.458333333336</v>
      </c>
      <c r="F62" s="73" t="s">
        <v>1305</v>
      </c>
      <c r="G62" s="60" t="s">
        <v>1349</v>
      </c>
      <c r="H62" s="60" t="s">
        <v>1350</v>
      </c>
      <c r="I62" s="67" t="s">
        <v>365</v>
      </c>
      <c r="J62" s="79" t="s">
        <v>1351</v>
      </c>
      <c r="K62" s="67" t="s">
        <v>1151</v>
      </c>
      <c r="L62" s="79" t="s">
        <v>1352</v>
      </c>
      <c r="M62" s="83" t="s">
        <v>1353</v>
      </c>
      <c r="N62" s="78">
        <v>35780.0</v>
      </c>
      <c r="O62" s="80" t="s">
        <v>37</v>
      </c>
      <c r="P62" s="70" t="s">
        <v>1354</v>
      </c>
      <c r="Q62" s="54"/>
      <c r="R62" s="84"/>
      <c r="S62" s="84"/>
      <c r="T62" s="54"/>
      <c r="U62" s="86"/>
      <c r="V62" s="54"/>
      <c r="W62" s="86"/>
      <c r="X62" s="54"/>
      <c r="Y62" s="78"/>
      <c r="Z62" s="54"/>
      <c r="AA62" s="70"/>
      <c r="AB62" s="83"/>
      <c r="AC62" s="83"/>
      <c r="AD62" s="83"/>
      <c r="AE62" s="83"/>
      <c r="AF62" s="83" t="s">
        <v>1355</v>
      </c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54" t="s">
        <v>1356</v>
      </c>
      <c r="AR62" s="83" t="s">
        <v>1357</v>
      </c>
      <c r="AS62" s="83" t="s">
        <v>1358</v>
      </c>
      <c r="AT62" s="93" t="s">
        <v>1351</v>
      </c>
      <c r="AU62" s="93" t="s">
        <v>1351</v>
      </c>
      <c r="AV62" s="93" t="s">
        <v>1359</v>
      </c>
      <c r="AW62" s="83" t="s">
        <v>1360</v>
      </c>
      <c r="AX62" s="83">
        <v>2.0</v>
      </c>
      <c r="AY62" s="83">
        <v>1.0</v>
      </c>
      <c r="AZ62" s="83" t="s">
        <v>1361</v>
      </c>
      <c r="BA62" s="83" t="s">
        <v>1362</v>
      </c>
      <c r="BB62" s="83" t="s">
        <v>1363</v>
      </c>
      <c r="BC62" s="54" t="s">
        <v>41</v>
      </c>
      <c r="BD62" s="54" t="str">
        <f t="shared" si="1"/>
        <v>Villa María del Triunfo</v>
      </c>
      <c r="BE62" s="67" t="s">
        <v>140</v>
      </c>
      <c r="BF62" s="67" t="s">
        <v>141</v>
      </c>
      <c r="BG62" s="67" t="s">
        <v>142</v>
      </c>
      <c r="BH62" s="67"/>
      <c r="BI62" s="67"/>
      <c r="BJ62" s="67"/>
      <c r="BK62" s="67"/>
      <c r="BL62" s="67" t="s">
        <v>147</v>
      </c>
      <c r="BM62" s="67" t="s">
        <v>247</v>
      </c>
      <c r="BN62" s="100">
        <v>89.0</v>
      </c>
      <c r="BO62" s="102" t="s">
        <v>148</v>
      </c>
      <c r="BP62" s="67" t="s">
        <v>141</v>
      </c>
      <c r="BQ62" s="79" t="s">
        <v>141</v>
      </c>
      <c r="BR62" s="67" t="s">
        <v>149</v>
      </c>
      <c r="BS62" s="102">
        <v>1.0</v>
      </c>
      <c r="BT62" s="106"/>
      <c r="BU62" s="107"/>
      <c r="BV62" s="108">
        <f t="shared" si="2"/>
        <v>46198</v>
      </c>
      <c r="BW62" s="108">
        <f t="shared" si="3"/>
        <v>46200</v>
      </c>
      <c r="BX62" s="102" t="str">
        <f t="shared" si="4"/>
        <v>11</v>
      </c>
      <c r="BY62" s="107">
        <f t="shared" si="5"/>
        <v>2</v>
      </c>
      <c r="BZ62" s="107">
        <f t="array" ref="BZ62">IF($A62&lt;&gt;"",INDEX(LISTA!$M$2:$N$27,MATCH($BC62,LISTA!$N$2:$N$27,0),1),"")</f>
        <v>1</v>
      </c>
      <c r="CA62" s="67">
        <f t="shared" si="6"/>
        <v>6</v>
      </c>
      <c r="CB62" s="114" t="str">
        <f t="shared" si="7"/>
        <v/>
      </c>
      <c r="CC62" s="114"/>
    </row>
    <row r="63" ht="15.0" hidden="1" customHeight="1" outlineLevel="1">
      <c r="A63" s="59">
        <v>46199.67541327546</v>
      </c>
      <c r="B63" s="115" t="s">
        <v>377</v>
      </c>
      <c r="C63" s="54" t="s">
        <v>100</v>
      </c>
      <c r="D63" s="56" t="s">
        <v>101</v>
      </c>
      <c r="E63" s="69">
        <v>46202.5</v>
      </c>
      <c r="F63" s="73" t="s">
        <v>1305</v>
      </c>
      <c r="G63" s="60" t="s">
        <v>1364</v>
      </c>
      <c r="H63" s="60" t="s">
        <v>1365</v>
      </c>
      <c r="I63" s="67" t="s">
        <v>107</v>
      </c>
      <c r="J63" s="79" t="s">
        <v>1366</v>
      </c>
      <c r="K63" s="67" t="s">
        <v>109</v>
      </c>
      <c r="L63" s="79" t="s">
        <v>1367</v>
      </c>
      <c r="M63" s="83" t="s">
        <v>1368</v>
      </c>
      <c r="N63" s="78">
        <v>34098.0</v>
      </c>
      <c r="O63" s="80" t="s">
        <v>33</v>
      </c>
      <c r="P63" s="70" t="s">
        <v>1369</v>
      </c>
      <c r="Q63" s="54"/>
      <c r="R63" s="84"/>
      <c r="S63" s="84"/>
      <c r="T63" s="54"/>
      <c r="U63" s="86"/>
      <c r="V63" s="54"/>
      <c r="W63" s="86"/>
      <c r="X63" s="54"/>
      <c r="Y63" s="78"/>
      <c r="Z63" s="54" t="s">
        <v>267</v>
      </c>
      <c r="AA63" s="70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54" t="s">
        <v>867</v>
      </c>
      <c r="AR63" s="83" t="s">
        <v>1370</v>
      </c>
      <c r="AS63" s="83" t="s">
        <v>1371</v>
      </c>
      <c r="AT63" s="93" t="s">
        <v>1366</v>
      </c>
      <c r="AU63" s="93" t="s">
        <v>1366</v>
      </c>
      <c r="AV63" s="93" t="s">
        <v>1372</v>
      </c>
      <c r="AW63" s="83" t="s">
        <v>1373</v>
      </c>
      <c r="AX63" s="83">
        <v>1.0</v>
      </c>
      <c r="AY63" s="83">
        <v>1.0</v>
      </c>
      <c r="AZ63" s="83" t="s">
        <v>1374</v>
      </c>
      <c r="BA63" s="83" t="s">
        <v>1375</v>
      </c>
      <c r="BB63" s="83" t="s">
        <v>1376</v>
      </c>
      <c r="BC63" s="54" t="s">
        <v>33</v>
      </c>
      <c r="BD63" s="54" t="str">
        <f t="shared" si="1"/>
        <v>Huánuco</v>
      </c>
      <c r="BE63" s="67" t="s">
        <v>140</v>
      </c>
      <c r="BF63" s="67" t="s">
        <v>141</v>
      </c>
      <c r="BG63" s="67" t="s">
        <v>142</v>
      </c>
      <c r="BH63" s="67"/>
      <c r="BI63" s="67"/>
      <c r="BJ63" s="67"/>
      <c r="BK63" s="67"/>
      <c r="BL63" s="67" t="s">
        <v>147</v>
      </c>
      <c r="BM63" s="67" t="s">
        <v>146</v>
      </c>
      <c r="BN63" s="100">
        <v>69.0</v>
      </c>
      <c r="BO63" s="102" t="s">
        <v>615</v>
      </c>
      <c r="BP63" s="67" t="s">
        <v>141</v>
      </c>
      <c r="BQ63" s="79" t="s">
        <v>141</v>
      </c>
      <c r="BR63" s="67" t="s">
        <v>149</v>
      </c>
      <c r="BS63" s="102" t="s">
        <v>149</v>
      </c>
      <c r="BT63" s="106"/>
      <c r="BU63" s="107"/>
      <c r="BV63" s="108">
        <f t="shared" si="2"/>
        <v>46199</v>
      </c>
      <c r="BW63" s="108">
        <f t="shared" si="3"/>
        <v>46202</v>
      </c>
      <c r="BX63" s="102" t="str">
        <f t="shared" si="4"/>
        <v>12</v>
      </c>
      <c r="BY63" s="107">
        <f t="shared" si="5"/>
        <v>2</v>
      </c>
      <c r="BZ63" s="107">
        <f t="array" ref="BZ63">IF($A63&lt;&gt;"",INDEX(LISTA!$M$2:$N$27,MATCH($BC63,LISTA!$N$2:$N$27,0),1),"")</f>
        <v>12</v>
      </c>
      <c r="CA63" s="67">
        <f t="shared" si="6"/>
        <v>6</v>
      </c>
      <c r="CB63" s="114" t="str">
        <f t="shared" si="7"/>
        <v/>
      </c>
      <c r="CC63" s="114"/>
    </row>
    <row r="64" ht="15.0" hidden="1" customHeight="1" outlineLevel="1">
      <c r="A64" s="59">
        <v>46199.696382361115</v>
      </c>
      <c r="B64" s="115" t="s">
        <v>377</v>
      </c>
      <c r="C64" s="54" t="s">
        <v>100</v>
      </c>
      <c r="D64" s="56" t="s">
        <v>101</v>
      </c>
      <c r="E64" s="69">
        <v>46207.375</v>
      </c>
      <c r="F64" s="73" t="s">
        <v>1377</v>
      </c>
      <c r="G64" s="60" t="s">
        <v>1082</v>
      </c>
      <c r="H64" s="60" t="s">
        <v>1083</v>
      </c>
      <c r="I64" s="67" t="s">
        <v>365</v>
      </c>
      <c r="J64" s="79" t="s">
        <v>1092</v>
      </c>
      <c r="K64" s="67" t="s">
        <v>109</v>
      </c>
      <c r="L64" s="79" t="s">
        <v>1085</v>
      </c>
      <c r="M64" s="83" t="s">
        <v>1086</v>
      </c>
      <c r="N64" s="78">
        <v>30241.0</v>
      </c>
      <c r="O64" s="80" t="s">
        <v>28</v>
      </c>
      <c r="P64" s="70" t="s">
        <v>1087</v>
      </c>
      <c r="Q64" s="54"/>
      <c r="R64" s="84"/>
      <c r="S64" s="84"/>
      <c r="T64" s="54"/>
      <c r="U64" s="86" t="s">
        <v>1088</v>
      </c>
      <c r="V64" s="54"/>
      <c r="W64" s="86"/>
      <c r="X64" s="54"/>
      <c r="Y64" s="78"/>
      <c r="Z64" s="54"/>
      <c r="AA64" s="70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54" t="s">
        <v>1089</v>
      </c>
      <c r="AR64" s="83" t="s">
        <v>1090</v>
      </c>
      <c r="AS64" s="83" t="s">
        <v>1091</v>
      </c>
      <c r="AT64" s="93" t="s">
        <v>1092</v>
      </c>
      <c r="AU64" s="93" t="s">
        <v>1092</v>
      </c>
      <c r="AV64" s="93" t="s">
        <v>1092</v>
      </c>
      <c r="AW64" s="83" t="s">
        <v>1093</v>
      </c>
      <c r="AX64" s="83">
        <v>3.0</v>
      </c>
      <c r="AY64" s="83">
        <v>1.0</v>
      </c>
      <c r="AZ64" s="83" t="s">
        <v>1094</v>
      </c>
      <c r="BA64" s="83" t="s">
        <v>1095</v>
      </c>
      <c r="BB64" s="83" t="s">
        <v>1096</v>
      </c>
      <c r="BC64" s="54" t="s">
        <v>28</v>
      </c>
      <c r="BD64" s="54" t="str">
        <f t="shared" si="1"/>
        <v>Huamanga</v>
      </c>
      <c r="BE64" s="67" t="s">
        <v>140</v>
      </c>
      <c r="BF64" s="67" t="s">
        <v>141</v>
      </c>
      <c r="BG64" s="67" t="s">
        <v>142</v>
      </c>
      <c r="BH64" s="67"/>
      <c r="BI64" s="67"/>
      <c r="BJ64" s="67"/>
      <c r="BK64" s="67"/>
      <c r="BL64" s="67" t="s">
        <v>147</v>
      </c>
      <c r="BM64" s="67" t="s">
        <v>247</v>
      </c>
      <c r="BN64" s="100">
        <v>89.0</v>
      </c>
      <c r="BO64" s="102" t="s">
        <v>148</v>
      </c>
      <c r="BP64" s="67" t="s">
        <v>141</v>
      </c>
      <c r="BQ64" s="79" t="s">
        <v>141</v>
      </c>
      <c r="BR64" s="67" t="s">
        <v>149</v>
      </c>
      <c r="BS64" s="102">
        <v>1.0</v>
      </c>
      <c r="BT64" s="106"/>
      <c r="BU64" s="107"/>
      <c r="BV64" s="108">
        <f t="shared" si="2"/>
        <v>46199</v>
      </c>
      <c r="BW64" s="108">
        <f t="shared" si="3"/>
        <v>46207</v>
      </c>
      <c r="BX64" s="102" t="str">
        <f t="shared" si="4"/>
        <v>09</v>
      </c>
      <c r="BY64" s="107">
        <f t="shared" si="5"/>
        <v>2</v>
      </c>
      <c r="BZ64" s="107">
        <f t="array" ref="BZ64">IF($A64&lt;&gt;"",INDEX(LISTA!$M$2:$N$27,MATCH($BC64,LISTA!$N$2:$N$27,0),1),"")</f>
        <v>8</v>
      </c>
      <c r="CA64" s="67">
        <f t="shared" si="6"/>
        <v>6</v>
      </c>
      <c r="CB64" s="114" t="str">
        <f t="shared" si="7"/>
        <v/>
      </c>
      <c r="CC64" s="114"/>
    </row>
    <row r="65" ht="15.0" hidden="1" customHeight="1" outlineLevel="1">
      <c r="A65" s="59">
        <v>46203.45454525463</v>
      </c>
      <c r="B65" s="115" t="s">
        <v>377</v>
      </c>
      <c r="C65" s="54" t="s">
        <v>100</v>
      </c>
      <c r="D65" s="56" t="s">
        <v>101</v>
      </c>
      <c r="E65" s="69">
        <v>46206.666666666664</v>
      </c>
      <c r="F65" s="73" t="s">
        <v>1379</v>
      </c>
      <c r="G65" s="60" t="s">
        <v>1143</v>
      </c>
      <c r="H65" s="60" t="s">
        <v>1144</v>
      </c>
      <c r="I65" s="67" t="s">
        <v>293</v>
      </c>
      <c r="J65" s="79" t="s">
        <v>1145</v>
      </c>
      <c r="K65" s="67" t="s">
        <v>109</v>
      </c>
      <c r="L65" s="79" t="s">
        <v>1146</v>
      </c>
      <c r="M65" s="83" t="s">
        <v>1147</v>
      </c>
      <c r="N65" s="78">
        <v>34519.0</v>
      </c>
      <c r="O65" s="80" t="s">
        <v>48</v>
      </c>
      <c r="P65" s="70" t="s">
        <v>1148</v>
      </c>
      <c r="Q65" s="54"/>
      <c r="R65" s="84"/>
      <c r="S65" s="84"/>
      <c r="T65" s="54"/>
      <c r="U65" s="86"/>
      <c r="V65" s="54"/>
      <c r="W65" s="86"/>
      <c r="X65" s="54"/>
      <c r="Y65" s="78"/>
      <c r="Z65" s="54"/>
      <c r="AA65" s="70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 t="s">
        <v>892</v>
      </c>
      <c r="AM65" s="83"/>
      <c r="AN65" s="83"/>
      <c r="AO65" s="83"/>
      <c r="AP65" s="83"/>
      <c r="AQ65" s="54" t="s">
        <v>1155</v>
      </c>
      <c r="AR65" s="83" t="s">
        <v>1156</v>
      </c>
      <c r="AS65" s="83" t="s">
        <v>1157</v>
      </c>
      <c r="AT65" s="93" t="s">
        <v>1145</v>
      </c>
      <c r="AU65" s="93" t="s">
        <v>1145</v>
      </c>
      <c r="AV65" s="93" t="s">
        <v>1145</v>
      </c>
      <c r="AW65" s="83" t="s">
        <v>1158</v>
      </c>
      <c r="AX65" s="83">
        <v>3.0</v>
      </c>
      <c r="AY65" s="83" t="s">
        <v>1160</v>
      </c>
      <c r="AZ65" s="83" t="s">
        <v>1161</v>
      </c>
      <c r="BA65" s="83" t="s">
        <v>1162</v>
      </c>
      <c r="BB65" s="83" t="s">
        <v>1163</v>
      </c>
      <c r="BC65" s="54" t="s">
        <v>48</v>
      </c>
      <c r="BD65" s="54" t="str">
        <f t="shared" si="1"/>
        <v>San Román</v>
      </c>
      <c r="BE65" s="67" t="s">
        <v>140</v>
      </c>
      <c r="BF65" s="67" t="s">
        <v>141</v>
      </c>
      <c r="BG65" s="67" t="s">
        <v>142</v>
      </c>
      <c r="BH65" s="67"/>
      <c r="BI65" s="67"/>
      <c r="BJ65" s="67"/>
      <c r="BK65" s="67"/>
      <c r="BL65" s="67" t="s">
        <v>147</v>
      </c>
      <c r="BM65" s="67" t="s">
        <v>247</v>
      </c>
      <c r="BN65" s="100">
        <v>89.0</v>
      </c>
      <c r="BO65" s="102" t="s">
        <v>148</v>
      </c>
      <c r="BP65" s="67" t="s">
        <v>141</v>
      </c>
      <c r="BQ65" s="79" t="s">
        <v>141</v>
      </c>
      <c r="BR65" s="67" t="s">
        <v>149</v>
      </c>
      <c r="BS65" s="102">
        <v>1.0</v>
      </c>
      <c r="BT65" s="106"/>
      <c r="BU65" s="107"/>
      <c r="BV65" s="108">
        <f t="shared" si="2"/>
        <v>46203</v>
      </c>
      <c r="BW65" s="108">
        <f t="shared" si="3"/>
        <v>46206</v>
      </c>
      <c r="BX65" s="102" t="str">
        <f t="shared" si="4"/>
        <v>16</v>
      </c>
      <c r="BY65" s="107">
        <f t="shared" si="5"/>
        <v>2</v>
      </c>
      <c r="BZ65" s="107">
        <f t="array" ref="BZ65">IF($A65&lt;&gt;"",INDEX(LISTA!$M$2:$N$27,MATCH($BC65,LISTA!$N$2:$N$27,0),1),"")</f>
        <v>22</v>
      </c>
      <c r="CA65" s="67">
        <f t="shared" si="6"/>
        <v>6</v>
      </c>
      <c r="CB65" s="114" t="str">
        <f t="shared" si="7"/>
        <v/>
      </c>
      <c r="CC65" s="114"/>
    </row>
    <row r="66" ht="15.0" hidden="1" customHeight="1" outlineLevel="1">
      <c r="A66" s="59">
        <v>46203.60282680555</v>
      </c>
      <c r="B66" s="115" t="s">
        <v>377</v>
      </c>
      <c r="C66" s="54" t="s">
        <v>100</v>
      </c>
      <c r="D66" s="56" t="s">
        <v>101</v>
      </c>
      <c r="E66" s="69">
        <v>46204.458333333336</v>
      </c>
      <c r="F66" s="73" t="s">
        <v>1380</v>
      </c>
      <c r="G66" s="60" t="s">
        <v>1219</v>
      </c>
      <c r="H66" s="60" t="s">
        <v>1220</v>
      </c>
      <c r="I66" s="67" t="s">
        <v>293</v>
      </c>
      <c r="J66" s="79" t="s">
        <v>1236</v>
      </c>
      <c r="K66" s="67" t="s">
        <v>109</v>
      </c>
      <c r="L66" s="79" t="s">
        <v>1222</v>
      </c>
      <c r="M66" s="83" t="s">
        <v>1223</v>
      </c>
      <c r="N66" s="78">
        <v>25591.0</v>
      </c>
      <c r="O66" s="80" t="s">
        <v>46</v>
      </c>
      <c r="P66" s="70" t="s">
        <v>1224</v>
      </c>
      <c r="Q66" s="54"/>
      <c r="R66" s="84"/>
      <c r="S66" s="84"/>
      <c r="T66" s="54"/>
      <c r="U66" s="86"/>
      <c r="V66" s="54"/>
      <c r="W66" s="86"/>
      <c r="X66" s="54"/>
      <c r="Y66" s="78"/>
      <c r="Z66" s="54"/>
      <c r="AA66" s="70"/>
      <c r="AB66" s="83"/>
      <c r="AC66" s="83"/>
      <c r="AD66" s="83"/>
      <c r="AE66" s="83"/>
      <c r="AF66" s="83"/>
      <c r="AG66" s="83"/>
      <c r="AH66" s="83"/>
      <c r="AI66" s="83"/>
      <c r="AJ66" s="83"/>
      <c r="AK66" s="83" t="s">
        <v>1232</v>
      </c>
      <c r="AL66" s="83"/>
      <c r="AM66" s="83"/>
      <c r="AN66" s="83"/>
      <c r="AO66" s="83"/>
      <c r="AP66" s="83"/>
      <c r="AQ66" s="54" t="s">
        <v>1233</v>
      </c>
      <c r="AR66" s="83" t="s">
        <v>1234</v>
      </c>
      <c r="AS66" s="83" t="s">
        <v>1235</v>
      </c>
      <c r="AT66" s="93" t="s">
        <v>1236</v>
      </c>
      <c r="AU66" s="93" t="s">
        <v>1236</v>
      </c>
      <c r="AV66" s="93" t="s">
        <v>1236</v>
      </c>
      <c r="AW66" s="83" t="s">
        <v>1237</v>
      </c>
      <c r="AX66" s="83">
        <v>1.0</v>
      </c>
      <c r="AY66" s="83" t="s">
        <v>238</v>
      </c>
      <c r="AZ66" s="83" t="s">
        <v>1238</v>
      </c>
      <c r="BA66" s="83" t="s">
        <v>1239</v>
      </c>
      <c r="BB66" s="83" t="s">
        <v>1240</v>
      </c>
      <c r="BC66" s="54" t="s">
        <v>46</v>
      </c>
      <c r="BD66" s="54" t="str">
        <f t="shared" si="1"/>
        <v>Sullana</v>
      </c>
      <c r="BE66" s="67" t="s">
        <v>140</v>
      </c>
      <c r="BF66" s="67" t="s">
        <v>144</v>
      </c>
      <c r="BG66" s="67" t="s">
        <v>142</v>
      </c>
      <c r="BH66" s="67"/>
      <c r="BI66" s="67"/>
      <c r="BJ66" s="67"/>
      <c r="BK66" s="67"/>
      <c r="BL66" s="67" t="s">
        <v>147</v>
      </c>
      <c r="BM66" s="67" t="s">
        <v>247</v>
      </c>
      <c r="BN66" s="100">
        <v>89.0</v>
      </c>
      <c r="BO66" s="102" t="s">
        <v>148</v>
      </c>
      <c r="BP66" s="67" t="s">
        <v>141</v>
      </c>
      <c r="BQ66" s="79" t="s">
        <v>141</v>
      </c>
      <c r="BR66" s="67" t="s">
        <v>149</v>
      </c>
      <c r="BS66" s="102">
        <v>1.0</v>
      </c>
      <c r="BT66" s="106"/>
      <c r="BU66" s="107"/>
      <c r="BV66" s="108">
        <f t="shared" si="2"/>
        <v>46203</v>
      </c>
      <c r="BW66" s="108">
        <f t="shared" si="3"/>
        <v>46204</v>
      </c>
      <c r="BX66" s="102" t="str">
        <f t="shared" si="4"/>
        <v>11</v>
      </c>
      <c r="BY66" s="107">
        <f t="shared" si="5"/>
        <v>2</v>
      </c>
      <c r="BZ66" s="107">
        <f t="array" ref="BZ66">IF($A66&lt;&gt;"",INDEX(LISTA!$M$2:$N$27,MATCH($BC66,LISTA!$N$2:$N$27,0),1),"")</f>
        <v>21</v>
      </c>
      <c r="CA66" s="67">
        <f t="shared" si="6"/>
        <v>6</v>
      </c>
      <c r="CB66" s="114" t="str">
        <f t="shared" si="7"/>
        <v/>
      </c>
      <c r="CC66" s="114"/>
    </row>
    <row r="67" ht="15.0" hidden="1" customHeight="1" outlineLevel="1">
      <c r="A67" s="59">
        <v>46203.46579671296</v>
      </c>
      <c r="B67" s="115" t="s">
        <v>404</v>
      </c>
      <c r="C67" s="54" t="s">
        <v>100</v>
      </c>
      <c r="D67" s="56" t="s">
        <v>101</v>
      </c>
      <c r="E67" s="69">
        <v>46206.583333333336</v>
      </c>
      <c r="F67" s="73" t="s">
        <v>1381</v>
      </c>
      <c r="G67" s="60" t="s">
        <v>1174</v>
      </c>
      <c r="H67" s="60" t="s">
        <v>1175</v>
      </c>
      <c r="I67" s="67" t="s">
        <v>192</v>
      </c>
      <c r="J67" s="79" t="s">
        <v>1176</v>
      </c>
      <c r="K67" s="67" t="s">
        <v>109</v>
      </c>
      <c r="L67" s="79" t="s">
        <v>1177</v>
      </c>
      <c r="M67" s="83" t="s">
        <v>1178</v>
      </c>
      <c r="N67" s="78">
        <v>33773.0</v>
      </c>
      <c r="O67" s="80" t="s">
        <v>30</v>
      </c>
      <c r="P67" s="70" t="s">
        <v>1179</v>
      </c>
      <c r="Q67" s="54"/>
      <c r="R67" s="84"/>
      <c r="S67" s="84"/>
      <c r="T67" s="54"/>
      <c r="U67" s="86"/>
      <c r="V67" s="54"/>
      <c r="W67" s="86"/>
      <c r="X67" s="54"/>
      <c r="Y67" s="78"/>
      <c r="Z67" s="54"/>
      <c r="AA67" s="70"/>
      <c r="AB67" s="83"/>
      <c r="AC67" s="83"/>
      <c r="AD67" s="83"/>
      <c r="AE67" s="83"/>
      <c r="AF67" s="83" t="s">
        <v>165</v>
      </c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54" t="s">
        <v>1180</v>
      </c>
      <c r="AR67" s="83" t="s">
        <v>1181</v>
      </c>
      <c r="AS67" s="83" t="s">
        <v>1182</v>
      </c>
      <c r="AT67" s="93" t="s">
        <v>1176</v>
      </c>
      <c r="AU67" s="93" t="s">
        <v>1176</v>
      </c>
      <c r="AV67" s="93" t="s">
        <v>1176</v>
      </c>
      <c r="AW67" s="83" t="s">
        <v>1183</v>
      </c>
      <c r="AX67" s="83">
        <v>1.0</v>
      </c>
      <c r="AY67" s="83" t="s">
        <v>238</v>
      </c>
      <c r="AZ67" s="83" t="s">
        <v>1185</v>
      </c>
      <c r="BA67" s="83" t="s">
        <v>1187</v>
      </c>
      <c r="BB67" s="83" t="s">
        <v>1189</v>
      </c>
      <c r="BC67" s="54" t="s">
        <v>41</v>
      </c>
      <c r="BD67" s="54" t="str">
        <f t="shared" si="1"/>
        <v>San Martín de Porres</v>
      </c>
      <c r="BE67" s="67" t="s">
        <v>140</v>
      </c>
      <c r="BF67" s="67" t="s">
        <v>144</v>
      </c>
      <c r="BG67" s="67" t="s">
        <v>142</v>
      </c>
      <c r="BH67" s="67"/>
      <c r="BI67" s="67"/>
      <c r="BJ67" s="67"/>
      <c r="BK67" s="67"/>
      <c r="BL67" s="67" t="s">
        <v>147</v>
      </c>
      <c r="BM67" s="67" t="s">
        <v>247</v>
      </c>
      <c r="BN67" s="100">
        <v>89.0</v>
      </c>
      <c r="BO67" s="102" t="s">
        <v>148</v>
      </c>
      <c r="BP67" s="67" t="s">
        <v>141</v>
      </c>
      <c r="BQ67" s="79" t="s">
        <v>141</v>
      </c>
      <c r="BR67" s="67" t="s">
        <v>149</v>
      </c>
      <c r="BS67" s="102">
        <v>1.0</v>
      </c>
      <c r="BT67" s="106"/>
      <c r="BU67" s="107"/>
      <c r="BV67" s="108">
        <f t="shared" si="2"/>
        <v>46203</v>
      </c>
      <c r="BW67" s="108">
        <f t="shared" si="3"/>
        <v>46206</v>
      </c>
      <c r="BX67" s="102" t="str">
        <f t="shared" si="4"/>
        <v>14</v>
      </c>
      <c r="BY67" s="107">
        <f t="shared" si="5"/>
        <v>2</v>
      </c>
      <c r="BZ67" s="107">
        <f t="array" ref="BZ67">IF($A67&lt;&gt;"",INDEX(LISTA!$M$2:$N$27,MATCH($BC67,LISTA!$N$2:$N$27,0),1),"")</f>
        <v>1</v>
      </c>
      <c r="CA67" s="67">
        <f t="shared" si="6"/>
        <v>6</v>
      </c>
      <c r="CB67" s="114" t="str">
        <f t="shared" si="7"/>
        <v/>
      </c>
      <c r="CC67" s="114"/>
    </row>
    <row r="68" ht="15.0" hidden="1" customHeight="1" outlineLevel="1">
      <c r="A68" s="59">
        <v>46200.71977827547</v>
      </c>
      <c r="B68" s="115" t="s">
        <v>383</v>
      </c>
      <c r="C68" s="54" t="s">
        <v>100</v>
      </c>
      <c r="D68" s="56" t="s">
        <v>101</v>
      </c>
      <c r="E68" s="69">
        <v>46202.458333333336</v>
      </c>
      <c r="F68" s="73" t="s">
        <v>965</v>
      </c>
      <c r="G68" s="60" t="s">
        <v>966</v>
      </c>
      <c r="H68" s="60" t="s">
        <v>967</v>
      </c>
      <c r="I68" s="67" t="s">
        <v>355</v>
      </c>
      <c r="J68" s="79" t="s">
        <v>968</v>
      </c>
      <c r="K68" s="67" t="s">
        <v>109</v>
      </c>
      <c r="L68" s="79" t="s">
        <v>969</v>
      </c>
      <c r="M68" s="83" t="s">
        <v>970</v>
      </c>
      <c r="N68" s="78">
        <v>35732.0</v>
      </c>
      <c r="O68" s="80" t="s">
        <v>41</v>
      </c>
      <c r="P68" s="70" t="s">
        <v>971</v>
      </c>
      <c r="Q68" s="54"/>
      <c r="R68" s="84"/>
      <c r="S68" s="84"/>
      <c r="T68" s="54"/>
      <c r="U68" s="86"/>
      <c r="V68" s="54"/>
      <c r="W68" s="86"/>
      <c r="X68" s="54"/>
      <c r="Y68" s="78"/>
      <c r="Z68" s="54"/>
      <c r="AA68" s="70"/>
      <c r="AB68" s="83"/>
      <c r="AC68" s="83"/>
      <c r="AD68" s="83"/>
      <c r="AE68" s="83"/>
      <c r="AF68" s="83" t="s">
        <v>972</v>
      </c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54" t="s">
        <v>973</v>
      </c>
      <c r="AR68" s="83" t="s">
        <v>974</v>
      </c>
      <c r="AS68" s="83" t="s">
        <v>975</v>
      </c>
      <c r="AT68" s="93" t="s">
        <v>968</v>
      </c>
      <c r="AU68" s="93" t="s">
        <v>968</v>
      </c>
      <c r="AV68" s="93" t="s">
        <v>968</v>
      </c>
      <c r="AW68" s="83" t="s">
        <v>976</v>
      </c>
      <c r="AX68" s="83">
        <v>4.0</v>
      </c>
      <c r="AY68" s="83">
        <v>5.0</v>
      </c>
      <c r="AZ68" s="83" t="s">
        <v>977</v>
      </c>
      <c r="BA68" s="83" t="s">
        <v>978</v>
      </c>
      <c r="BB68" s="83" t="s">
        <v>979</v>
      </c>
      <c r="BC68" s="54" t="s">
        <v>41</v>
      </c>
      <c r="BD68" s="54" t="str">
        <f t="shared" si="1"/>
        <v>San Juan de Lurigancho</v>
      </c>
      <c r="BE68" s="67" t="s">
        <v>143</v>
      </c>
      <c r="BF68" s="67" t="s">
        <v>141</v>
      </c>
      <c r="BG68" s="67" t="s">
        <v>142</v>
      </c>
      <c r="BH68" s="67"/>
      <c r="BI68" s="67"/>
      <c r="BJ68" s="67"/>
      <c r="BK68" s="67"/>
      <c r="BL68" s="67" t="s">
        <v>147</v>
      </c>
      <c r="BM68" s="67" t="s">
        <v>146</v>
      </c>
      <c r="BN68" s="100">
        <v>89.0</v>
      </c>
      <c r="BO68" s="102" t="s">
        <v>148</v>
      </c>
      <c r="BP68" s="67" t="s">
        <v>141</v>
      </c>
      <c r="BQ68" s="79" t="s">
        <v>141</v>
      </c>
      <c r="BR68" s="67" t="s">
        <v>149</v>
      </c>
      <c r="BS68" s="102" t="s">
        <v>149</v>
      </c>
      <c r="BT68" s="106"/>
      <c r="BU68" s="107"/>
      <c r="BV68" s="108">
        <f t="shared" si="2"/>
        <v>46200</v>
      </c>
      <c r="BW68" s="108">
        <f t="shared" si="3"/>
        <v>46202</v>
      </c>
      <c r="BX68" s="102" t="str">
        <f t="shared" si="4"/>
        <v>11</v>
      </c>
      <c r="BY68" s="107">
        <f t="shared" si="5"/>
        <v>2</v>
      </c>
      <c r="BZ68" s="107">
        <f t="array" ref="BZ68">IF($A68&lt;&gt;"",INDEX(LISTA!$M$2:$N$27,MATCH($BC68,LISTA!$N$2:$N$27,0),1),"")</f>
        <v>1</v>
      </c>
      <c r="CA68" s="67">
        <f t="shared" si="6"/>
        <v>6</v>
      </c>
      <c r="CB68" s="114" t="str">
        <f t="shared" si="7"/>
        <v/>
      </c>
      <c r="CC68" s="114"/>
    </row>
    <row r="69" ht="15.0" hidden="1" customHeight="1" outlineLevel="1">
      <c r="A69" s="59">
        <v>46188.458628622684</v>
      </c>
      <c r="B69" s="115" t="s">
        <v>391</v>
      </c>
      <c r="C69" s="54" t="s">
        <v>100</v>
      </c>
      <c r="D69" s="56" t="s">
        <v>101</v>
      </c>
      <c r="E69" s="69">
        <v>46190.375</v>
      </c>
      <c r="F69" s="73" t="s">
        <v>1049</v>
      </c>
      <c r="G69" s="60" t="s">
        <v>1050</v>
      </c>
      <c r="H69" s="60" t="s">
        <v>1051</v>
      </c>
      <c r="I69" s="67" t="s">
        <v>192</v>
      </c>
      <c r="J69" s="79" t="s">
        <v>1052</v>
      </c>
      <c r="K69" s="67" t="s">
        <v>109</v>
      </c>
      <c r="L69" s="79" t="s">
        <v>1053</v>
      </c>
      <c r="M69" s="83" t="s">
        <v>1054</v>
      </c>
      <c r="N69" s="78">
        <v>30630.0</v>
      </c>
      <c r="O69" s="80" t="s">
        <v>37</v>
      </c>
      <c r="P69" s="70" t="s">
        <v>1055</v>
      </c>
      <c r="Q69" s="54"/>
      <c r="R69" s="84"/>
      <c r="S69" s="84"/>
      <c r="T69" s="54"/>
      <c r="U69" s="86"/>
      <c r="V69" s="54"/>
      <c r="W69" s="86"/>
      <c r="X69" s="54"/>
      <c r="Y69" s="78"/>
      <c r="Z69" s="54"/>
      <c r="AA69" s="70"/>
      <c r="AB69" s="83"/>
      <c r="AC69" s="83"/>
      <c r="AD69" s="83"/>
      <c r="AE69" s="83"/>
      <c r="AF69" s="83" t="s">
        <v>1056</v>
      </c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54" t="s">
        <v>1057</v>
      </c>
      <c r="AR69" s="83" t="s">
        <v>1058</v>
      </c>
      <c r="AS69" s="83" t="s">
        <v>1059</v>
      </c>
      <c r="AT69" s="93" t="s">
        <v>1052</v>
      </c>
      <c r="AU69" s="93" t="s">
        <v>1052</v>
      </c>
      <c r="AV69" s="93" t="s">
        <v>1052</v>
      </c>
      <c r="AW69" s="83" t="s">
        <v>1060</v>
      </c>
      <c r="AX69" s="83">
        <v>5.0</v>
      </c>
      <c r="AY69" s="83">
        <v>501.0</v>
      </c>
      <c r="AZ69" s="83" t="s">
        <v>1061</v>
      </c>
      <c r="BA69" s="83" t="s">
        <v>1063</v>
      </c>
      <c r="BB69" s="83" t="s">
        <v>1064</v>
      </c>
      <c r="BC69" s="54" t="s">
        <v>41</v>
      </c>
      <c r="BD69" s="54" t="str">
        <f t="shared" si="1"/>
        <v>San Borja</v>
      </c>
      <c r="BE69" s="67" t="s">
        <v>140</v>
      </c>
      <c r="BF69" s="67" t="s">
        <v>141</v>
      </c>
      <c r="BG69" s="67" t="s">
        <v>142</v>
      </c>
      <c r="BH69" s="67"/>
      <c r="BI69" s="67"/>
      <c r="BJ69" s="67"/>
      <c r="BK69" s="67"/>
      <c r="BL69" s="67" t="s">
        <v>213</v>
      </c>
      <c r="BM69" s="67" t="s">
        <v>214</v>
      </c>
      <c r="BN69" s="100">
        <v>110.0</v>
      </c>
      <c r="BO69" s="102" t="s">
        <v>148</v>
      </c>
      <c r="BP69" s="67" t="s">
        <v>144</v>
      </c>
      <c r="BQ69" s="79" t="s">
        <v>141</v>
      </c>
      <c r="BR69" s="67" t="s">
        <v>149</v>
      </c>
      <c r="BS69" s="102">
        <v>1.0</v>
      </c>
      <c r="BT69" s="106"/>
      <c r="BU69" s="107"/>
      <c r="BV69" s="108">
        <f t="shared" si="2"/>
        <v>46188</v>
      </c>
      <c r="BW69" s="108">
        <f t="shared" si="3"/>
        <v>46190</v>
      </c>
      <c r="BX69" s="102" t="str">
        <f t="shared" si="4"/>
        <v>09</v>
      </c>
      <c r="BY69" s="107">
        <f t="shared" si="5"/>
        <v>2</v>
      </c>
      <c r="BZ69" s="107">
        <f t="array" ref="BZ69">IF($A69&lt;&gt;"",INDEX(LISTA!$M$2:$N$27,MATCH($BC69,LISTA!$N$2:$N$27,0),1),"")</f>
        <v>1</v>
      </c>
      <c r="CA69" s="67">
        <f t="shared" si="6"/>
        <v>6</v>
      </c>
      <c r="CB69" s="114" t="str">
        <f t="shared" si="7"/>
        <v/>
      </c>
      <c r="CC69" s="114"/>
    </row>
    <row r="70" ht="15.0" hidden="1" customHeight="1" outlineLevel="1">
      <c r="A70" s="59">
        <v>46192.563471608795</v>
      </c>
      <c r="B70" s="115" t="s">
        <v>408</v>
      </c>
      <c r="C70" s="54" t="s">
        <v>100</v>
      </c>
      <c r="D70" s="56" t="s">
        <v>150</v>
      </c>
      <c r="E70" s="69">
        <v>46196.541666666664</v>
      </c>
      <c r="F70" s="73" t="s">
        <v>829</v>
      </c>
      <c r="G70" s="60" t="s">
        <v>831</v>
      </c>
      <c r="H70" s="60" t="s">
        <v>832</v>
      </c>
      <c r="I70" s="67" t="s">
        <v>360</v>
      </c>
      <c r="J70" s="79" t="s">
        <v>833</v>
      </c>
      <c r="K70" s="67" t="s">
        <v>109</v>
      </c>
      <c r="L70" s="79" t="s">
        <v>834</v>
      </c>
      <c r="M70" s="83" t="s">
        <v>835</v>
      </c>
      <c r="N70" s="78">
        <v>35028.0</v>
      </c>
      <c r="O70" s="80" t="s">
        <v>39</v>
      </c>
      <c r="P70" s="70" t="s">
        <v>836</v>
      </c>
      <c r="Q70" s="54"/>
      <c r="R70" s="84"/>
      <c r="S70" s="84"/>
      <c r="T70" s="54"/>
      <c r="U70" s="86"/>
      <c r="V70" s="54"/>
      <c r="W70" s="86"/>
      <c r="X70" s="54"/>
      <c r="Y70" s="78"/>
      <c r="Z70" s="54"/>
      <c r="AA70" s="70"/>
      <c r="AB70" s="83"/>
      <c r="AC70" s="83" t="s">
        <v>840</v>
      </c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54" t="s">
        <v>845</v>
      </c>
      <c r="AR70" s="83" t="s">
        <v>846</v>
      </c>
      <c r="AS70" s="83" t="s">
        <v>847</v>
      </c>
      <c r="AT70" s="93" t="s">
        <v>833</v>
      </c>
      <c r="AU70" s="93" t="s">
        <v>833</v>
      </c>
      <c r="AV70" s="93" t="s">
        <v>833</v>
      </c>
      <c r="AW70" s="83" t="s">
        <v>848</v>
      </c>
      <c r="AX70" s="83">
        <v>3.0</v>
      </c>
      <c r="AY70" s="83" t="s">
        <v>849</v>
      </c>
      <c r="AZ70" s="83" t="s">
        <v>850</v>
      </c>
      <c r="BA70" s="83" t="s">
        <v>851</v>
      </c>
      <c r="BB70" s="83" t="s">
        <v>852</v>
      </c>
      <c r="BC70" s="54" t="s">
        <v>39</v>
      </c>
      <c r="BD70" s="54" t="str">
        <f t="shared" si="1"/>
        <v>Sánchez Carrión</v>
      </c>
      <c r="BE70" s="67" t="s">
        <v>140</v>
      </c>
      <c r="BF70" s="67" t="s">
        <v>141</v>
      </c>
      <c r="BG70" s="67" t="s">
        <v>142</v>
      </c>
      <c r="BH70" s="67"/>
      <c r="BI70" s="67"/>
      <c r="BJ70" s="67"/>
      <c r="BK70" s="67"/>
      <c r="BL70" s="67" t="s">
        <v>147</v>
      </c>
      <c r="BM70" s="67" t="s">
        <v>146</v>
      </c>
      <c r="BN70" s="100">
        <v>89.0</v>
      </c>
      <c r="BO70" s="102" t="s">
        <v>148</v>
      </c>
      <c r="BP70" s="67" t="s">
        <v>144</v>
      </c>
      <c r="BQ70" s="79" t="s">
        <v>141</v>
      </c>
      <c r="BR70" s="67">
        <v>1.0</v>
      </c>
      <c r="BS70" s="102" t="s">
        <v>149</v>
      </c>
      <c r="BT70" s="106"/>
      <c r="BU70" s="107"/>
      <c r="BV70" s="108">
        <f t="shared" si="2"/>
        <v>46192</v>
      </c>
      <c r="BW70" s="108">
        <f t="shared" si="3"/>
        <v>46196</v>
      </c>
      <c r="BX70" s="102" t="str">
        <f t="shared" si="4"/>
        <v>13</v>
      </c>
      <c r="BY70" s="107">
        <f t="shared" si="5"/>
        <v>2</v>
      </c>
      <c r="BZ70" s="107">
        <f t="array" ref="BZ70">IF($A70&lt;&gt;"",INDEX(LISTA!$M$2:$N$27,MATCH($BC70,LISTA!$N$2:$N$27,0),1),"")</f>
        <v>15</v>
      </c>
      <c r="CA70" s="67">
        <f t="shared" si="6"/>
        <v>6</v>
      </c>
      <c r="CB70" s="114" t="str">
        <f t="shared" si="7"/>
        <v/>
      </c>
      <c r="CC70" s="114"/>
    </row>
    <row r="71" ht="15.0" hidden="1" customHeight="1" outlineLevel="1">
      <c r="A71" s="59">
        <v>46200.640805891206</v>
      </c>
      <c r="B71" s="115" t="s">
        <v>408</v>
      </c>
      <c r="C71" s="54" t="s">
        <v>100</v>
      </c>
      <c r="D71" s="56" t="s">
        <v>101</v>
      </c>
      <c r="E71" s="69">
        <v>46203.666666666664</v>
      </c>
      <c r="F71" s="73" t="s">
        <v>857</v>
      </c>
      <c r="G71" s="60" t="s">
        <v>858</v>
      </c>
      <c r="H71" s="60" t="s">
        <v>859</v>
      </c>
      <c r="I71" s="67" t="s">
        <v>107</v>
      </c>
      <c r="J71" s="79" t="s">
        <v>860</v>
      </c>
      <c r="K71" s="67" t="s">
        <v>109</v>
      </c>
      <c r="L71" s="79" t="s">
        <v>862</v>
      </c>
      <c r="M71" s="83" t="s">
        <v>863</v>
      </c>
      <c r="N71" s="78">
        <v>35617.0</v>
      </c>
      <c r="O71" s="80" t="s">
        <v>50</v>
      </c>
      <c r="P71" s="70" t="s">
        <v>865</v>
      </c>
      <c r="Q71" s="54"/>
      <c r="R71" s="84"/>
      <c r="S71" s="84"/>
      <c r="T71" s="54"/>
      <c r="U71" s="86"/>
      <c r="V71" s="54"/>
      <c r="W71" s="86"/>
      <c r="X71" s="54"/>
      <c r="Y71" s="78"/>
      <c r="Z71" s="54"/>
      <c r="AA71" s="70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 t="s">
        <v>866</v>
      </c>
      <c r="AO71" s="83"/>
      <c r="AP71" s="83"/>
      <c r="AQ71" s="54" t="s">
        <v>867</v>
      </c>
      <c r="AR71" s="83" t="s">
        <v>868</v>
      </c>
      <c r="AS71" s="83" t="s">
        <v>869</v>
      </c>
      <c r="AT71" s="93" t="s">
        <v>860</v>
      </c>
      <c r="AU71" s="93" t="s">
        <v>860</v>
      </c>
      <c r="AV71" s="93" t="s">
        <v>860</v>
      </c>
      <c r="AW71" s="83" t="s">
        <v>870</v>
      </c>
      <c r="AX71" s="83">
        <v>1.0</v>
      </c>
      <c r="AY71" s="83">
        <v>1.0</v>
      </c>
      <c r="AZ71" s="83" t="s">
        <v>871</v>
      </c>
      <c r="BA71" s="83" t="s">
        <v>872</v>
      </c>
      <c r="BB71" s="83" t="s">
        <v>873</v>
      </c>
      <c r="BC71" s="54" t="s">
        <v>50</v>
      </c>
      <c r="BD71" s="54" t="str">
        <f t="shared" si="1"/>
        <v>Tacna</v>
      </c>
      <c r="BE71" s="67" t="s">
        <v>140</v>
      </c>
      <c r="BF71" s="67" t="s">
        <v>141</v>
      </c>
      <c r="BG71" s="67" t="s">
        <v>142</v>
      </c>
      <c r="BH71" s="67"/>
      <c r="BI71" s="67"/>
      <c r="BJ71" s="67"/>
      <c r="BK71" s="67"/>
      <c r="BL71" s="67" t="s">
        <v>213</v>
      </c>
      <c r="BM71" s="67" t="s">
        <v>146</v>
      </c>
      <c r="BN71" s="100">
        <v>110.0</v>
      </c>
      <c r="BO71" s="102" t="s">
        <v>878</v>
      </c>
      <c r="BP71" s="67" t="s">
        <v>144</v>
      </c>
      <c r="BQ71" s="79" t="s">
        <v>141</v>
      </c>
      <c r="BR71" s="67" t="s">
        <v>149</v>
      </c>
      <c r="BS71" s="102">
        <v>1.0</v>
      </c>
      <c r="BT71" s="106"/>
      <c r="BU71" s="107"/>
      <c r="BV71" s="108">
        <f t="shared" si="2"/>
        <v>46200</v>
      </c>
      <c r="BW71" s="108">
        <f t="shared" si="3"/>
        <v>46203</v>
      </c>
      <c r="BX71" s="102" t="str">
        <f t="shared" si="4"/>
        <v>16</v>
      </c>
      <c r="BY71" s="107">
        <f t="shared" si="5"/>
        <v>2</v>
      </c>
      <c r="BZ71" s="107">
        <f t="array" ref="BZ71">IF($A71&lt;&gt;"",INDEX(LISTA!$M$2:$N$27,MATCH($BC71,LISTA!$N$2:$N$27,0),1),"")</f>
        <v>24</v>
      </c>
      <c r="CA71" s="67">
        <f t="shared" si="6"/>
        <v>6</v>
      </c>
      <c r="CB71" s="114" t="str">
        <f t="shared" si="7"/>
        <v/>
      </c>
      <c r="CC71" s="114"/>
    </row>
    <row r="72" ht="15.0" hidden="1" customHeight="1" outlineLevel="1">
      <c r="A72" s="59">
        <v>46186.66550831019</v>
      </c>
      <c r="B72" s="115" t="s">
        <v>339</v>
      </c>
      <c r="C72" s="54" t="s">
        <v>100</v>
      </c>
      <c r="D72" s="56" t="s">
        <v>150</v>
      </c>
      <c r="E72" s="69">
        <v>46190.458333333336</v>
      </c>
      <c r="F72" s="73" t="s">
        <v>1383</v>
      </c>
      <c r="G72" s="60" t="s">
        <v>1384</v>
      </c>
      <c r="H72" s="60" t="s">
        <v>1385</v>
      </c>
      <c r="I72" s="67" t="s">
        <v>107</v>
      </c>
      <c r="J72" s="79" t="s">
        <v>1386</v>
      </c>
      <c r="K72" s="67" t="s">
        <v>109</v>
      </c>
      <c r="L72" s="79" t="s">
        <v>1387</v>
      </c>
      <c r="M72" s="83" t="s">
        <v>1388</v>
      </c>
      <c r="N72" s="78">
        <v>32672.0</v>
      </c>
      <c r="O72" s="80" t="s">
        <v>37</v>
      </c>
      <c r="P72" s="70" t="s">
        <v>550</v>
      </c>
      <c r="Q72" s="54"/>
      <c r="R72" s="84"/>
      <c r="S72" s="84"/>
      <c r="T72" s="54"/>
      <c r="U72" s="86"/>
      <c r="V72" s="54"/>
      <c r="W72" s="86"/>
      <c r="X72" s="54"/>
      <c r="Y72" s="78"/>
      <c r="Z72" s="54"/>
      <c r="AA72" s="70"/>
      <c r="AB72" s="83"/>
      <c r="AC72" s="83"/>
      <c r="AD72" s="83"/>
      <c r="AE72" s="83"/>
      <c r="AF72" s="83" t="s">
        <v>1355</v>
      </c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54" t="s">
        <v>837</v>
      </c>
      <c r="AR72" s="83" t="s">
        <v>1389</v>
      </c>
      <c r="AS72" s="83" t="s">
        <v>1390</v>
      </c>
      <c r="AT72" s="93" t="s">
        <v>1386</v>
      </c>
      <c r="AU72" s="93" t="s">
        <v>1386</v>
      </c>
      <c r="AV72" s="93" t="s">
        <v>1386</v>
      </c>
      <c r="AW72" s="83" t="s">
        <v>1391</v>
      </c>
      <c r="AX72" s="83">
        <v>3.0</v>
      </c>
      <c r="AY72" s="83">
        <v>1.0</v>
      </c>
      <c r="AZ72" s="83" t="s">
        <v>1392</v>
      </c>
      <c r="BA72" s="83" t="s">
        <v>1393</v>
      </c>
      <c r="BB72" s="83" t="s">
        <v>1394</v>
      </c>
      <c r="BC72" s="54" t="s">
        <v>41</v>
      </c>
      <c r="BD72" s="54" t="str">
        <f t="shared" si="1"/>
        <v>Villa María del Triunfo</v>
      </c>
      <c r="BE72" s="67" t="s">
        <v>140</v>
      </c>
      <c r="BF72" s="67" t="s">
        <v>144</v>
      </c>
      <c r="BG72" s="67" t="s">
        <v>142</v>
      </c>
      <c r="BH72" s="67"/>
      <c r="BI72" s="67"/>
      <c r="BJ72" s="67"/>
      <c r="BK72" s="67"/>
      <c r="BL72" s="67" t="s">
        <v>147</v>
      </c>
      <c r="BM72" s="67" t="s">
        <v>146</v>
      </c>
      <c r="BN72" s="100">
        <v>89.0</v>
      </c>
      <c r="BO72" s="102" t="s">
        <v>148</v>
      </c>
      <c r="BP72" s="67" t="s">
        <v>141</v>
      </c>
      <c r="BQ72" s="79" t="s">
        <v>141</v>
      </c>
      <c r="BR72" s="67" t="s">
        <v>149</v>
      </c>
      <c r="BS72" s="102">
        <v>1.0</v>
      </c>
      <c r="BT72" s="106"/>
      <c r="BU72" s="107"/>
      <c r="BV72" s="108">
        <f t="shared" si="2"/>
        <v>46186</v>
      </c>
      <c r="BW72" s="108">
        <f t="shared" si="3"/>
        <v>46190</v>
      </c>
      <c r="BX72" s="102" t="str">
        <f t="shared" si="4"/>
        <v>11</v>
      </c>
      <c r="BY72" s="107">
        <f t="shared" si="5"/>
        <v>0</v>
      </c>
      <c r="BZ72" s="107">
        <f t="array" ref="BZ72">IF($A72&lt;&gt;"",INDEX(LISTA!$M$2:$N$27,MATCH($BC72,LISTA!$N$2:$N$27,0),1),"")</f>
        <v>1</v>
      </c>
      <c r="CA72" s="67">
        <f t="shared" si="6"/>
        <v>6</v>
      </c>
      <c r="CB72" s="114" t="str">
        <f t="shared" si="7"/>
        <v/>
      </c>
      <c r="CC72" s="114"/>
    </row>
    <row r="73" ht="15.0" hidden="1" customHeight="1" outlineLevel="1">
      <c r="A73" s="59">
        <v>46190.791989571764</v>
      </c>
      <c r="B73" s="115" t="s">
        <v>339</v>
      </c>
      <c r="C73" s="54" t="s">
        <v>100</v>
      </c>
      <c r="D73" s="56" t="s">
        <v>101</v>
      </c>
      <c r="E73" s="69">
        <v>46192.583333333336</v>
      </c>
      <c r="F73" s="73" t="s">
        <v>1395</v>
      </c>
      <c r="G73" s="60" t="s">
        <v>1396</v>
      </c>
      <c r="H73" s="60" t="s">
        <v>1397</v>
      </c>
      <c r="I73" s="67" t="s">
        <v>107</v>
      </c>
      <c r="J73" s="79" t="s">
        <v>1398</v>
      </c>
      <c r="K73" s="67" t="s">
        <v>109</v>
      </c>
      <c r="L73" s="79" t="s">
        <v>1399</v>
      </c>
      <c r="M73" s="83" t="s">
        <v>1400</v>
      </c>
      <c r="N73" s="78">
        <v>20595.0</v>
      </c>
      <c r="O73" s="80" t="s">
        <v>39</v>
      </c>
      <c r="P73" s="70" t="s">
        <v>1401</v>
      </c>
      <c r="Q73" s="54"/>
      <c r="R73" s="84" t="s">
        <v>1284</v>
      </c>
      <c r="S73" s="84"/>
      <c r="T73" s="54"/>
      <c r="U73" s="86"/>
      <c r="V73" s="54"/>
      <c r="W73" s="86"/>
      <c r="X73" s="54"/>
      <c r="Y73" s="78"/>
      <c r="Z73" s="54"/>
      <c r="AA73" s="70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54" t="s">
        <v>315</v>
      </c>
      <c r="AR73" s="83" t="s">
        <v>1402</v>
      </c>
      <c r="AS73" s="83" t="s">
        <v>1403</v>
      </c>
      <c r="AT73" s="93" t="s">
        <v>1398</v>
      </c>
      <c r="AU73" s="93" t="s">
        <v>1398</v>
      </c>
      <c r="AV73" s="93" t="s">
        <v>1398</v>
      </c>
      <c r="AW73" s="83" t="s">
        <v>1404</v>
      </c>
      <c r="AX73" s="83">
        <v>1.0</v>
      </c>
      <c r="AY73" s="83">
        <v>1.0</v>
      </c>
      <c r="AZ73" s="83" t="s">
        <v>1405</v>
      </c>
      <c r="BA73" s="83" t="s">
        <v>1406</v>
      </c>
      <c r="BB73" s="83" t="s">
        <v>1407</v>
      </c>
      <c r="BC73" s="54" t="s">
        <v>24</v>
      </c>
      <c r="BD73" s="54" t="str">
        <f t="shared" si="1"/>
        <v>Santa</v>
      </c>
      <c r="BE73" s="67" t="s">
        <v>140</v>
      </c>
      <c r="BF73" s="67" t="s">
        <v>141</v>
      </c>
      <c r="BG73" s="67" t="s">
        <v>142</v>
      </c>
      <c r="BH73" s="67"/>
      <c r="BI73" s="67"/>
      <c r="BJ73" s="67"/>
      <c r="BK73" s="67"/>
      <c r="BL73" s="67" t="s">
        <v>145</v>
      </c>
      <c r="BM73" s="67" t="s">
        <v>146</v>
      </c>
      <c r="BN73" s="100">
        <v>170.0</v>
      </c>
      <c r="BO73" s="102" t="s">
        <v>148</v>
      </c>
      <c r="BP73" s="67" t="s">
        <v>144</v>
      </c>
      <c r="BQ73" s="79" t="s">
        <v>141</v>
      </c>
      <c r="BR73" s="67">
        <v>2.0</v>
      </c>
      <c r="BS73" s="102">
        <v>1.0</v>
      </c>
      <c r="BT73" s="106"/>
      <c r="BU73" s="107"/>
      <c r="BV73" s="108">
        <f t="shared" si="2"/>
        <v>46190</v>
      </c>
      <c r="BW73" s="108">
        <f t="shared" si="3"/>
        <v>46192</v>
      </c>
      <c r="BX73" s="102" t="str">
        <f t="shared" si="4"/>
        <v>14</v>
      </c>
      <c r="BY73" s="107">
        <f t="shared" si="5"/>
        <v>0</v>
      </c>
      <c r="BZ73" s="107">
        <f t="array" ref="BZ73">IF($A73&lt;&gt;"",INDEX(LISTA!$M$2:$N$27,MATCH($BC73,LISTA!$N$2:$N$27,0),1),"")</f>
        <v>5</v>
      </c>
      <c r="CA73" s="67">
        <f t="shared" si="6"/>
        <v>6</v>
      </c>
      <c r="CB73" s="114" t="str">
        <f t="shared" si="7"/>
        <v/>
      </c>
      <c r="CC73" s="114"/>
    </row>
    <row r="74" ht="15.0" hidden="1" customHeight="1" outlineLevel="1">
      <c r="A74" s="59">
        <v>46192.52587575231</v>
      </c>
      <c r="B74" s="115" t="s">
        <v>339</v>
      </c>
      <c r="C74" s="54" t="s">
        <v>100</v>
      </c>
      <c r="D74" s="56" t="s">
        <v>150</v>
      </c>
      <c r="E74" s="69">
        <v>46193.458333333336</v>
      </c>
      <c r="F74" s="73" t="s">
        <v>1409</v>
      </c>
      <c r="G74" s="60" t="s">
        <v>1410</v>
      </c>
      <c r="H74" s="60" t="s">
        <v>1411</v>
      </c>
      <c r="I74" s="67" t="s">
        <v>192</v>
      </c>
      <c r="J74" s="79" t="s">
        <v>1412</v>
      </c>
      <c r="K74" s="67" t="s">
        <v>109</v>
      </c>
      <c r="L74" s="79" t="s">
        <v>1413</v>
      </c>
      <c r="M74" s="83" t="s">
        <v>1414</v>
      </c>
      <c r="N74" s="78">
        <v>26505.0</v>
      </c>
      <c r="O74" s="80" t="s">
        <v>37</v>
      </c>
      <c r="P74" s="70" t="s">
        <v>228</v>
      </c>
      <c r="Q74" s="54"/>
      <c r="R74" s="84"/>
      <c r="S74" s="84"/>
      <c r="T74" s="54"/>
      <c r="U74" s="86"/>
      <c r="V74" s="54"/>
      <c r="W74" s="86"/>
      <c r="X74" s="54"/>
      <c r="Y74" s="78"/>
      <c r="Z74" s="54"/>
      <c r="AA74" s="70"/>
      <c r="AB74" s="83"/>
      <c r="AC74" s="83"/>
      <c r="AD74" s="83"/>
      <c r="AE74" s="83"/>
      <c r="AF74" s="83" t="s">
        <v>1415</v>
      </c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54" t="s">
        <v>1416</v>
      </c>
      <c r="AR74" s="83" t="s">
        <v>1417</v>
      </c>
      <c r="AS74" s="83" t="s">
        <v>1418</v>
      </c>
      <c r="AT74" s="93" t="s">
        <v>1412</v>
      </c>
      <c r="AU74" s="93" t="s">
        <v>1412</v>
      </c>
      <c r="AV74" s="93" t="s">
        <v>1412</v>
      </c>
      <c r="AW74" s="83" t="s">
        <v>1419</v>
      </c>
      <c r="AX74" s="83">
        <v>8.0</v>
      </c>
      <c r="AY74" s="83">
        <v>803.0</v>
      </c>
      <c r="AZ74" s="83" t="s">
        <v>1420</v>
      </c>
      <c r="BA74" s="83" t="s">
        <v>1421</v>
      </c>
      <c r="BB74" s="83" t="s">
        <v>1422</v>
      </c>
      <c r="BC74" s="54" t="s">
        <v>41</v>
      </c>
      <c r="BD74" s="54" t="str">
        <f t="shared" si="1"/>
        <v>Magdalena del Mar</v>
      </c>
      <c r="BE74" s="67" t="s">
        <v>140</v>
      </c>
      <c r="BF74" s="67" t="s">
        <v>141</v>
      </c>
      <c r="BG74" s="67" t="s">
        <v>142</v>
      </c>
      <c r="BH74" s="67"/>
      <c r="BI74" s="67"/>
      <c r="BJ74" s="67"/>
      <c r="BK74" s="67"/>
      <c r="BL74" s="67" t="s">
        <v>213</v>
      </c>
      <c r="BM74" s="67" t="s">
        <v>214</v>
      </c>
      <c r="BN74" s="100">
        <v>110.0</v>
      </c>
      <c r="BO74" s="102" t="s">
        <v>182</v>
      </c>
      <c r="BP74" s="67" t="s">
        <v>144</v>
      </c>
      <c r="BQ74" s="79" t="s">
        <v>141</v>
      </c>
      <c r="BR74" s="67" t="s">
        <v>149</v>
      </c>
      <c r="BS74" s="102">
        <v>1.0</v>
      </c>
      <c r="BT74" s="106"/>
      <c r="BU74" s="107"/>
      <c r="BV74" s="108">
        <f t="shared" si="2"/>
        <v>46192</v>
      </c>
      <c r="BW74" s="108">
        <f t="shared" si="3"/>
        <v>46193</v>
      </c>
      <c r="BX74" s="102" t="str">
        <f t="shared" si="4"/>
        <v>11</v>
      </c>
      <c r="BY74" s="107">
        <f t="shared" si="5"/>
        <v>0</v>
      </c>
      <c r="BZ74" s="107">
        <f t="array" ref="BZ74">IF($A74&lt;&gt;"",INDEX(LISTA!$M$2:$N$27,MATCH($BC74,LISTA!$N$2:$N$27,0),1),"")</f>
        <v>1</v>
      </c>
      <c r="CA74" s="67">
        <f t="shared" si="6"/>
        <v>6</v>
      </c>
      <c r="CB74" s="114" t="str">
        <f t="shared" si="7"/>
        <v/>
      </c>
      <c r="CC74" s="114"/>
    </row>
    <row r="75" ht="15.0" hidden="1" customHeight="1" outlineLevel="1">
      <c r="A75" s="59">
        <v>46193.53983090278</v>
      </c>
      <c r="B75" s="115" t="s">
        <v>339</v>
      </c>
      <c r="C75" s="54" t="s">
        <v>100</v>
      </c>
      <c r="D75" s="56"/>
      <c r="E75" s="69"/>
      <c r="F75" s="73" t="s">
        <v>1429</v>
      </c>
      <c r="G75" s="60"/>
      <c r="H75" s="60"/>
      <c r="I75" s="67" t="s">
        <v>293</v>
      </c>
      <c r="J75" s="79" t="s">
        <v>1430</v>
      </c>
      <c r="K75" s="67" t="s">
        <v>109</v>
      </c>
      <c r="L75" s="79" t="s">
        <v>1431</v>
      </c>
      <c r="M75" s="83" t="s">
        <v>1432</v>
      </c>
      <c r="N75" s="78">
        <v>36812.0</v>
      </c>
      <c r="O75" s="80" t="s">
        <v>37</v>
      </c>
      <c r="P75" s="70" t="s">
        <v>1193</v>
      </c>
      <c r="Q75" s="54"/>
      <c r="R75" s="84"/>
      <c r="S75" s="84"/>
      <c r="T75" s="54"/>
      <c r="U75" s="86"/>
      <c r="V75" s="54"/>
      <c r="W75" s="86"/>
      <c r="X75" s="54"/>
      <c r="Y75" s="78"/>
      <c r="Z75" s="54"/>
      <c r="AA75" s="70"/>
      <c r="AB75" s="83"/>
      <c r="AC75" s="83"/>
      <c r="AD75" s="83"/>
      <c r="AE75" s="83"/>
      <c r="AF75" s="83"/>
      <c r="AG75" s="83"/>
      <c r="AH75" s="83"/>
      <c r="AI75" s="83"/>
      <c r="AJ75" s="83"/>
      <c r="AK75" s="83" t="s">
        <v>199</v>
      </c>
      <c r="AL75" s="83"/>
      <c r="AM75" s="83"/>
      <c r="AN75" s="83"/>
      <c r="AO75" s="83"/>
      <c r="AP75" s="83"/>
      <c r="AQ75" s="54" t="s">
        <v>1440</v>
      </c>
      <c r="AR75" s="83" t="s">
        <v>1441</v>
      </c>
      <c r="AS75" s="83" t="s">
        <v>1442</v>
      </c>
      <c r="AT75" s="93" t="s">
        <v>1430</v>
      </c>
      <c r="AU75" s="93" t="s">
        <v>1430</v>
      </c>
      <c r="AV75" s="93" t="s">
        <v>1430</v>
      </c>
      <c r="AW75" s="83" t="s">
        <v>1443</v>
      </c>
      <c r="AX75" s="83">
        <v>1.0</v>
      </c>
      <c r="AY75" s="83">
        <v>1.0</v>
      </c>
      <c r="AZ75" s="83" t="s">
        <v>1445</v>
      </c>
      <c r="BA75" s="83" t="s">
        <v>1446</v>
      </c>
      <c r="BB75" s="83" t="s">
        <v>1447</v>
      </c>
      <c r="BC75" s="54" t="s">
        <v>46</v>
      </c>
      <c r="BD75" s="54" t="str">
        <f t="shared" si="1"/>
        <v>Piura</v>
      </c>
      <c r="BE75" s="67" t="s">
        <v>140</v>
      </c>
      <c r="BF75" s="67" t="s">
        <v>141</v>
      </c>
      <c r="BG75" s="67" t="s">
        <v>142</v>
      </c>
      <c r="BH75" s="67"/>
      <c r="BI75" s="67"/>
      <c r="BJ75" s="67"/>
      <c r="BK75" s="67"/>
      <c r="BL75" s="67" t="s">
        <v>213</v>
      </c>
      <c r="BM75" s="67" t="s">
        <v>146</v>
      </c>
      <c r="BN75" s="100">
        <v>110.0</v>
      </c>
      <c r="BO75" s="102" t="s">
        <v>182</v>
      </c>
      <c r="BP75" s="67" t="s">
        <v>144</v>
      </c>
      <c r="BQ75" s="79" t="s">
        <v>141</v>
      </c>
      <c r="BR75" s="67" t="s">
        <v>149</v>
      </c>
      <c r="BS75" s="102" t="s">
        <v>149</v>
      </c>
      <c r="BT75" s="106"/>
      <c r="BU75" s="107"/>
      <c r="BV75" s="108">
        <f t="shared" si="2"/>
        <v>46193</v>
      </c>
      <c r="BW75" s="108" t="str">
        <f t="shared" si="3"/>
        <v/>
      </c>
      <c r="BX75" s="102" t="str">
        <f t="shared" si="4"/>
        <v/>
      </c>
      <c r="BY75" s="107">
        <f t="shared" si="5"/>
        <v>0</v>
      </c>
      <c r="BZ75" s="107">
        <f t="array" ref="BZ75">IF($A75&lt;&gt;"",INDEX(LISTA!$M$2:$N$27,MATCH($BC75,LISTA!$N$2:$N$27,0),1),"")</f>
        <v>21</v>
      </c>
      <c r="CA75" s="67">
        <f t="shared" si="6"/>
        <v>6</v>
      </c>
      <c r="CB75" s="114" t="str">
        <f t="shared" si="7"/>
        <v/>
      </c>
      <c r="CC75" s="114"/>
    </row>
    <row r="76" ht="15.0" hidden="1" customHeight="1" outlineLevel="1">
      <c r="A76" s="59">
        <v>46193.7399046412</v>
      </c>
      <c r="B76" s="115" t="s">
        <v>339</v>
      </c>
      <c r="C76" s="54" t="s">
        <v>100</v>
      </c>
      <c r="D76" s="56"/>
      <c r="E76" s="69"/>
      <c r="F76" s="73"/>
      <c r="G76" s="60"/>
      <c r="H76" s="60"/>
      <c r="I76" s="67" t="s">
        <v>365</v>
      </c>
      <c r="J76" s="79" t="s">
        <v>1455</v>
      </c>
      <c r="K76" s="67" t="s">
        <v>109</v>
      </c>
      <c r="L76" s="79" t="s">
        <v>1456</v>
      </c>
      <c r="M76" s="83" t="s">
        <v>1457</v>
      </c>
      <c r="N76" s="78">
        <v>30538.0</v>
      </c>
      <c r="O76" s="80" t="s">
        <v>37</v>
      </c>
      <c r="P76" s="70" t="s">
        <v>550</v>
      </c>
      <c r="Q76" s="54"/>
      <c r="R76" s="84"/>
      <c r="S76" s="84"/>
      <c r="T76" s="54"/>
      <c r="U76" s="86"/>
      <c r="V76" s="54"/>
      <c r="W76" s="86"/>
      <c r="X76" s="54"/>
      <c r="Y76" s="78"/>
      <c r="Z76" s="54"/>
      <c r="AA76" s="70"/>
      <c r="AB76" s="83"/>
      <c r="AC76" s="83"/>
      <c r="AD76" s="83"/>
      <c r="AE76" s="83"/>
      <c r="AF76" s="83" t="s">
        <v>972</v>
      </c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54" t="s">
        <v>1466</v>
      </c>
      <c r="AR76" s="83" t="s">
        <v>1467</v>
      </c>
      <c r="AS76" s="83" t="s">
        <v>1468</v>
      </c>
      <c r="AT76" s="93" t="s">
        <v>1455</v>
      </c>
      <c r="AU76" s="93" t="s">
        <v>1455</v>
      </c>
      <c r="AV76" s="93" t="s">
        <v>1455</v>
      </c>
      <c r="AW76" s="83" t="s">
        <v>1469</v>
      </c>
      <c r="AX76" s="83">
        <v>2.0</v>
      </c>
      <c r="AY76" s="83">
        <v>1.0</v>
      </c>
      <c r="AZ76" s="83" t="s">
        <v>1470</v>
      </c>
      <c r="BA76" s="83" t="s">
        <v>1471</v>
      </c>
      <c r="BB76" s="83" t="s">
        <v>1472</v>
      </c>
      <c r="BC76" s="54" t="s">
        <v>41</v>
      </c>
      <c r="BD76" s="54" t="str">
        <f t="shared" si="1"/>
        <v>San Juan de Lurigancho</v>
      </c>
      <c r="BE76" s="67" t="s">
        <v>140</v>
      </c>
      <c r="BF76" s="67" t="s">
        <v>141</v>
      </c>
      <c r="BG76" s="67" t="s">
        <v>142</v>
      </c>
      <c r="BH76" s="67"/>
      <c r="BI76" s="67"/>
      <c r="BJ76" s="67"/>
      <c r="BK76" s="67"/>
      <c r="BL76" s="67" t="s">
        <v>145</v>
      </c>
      <c r="BM76" s="67" t="s">
        <v>146</v>
      </c>
      <c r="BN76" s="100">
        <v>170.0</v>
      </c>
      <c r="BO76" s="102" t="s">
        <v>148</v>
      </c>
      <c r="BP76" s="67" t="s">
        <v>144</v>
      </c>
      <c r="BQ76" s="79" t="s">
        <v>141</v>
      </c>
      <c r="BR76" s="67">
        <v>2.0</v>
      </c>
      <c r="BS76" s="102">
        <v>1.0</v>
      </c>
      <c r="BT76" s="106"/>
      <c r="BU76" s="107"/>
      <c r="BV76" s="108">
        <f t="shared" si="2"/>
        <v>46193</v>
      </c>
      <c r="BW76" s="108" t="str">
        <f t="shared" si="3"/>
        <v/>
      </c>
      <c r="BX76" s="102" t="str">
        <f t="shared" si="4"/>
        <v/>
      </c>
      <c r="BY76" s="107">
        <f t="shared" si="5"/>
        <v>0</v>
      </c>
      <c r="BZ76" s="107">
        <f t="array" ref="BZ76">IF($A76&lt;&gt;"",INDEX(LISTA!$M$2:$N$27,MATCH($BC76,LISTA!$N$2:$N$27,0),1),"")</f>
        <v>1</v>
      </c>
      <c r="CA76" s="67">
        <f t="shared" si="6"/>
        <v>6</v>
      </c>
      <c r="CB76" s="114" t="str">
        <f t="shared" si="7"/>
        <v/>
      </c>
      <c r="CC76" s="114"/>
    </row>
    <row r="77" ht="15.0" hidden="1" customHeight="1" outlineLevel="1">
      <c r="A77" s="59">
        <v>46196.36164209491</v>
      </c>
      <c r="B77" s="115" t="s">
        <v>339</v>
      </c>
      <c r="C77" s="54" t="s">
        <v>100</v>
      </c>
      <c r="D77" s="56" t="s">
        <v>101</v>
      </c>
      <c r="E77" s="69"/>
      <c r="F77" s="73" t="s">
        <v>1479</v>
      </c>
      <c r="G77" s="60"/>
      <c r="H77" s="60"/>
      <c r="I77" s="67" t="s">
        <v>192</v>
      </c>
      <c r="J77" s="79" t="s">
        <v>1480</v>
      </c>
      <c r="K77" s="67" t="s">
        <v>109</v>
      </c>
      <c r="L77" s="79" t="s">
        <v>1481</v>
      </c>
      <c r="M77" s="83" t="s">
        <v>1482</v>
      </c>
      <c r="N77" s="78">
        <v>23815.0</v>
      </c>
      <c r="O77" s="80" t="s">
        <v>1120</v>
      </c>
      <c r="P77" s="70" t="s">
        <v>1483</v>
      </c>
      <c r="Q77" s="54"/>
      <c r="R77" s="84"/>
      <c r="S77" s="84"/>
      <c r="T77" s="54"/>
      <c r="U77" s="86"/>
      <c r="V77" s="54"/>
      <c r="W77" s="86"/>
      <c r="X77" s="54"/>
      <c r="Y77" s="78"/>
      <c r="Z77" s="54"/>
      <c r="AA77" s="70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 t="s">
        <v>866</v>
      </c>
      <c r="AO77" s="83"/>
      <c r="AP77" s="83"/>
      <c r="AQ77" s="54" t="s">
        <v>374</v>
      </c>
      <c r="AR77" s="83" t="s">
        <v>125</v>
      </c>
      <c r="AS77" s="83" t="s">
        <v>1490</v>
      </c>
      <c r="AT77" s="93" t="s">
        <v>1480</v>
      </c>
      <c r="AU77" s="93" t="s">
        <v>1480</v>
      </c>
      <c r="AV77" s="93" t="s">
        <v>1480</v>
      </c>
      <c r="AW77" s="83" t="s">
        <v>1491</v>
      </c>
      <c r="AX77" s="83">
        <v>2.0</v>
      </c>
      <c r="AY77" s="83" t="s">
        <v>238</v>
      </c>
      <c r="AZ77" s="83" t="s">
        <v>1492</v>
      </c>
      <c r="BA77" s="83" t="s">
        <v>1493</v>
      </c>
      <c r="BB77" s="83" t="s">
        <v>1494</v>
      </c>
      <c r="BC77" s="54" t="s">
        <v>50</v>
      </c>
      <c r="BD77" s="54" t="str">
        <f t="shared" si="1"/>
        <v>Tacna</v>
      </c>
      <c r="BE77" s="67" t="s">
        <v>140</v>
      </c>
      <c r="BF77" s="67" t="s">
        <v>141</v>
      </c>
      <c r="BG77" s="67" t="s">
        <v>142</v>
      </c>
      <c r="BH77" s="67"/>
      <c r="BI77" s="67"/>
      <c r="BJ77" s="67"/>
      <c r="BK77" s="67"/>
      <c r="BL77" s="67" t="s">
        <v>213</v>
      </c>
      <c r="BM77" s="67" t="s">
        <v>214</v>
      </c>
      <c r="BN77" s="100">
        <v>110.0</v>
      </c>
      <c r="BO77" s="102" t="s">
        <v>182</v>
      </c>
      <c r="BP77" s="67" t="s">
        <v>141</v>
      </c>
      <c r="BQ77" s="79" t="s">
        <v>141</v>
      </c>
      <c r="BR77" s="67" t="s">
        <v>149</v>
      </c>
      <c r="BS77" s="102">
        <v>1.0</v>
      </c>
      <c r="BT77" s="106"/>
      <c r="BU77" s="107"/>
      <c r="BV77" s="108">
        <f t="shared" si="2"/>
        <v>46196</v>
      </c>
      <c r="BW77" s="108" t="str">
        <f t="shared" si="3"/>
        <v/>
      </c>
      <c r="BX77" s="102" t="str">
        <f t="shared" si="4"/>
        <v/>
      </c>
      <c r="BY77" s="107">
        <f t="shared" si="5"/>
        <v>0</v>
      </c>
      <c r="BZ77" s="107">
        <f t="array" ref="BZ77">IF($A77&lt;&gt;"",INDEX(LISTA!$M$2:$N$27,MATCH($BC77,LISTA!$N$2:$N$27,0),1),"")</f>
        <v>24</v>
      </c>
      <c r="CA77" s="67">
        <f t="shared" si="6"/>
        <v>6</v>
      </c>
      <c r="CB77" s="114" t="str">
        <f t="shared" si="7"/>
        <v/>
      </c>
      <c r="CC77" s="114"/>
    </row>
    <row r="78" ht="15.0" hidden="1" customHeight="1" outlineLevel="1">
      <c r="A78" s="59">
        <v>46198.490504444446</v>
      </c>
      <c r="B78" s="115" t="s">
        <v>339</v>
      </c>
      <c r="C78" s="54" t="s">
        <v>100</v>
      </c>
      <c r="D78" s="56"/>
      <c r="E78" s="69"/>
      <c r="F78" s="73" t="s">
        <v>1500</v>
      </c>
      <c r="G78" s="60"/>
      <c r="H78" s="60"/>
      <c r="I78" s="67" t="s">
        <v>360</v>
      </c>
      <c r="J78" s="79" t="s">
        <v>1501</v>
      </c>
      <c r="K78" s="67" t="s">
        <v>109</v>
      </c>
      <c r="L78" s="79" t="s">
        <v>1502</v>
      </c>
      <c r="M78" s="83" t="s">
        <v>1503</v>
      </c>
      <c r="N78" s="78">
        <v>26690.0</v>
      </c>
      <c r="O78" s="80" t="s">
        <v>37</v>
      </c>
      <c r="P78" s="70" t="s">
        <v>550</v>
      </c>
      <c r="Q78" s="54"/>
      <c r="R78" s="84"/>
      <c r="S78" s="84"/>
      <c r="T78" s="54" t="s">
        <v>122</v>
      </c>
      <c r="U78" s="86"/>
      <c r="V78" s="54"/>
      <c r="W78" s="86"/>
      <c r="X78" s="54"/>
      <c r="Y78" s="78"/>
      <c r="Z78" s="54"/>
      <c r="AA78" s="70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54" t="s">
        <v>1510</v>
      </c>
      <c r="AR78" s="83" t="s">
        <v>1511</v>
      </c>
      <c r="AS78" s="83" t="s">
        <v>1512</v>
      </c>
      <c r="AT78" s="93" t="s">
        <v>1501</v>
      </c>
      <c r="AU78" s="93" t="s">
        <v>1501</v>
      </c>
      <c r="AV78" s="93" t="s">
        <v>1501</v>
      </c>
      <c r="AW78" s="83" t="s">
        <v>1513</v>
      </c>
      <c r="AX78" s="83">
        <v>2.0</v>
      </c>
      <c r="AY78" s="83">
        <v>203.0</v>
      </c>
      <c r="AZ78" s="83" t="s">
        <v>1514</v>
      </c>
      <c r="BA78" s="83" t="s">
        <v>1515</v>
      </c>
      <c r="BB78" s="83" t="s">
        <v>1516</v>
      </c>
      <c r="BC78" s="54" t="s">
        <v>27</v>
      </c>
      <c r="BD78" s="54" t="str">
        <f t="shared" si="1"/>
        <v>Arequipa</v>
      </c>
      <c r="BE78" s="67" t="s">
        <v>140</v>
      </c>
      <c r="BF78" s="67" t="s">
        <v>144</v>
      </c>
      <c r="BG78" s="67" t="s">
        <v>142</v>
      </c>
      <c r="BH78" s="67"/>
      <c r="BI78" s="67"/>
      <c r="BJ78" s="67"/>
      <c r="BK78" s="67"/>
      <c r="BL78" s="67" t="s">
        <v>147</v>
      </c>
      <c r="BM78" s="67" t="s">
        <v>247</v>
      </c>
      <c r="BN78" s="100">
        <v>89.0</v>
      </c>
      <c r="BO78" s="102" t="s">
        <v>148</v>
      </c>
      <c r="BP78" s="67" t="s">
        <v>144</v>
      </c>
      <c r="BQ78" s="79" t="s">
        <v>141</v>
      </c>
      <c r="BR78" s="67" t="s">
        <v>149</v>
      </c>
      <c r="BS78" s="102" t="s">
        <v>149</v>
      </c>
      <c r="BT78" s="106"/>
      <c r="BU78" s="107"/>
      <c r="BV78" s="108">
        <f t="shared" si="2"/>
        <v>46198</v>
      </c>
      <c r="BW78" s="108" t="str">
        <f t="shared" si="3"/>
        <v/>
      </c>
      <c r="BX78" s="102" t="str">
        <f t="shared" si="4"/>
        <v/>
      </c>
      <c r="BY78" s="107">
        <f t="shared" si="5"/>
        <v>0</v>
      </c>
      <c r="BZ78" s="107">
        <f t="array" ref="BZ78">IF($A78&lt;&gt;"",INDEX(LISTA!$M$2:$N$27,MATCH($BC78,LISTA!$N$2:$N$27,0),1),"")</f>
        <v>7</v>
      </c>
      <c r="CA78" s="67">
        <f t="shared" si="6"/>
        <v>6</v>
      </c>
      <c r="CB78" s="114" t="str">
        <f t="shared" si="7"/>
        <v/>
      </c>
      <c r="CC78" s="114"/>
    </row>
    <row r="79" ht="15.0" hidden="1" customHeight="1" outlineLevel="1">
      <c r="A79" s="59">
        <v>46200.719793553246</v>
      </c>
      <c r="B79" s="115" t="s">
        <v>339</v>
      </c>
      <c r="C79" s="54" t="s">
        <v>100</v>
      </c>
      <c r="D79" s="56" t="s">
        <v>101</v>
      </c>
      <c r="E79" s="69">
        <v>46202.666666666664</v>
      </c>
      <c r="F79" s="73" t="s">
        <v>1522</v>
      </c>
      <c r="G79" s="60" t="s">
        <v>1523</v>
      </c>
      <c r="H79" s="60" t="s">
        <v>1524</v>
      </c>
      <c r="I79" s="67" t="s">
        <v>192</v>
      </c>
      <c r="J79" s="79" t="s">
        <v>1525</v>
      </c>
      <c r="K79" s="67" t="s">
        <v>109</v>
      </c>
      <c r="L79" s="79" t="s">
        <v>1526</v>
      </c>
      <c r="M79" s="83" t="s">
        <v>1527</v>
      </c>
      <c r="N79" s="78">
        <v>27638.0</v>
      </c>
      <c r="O79" s="80" t="s">
        <v>33</v>
      </c>
      <c r="P79" s="70" t="s">
        <v>1103</v>
      </c>
      <c r="Q79" s="54"/>
      <c r="R79" s="84"/>
      <c r="S79" s="84"/>
      <c r="T79" s="54"/>
      <c r="U79" s="86"/>
      <c r="V79" s="54"/>
      <c r="W79" s="86"/>
      <c r="X79" s="54"/>
      <c r="Y79" s="78"/>
      <c r="Z79" s="54"/>
      <c r="AA79" s="70"/>
      <c r="AB79" s="83"/>
      <c r="AC79" s="83"/>
      <c r="AD79" s="83"/>
      <c r="AE79" s="83"/>
      <c r="AF79" s="83" t="s">
        <v>691</v>
      </c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54" t="s">
        <v>1241</v>
      </c>
      <c r="AR79" s="83" t="s">
        <v>1535</v>
      </c>
      <c r="AS79" s="83" t="s">
        <v>1536</v>
      </c>
      <c r="AT79" s="93" t="s">
        <v>1537</v>
      </c>
      <c r="AU79" s="93" t="s">
        <v>1537</v>
      </c>
      <c r="AV79" s="93" t="s">
        <v>1537</v>
      </c>
      <c r="AW79" s="83" t="s">
        <v>1538</v>
      </c>
      <c r="AX79" s="83">
        <v>2.0</v>
      </c>
      <c r="AY79" s="83" t="s">
        <v>238</v>
      </c>
      <c r="AZ79" s="83" t="s">
        <v>1539</v>
      </c>
      <c r="BA79" s="83" t="s">
        <v>1540</v>
      </c>
      <c r="BB79" s="83" t="s">
        <v>1541</v>
      </c>
      <c r="BC79" s="54" t="s">
        <v>41</v>
      </c>
      <c r="BD79" s="54" t="str">
        <f t="shared" si="1"/>
        <v>Comas</v>
      </c>
      <c r="BE79" s="67" t="s">
        <v>140</v>
      </c>
      <c r="BF79" s="67" t="s">
        <v>144</v>
      </c>
      <c r="BG79" s="67" t="s">
        <v>142</v>
      </c>
      <c r="BH79" s="67"/>
      <c r="BI79" s="67"/>
      <c r="BJ79" s="67"/>
      <c r="BK79" s="67"/>
      <c r="BL79" s="67" t="s">
        <v>147</v>
      </c>
      <c r="BM79" s="67" t="s">
        <v>247</v>
      </c>
      <c r="BN79" s="100">
        <v>89.0</v>
      </c>
      <c r="BO79" s="102" t="s">
        <v>148</v>
      </c>
      <c r="BP79" s="67" t="s">
        <v>141</v>
      </c>
      <c r="BQ79" s="79" t="s">
        <v>141</v>
      </c>
      <c r="BR79" s="67" t="s">
        <v>149</v>
      </c>
      <c r="BS79" s="102">
        <v>1.0</v>
      </c>
      <c r="BT79" s="106"/>
      <c r="BU79" s="107"/>
      <c r="BV79" s="108">
        <f t="shared" si="2"/>
        <v>46200</v>
      </c>
      <c r="BW79" s="108">
        <f t="shared" si="3"/>
        <v>46202</v>
      </c>
      <c r="BX79" s="102" t="str">
        <f t="shared" si="4"/>
        <v>16</v>
      </c>
      <c r="BY79" s="107">
        <f t="shared" si="5"/>
        <v>0</v>
      </c>
      <c r="BZ79" s="107">
        <f t="array" ref="BZ79">IF($A79&lt;&gt;"",INDEX(LISTA!$M$2:$N$27,MATCH($BC79,LISTA!$N$2:$N$27,0),1),"")</f>
        <v>1</v>
      </c>
      <c r="CA79" s="67">
        <f t="shared" si="6"/>
        <v>6</v>
      </c>
      <c r="CB79" s="114" t="str">
        <f t="shared" si="7"/>
        <v/>
      </c>
      <c r="CC79" s="114"/>
    </row>
    <row r="80" ht="15.0" hidden="1" customHeight="1" outlineLevel="1">
      <c r="A80" s="59">
        <v>46197.708171493054</v>
      </c>
      <c r="B80" s="115" t="s">
        <v>370</v>
      </c>
      <c r="C80" s="54" t="s">
        <v>100</v>
      </c>
      <c r="D80" s="56" t="s">
        <v>101</v>
      </c>
      <c r="E80" s="69">
        <v>46199.458333333336</v>
      </c>
      <c r="F80" s="73" t="s">
        <v>1543</v>
      </c>
      <c r="G80" s="60" t="s">
        <v>1544</v>
      </c>
      <c r="H80" s="60" t="s">
        <v>1545</v>
      </c>
      <c r="I80" s="67" t="s">
        <v>260</v>
      </c>
      <c r="J80" s="79" t="s">
        <v>1548</v>
      </c>
      <c r="K80" s="67" t="s">
        <v>109</v>
      </c>
      <c r="L80" s="79" t="s">
        <v>1547</v>
      </c>
      <c r="M80" s="83" t="s">
        <v>1549</v>
      </c>
      <c r="N80" s="78">
        <v>25062.0</v>
      </c>
      <c r="O80" s="80" t="s">
        <v>24</v>
      </c>
      <c r="P80" s="70" t="s">
        <v>1283</v>
      </c>
      <c r="Q80" s="54"/>
      <c r="R80" s="84"/>
      <c r="S80" s="84"/>
      <c r="T80" s="54"/>
      <c r="U80" s="86"/>
      <c r="V80" s="54"/>
      <c r="W80" s="86"/>
      <c r="X80" s="54"/>
      <c r="Y80" s="78"/>
      <c r="Z80" s="54"/>
      <c r="AA80" s="70"/>
      <c r="AB80" s="83"/>
      <c r="AC80" s="83"/>
      <c r="AD80" s="83"/>
      <c r="AE80" s="83"/>
      <c r="AF80" s="83" t="s">
        <v>198</v>
      </c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54" t="s">
        <v>1550</v>
      </c>
      <c r="AR80" s="83" t="s">
        <v>1551</v>
      </c>
      <c r="AS80" s="83" t="s">
        <v>1552</v>
      </c>
      <c r="AT80" s="93" t="s">
        <v>1548</v>
      </c>
      <c r="AU80" s="93" t="s">
        <v>1548</v>
      </c>
      <c r="AV80" s="93" t="s">
        <v>1548</v>
      </c>
      <c r="AW80" s="83" t="s">
        <v>1553</v>
      </c>
      <c r="AX80" s="83">
        <v>1.0</v>
      </c>
      <c r="AY80" s="83">
        <v>1.0</v>
      </c>
      <c r="AZ80" s="83" t="s">
        <v>1554</v>
      </c>
      <c r="BA80" s="83" t="s">
        <v>1555</v>
      </c>
      <c r="BB80" s="83" t="s">
        <v>1556</v>
      </c>
      <c r="BC80" s="54" t="s">
        <v>41</v>
      </c>
      <c r="BD80" s="54" t="str">
        <f t="shared" si="1"/>
        <v>Miraflores</v>
      </c>
      <c r="BE80" s="67" t="s">
        <v>143</v>
      </c>
      <c r="BF80" s="67" t="s">
        <v>141</v>
      </c>
      <c r="BG80" s="67" t="s">
        <v>142</v>
      </c>
      <c r="BH80" s="67"/>
      <c r="BI80" s="67"/>
      <c r="BJ80" s="67"/>
      <c r="BK80" s="67"/>
      <c r="BL80" s="67" t="s">
        <v>147</v>
      </c>
      <c r="BM80" s="67" t="s">
        <v>1142</v>
      </c>
      <c r="BN80" s="100">
        <v>89.0</v>
      </c>
      <c r="BO80" s="102" t="s">
        <v>148</v>
      </c>
      <c r="BP80" s="67" t="s">
        <v>141</v>
      </c>
      <c r="BQ80" s="79" t="s">
        <v>141</v>
      </c>
      <c r="BR80" s="67" t="s">
        <v>149</v>
      </c>
      <c r="BS80" s="102" t="s">
        <v>149</v>
      </c>
      <c r="BT80" s="106"/>
      <c r="BU80" s="107"/>
      <c r="BV80" s="108">
        <f t="shared" si="2"/>
        <v>46197</v>
      </c>
      <c r="BW80" s="108">
        <f t="shared" si="3"/>
        <v>46199</v>
      </c>
      <c r="BX80" s="102" t="str">
        <f t="shared" si="4"/>
        <v>11</v>
      </c>
      <c r="BY80" s="107">
        <f t="shared" si="5"/>
        <v>0</v>
      </c>
      <c r="BZ80" s="107">
        <f t="array" ref="BZ80">IF($A80&lt;&gt;"",INDEX(LISTA!$M$2:$N$27,MATCH($BC80,LISTA!$N$2:$N$27,0),1),"")</f>
        <v>1</v>
      </c>
      <c r="CA80" s="67">
        <f t="shared" si="6"/>
        <v>6</v>
      </c>
      <c r="CB80" s="114" t="str">
        <f t="shared" si="7"/>
        <v/>
      </c>
      <c r="CC80" s="114"/>
    </row>
    <row r="81" ht="15.0" hidden="1" customHeight="1" outlineLevel="1">
      <c r="A81" s="59">
        <v>46189.71136238426</v>
      </c>
      <c r="B81" s="115" t="s">
        <v>351</v>
      </c>
      <c r="C81" s="54" t="s">
        <v>100</v>
      </c>
      <c r="D81" s="56"/>
      <c r="E81" s="69"/>
      <c r="F81" s="73" t="s">
        <v>1473</v>
      </c>
      <c r="G81" s="60" t="s">
        <v>1474</v>
      </c>
      <c r="H81" s="60"/>
      <c r="I81" s="67" t="s">
        <v>150</v>
      </c>
      <c r="J81" s="79" t="s">
        <v>1475</v>
      </c>
      <c r="K81" s="67" t="s">
        <v>1117</v>
      </c>
      <c r="L81" s="79" t="s">
        <v>1476</v>
      </c>
      <c r="M81" s="83" t="s">
        <v>1477</v>
      </c>
      <c r="N81" s="78">
        <v>26760.0</v>
      </c>
      <c r="O81" s="80" t="s">
        <v>1120</v>
      </c>
      <c r="P81" s="70" t="s">
        <v>1478</v>
      </c>
      <c r="Q81" s="54"/>
      <c r="R81" s="84"/>
      <c r="S81" s="84"/>
      <c r="T81" s="54"/>
      <c r="U81" s="86"/>
      <c r="V81" s="54"/>
      <c r="W81" s="86"/>
      <c r="X81" s="54"/>
      <c r="Y81" s="78"/>
      <c r="Z81" s="54"/>
      <c r="AA81" s="70"/>
      <c r="AB81" s="83"/>
      <c r="AC81" s="83"/>
      <c r="AD81" s="83"/>
      <c r="AE81" s="83"/>
      <c r="AF81" s="83" t="s">
        <v>467</v>
      </c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54" t="s">
        <v>1484</v>
      </c>
      <c r="AR81" s="83" t="s">
        <v>125</v>
      </c>
      <c r="AS81" s="83" t="s">
        <v>1485</v>
      </c>
      <c r="AT81" s="93" t="s">
        <v>1475</v>
      </c>
      <c r="AU81" s="93" t="s">
        <v>1475</v>
      </c>
      <c r="AV81" s="93" t="s">
        <v>1475</v>
      </c>
      <c r="AW81" s="83" t="s">
        <v>1486</v>
      </c>
      <c r="AX81" s="83">
        <v>1.0</v>
      </c>
      <c r="AY81" s="83" t="s">
        <v>238</v>
      </c>
      <c r="AZ81" s="83" t="s">
        <v>1487</v>
      </c>
      <c r="BA81" s="83" t="s">
        <v>1488</v>
      </c>
      <c r="BB81" s="83" t="s">
        <v>1489</v>
      </c>
      <c r="BC81" s="54" t="s">
        <v>41</v>
      </c>
      <c r="BD81" s="54" t="str">
        <f t="shared" si="1"/>
        <v>Surquillo</v>
      </c>
      <c r="BE81" s="67" t="s">
        <v>140</v>
      </c>
      <c r="BF81" s="67" t="s">
        <v>144</v>
      </c>
      <c r="BG81" s="67" t="s">
        <v>142</v>
      </c>
      <c r="BH81" s="67"/>
      <c r="BI81" s="67"/>
      <c r="BJ81" s="67"/>
      <c r="BK81" s="67"/>
      <c r="BL81" s="67" t="s">
        <v>147</v>
      </c>
      <c r="BM81" s="67" t="s">
        <v>146</v>
      </c>
      <c r="BN81" s="100">
        <v>89.0</v>
      </c>
      <c r="BO81" s="102" t="s">
        <v>148</v>
      </c>
      <c r="BP81" s="67" t="s">
        <v>141</v>
      </c>
      <c r="BQ81" s="79" t="s">
        <v>141</v>
      </c>
      <c r="BR81" s="67" t="s">
        <v>149</v>
      </c>
      <c r="BS81" s="102">
        <v>1.0</v>
      </c>
      <c r="BT81" s="106"/>
      <c r="BU81" s="107"/>
      <c r="BV81" s="108">
        <f t="shared" si="2"/>
        <v>46189</v>
      </c>
      <c r="BW81" s="108" t="str">
        <f t="shared" si="3"/>
        <v/>
      </c>
      <c r="BX81" s="102" t="str">
        <f t="shared" si="4"/>
        <v/>
      </c>
      <c r="BY81" s="107">
        <f t="shared" si="5"/>
        <v>0</v>
      </c>
      <c r="BZ81" s="107">
        <f t="array" ref="BZ81">IF($A81&lt;&gt;"",INDEX(LISTA!$M$2:$N$27,MATCH($BC81,LISTA!$N$2:$N$27,0),1),"")</f>
        <v>1</v>
      </c>
      <c r="CA81" s="67">
        <f t="shared" si="6"/>
        <v>6</v>
      </c>
      <c r="CB81" s="114" t="str">
        <f t="shared" si="7"/>
        <v/>
      </c>
      <c r="CC81" s="114"/>
    </row>
    <row r="82" ht="15.0" hidden="1" customHeight="1" outlineLevel="1">
      <c r="A82" s="59">
        <v>46196.771452430556</v>
      </c>
      <c r="B82" s="115" t="s">
        <v>351</v>
      </c>
      <c r="C82" s="54" t="s">
        <v>1495</v>
      </c>
      <c r="D82" s="56"/>
      <c r="E82" s="69"/>
      <c r="F82" s="73" t="s">
        <v>1496</v>
      </c>
      <c r="G82" s="60"/>
      <c r="H82" s="60"/>
      <c r="I82" s="67" t="s">
        <v>107</v>
      </c>
      <c r="J82" s="79" t="s">
        <v>1497</v>
      </c>
      <c r="K82" s="67" t="s">
        <v>1151</v>
      </c>
      <c r="L82" s="79" t="s">
        <v>1498</v>
      </c>
      <c r="M82" s="83" t="s">
        <v>1499</v>
      </c>
      <c r="N82" s="78">
        <v>33730.0</v>
      </c>
      <c r="O82" s="80" t="s">
        <v>37</v>
      </c>
      <c r="P82" s="70" t="s">
        <v>228</v>
      </c>
      <c r="Q82" s="54"/>
      <c r="R82" s="84"/>
      <c r="S82" s="84"/>
      <c r="T82" s="54"/>
      <c r="U82" s="86"/>
      <c r="V82" s="54"/>
      <c r="W82" s="86"/>
      <c r="X82" s="54"/>
      <c r="Y82" s="78"/>
      <c r="Z82" s="54"/>
      <c r="AA82" s="70"/>
      <c r="AB82" s="83"/>
      <c r="AC82" s="83"/>
      <c r="AD82" s="83"/>
      <c r="AE82" s="83"/>
      <c r="AF82" s="83" t="s">
        <v>691</v>
      </c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54" t="s">
        <v>124</v>
      </c>
      <c r="AR82" s="83" t="s">
        <v>1504</v>
      </c>
      <c r="AS82" s="83" t="s">
        <v>1505</v>
      </c>
      <c r="AT82" s="93" t="s">
        <v>1497</v>
      </c>
      <c r="AU82" s="93" t="s">
        <v>1497</v>
      </c>
      <c r="AV82" s="93" t="s">
        <v>1497</v>
      </c>
      <c r="AW82" s="83" t="s">
        <v>1506</v>
      </c>
      <c r="AX82" s="83">
        <v>2.0</v>
      </c>
      <c r="AY82" s="83">
        <v>1.0</v>
      </c>
      <c r="AZ82" s="83" t="s">
        <v>1507</v>
      </c>
      <c r="BA82" s="83" t="s">
        <v>1508</v>
      </c>
      <c r="BB82" s="83" t="s">
        <v>1509</v>
      </c>
      <c r="BC82" s="54" t="s">
        <v>41</v>
      </c>
      <c r="BD82" s="54" t="str">
        <f t="shared" si="1"/>
        <v>Comas</v>
      </c>
      <c r="BE82" s="67" t="s">
        <v>140</v>
      </c>
      <c r="BF82" s="67" t="s">
        <v>141</v>
      </c>
      <c r="BG82" s="67" t="s">
        <v>142</v>
      </c>
      <c r="BH82" s="67"/>
      <c r="BI82" s="67"/>
      <c r="BJ82" s="67"/>
      <c r="BK82" s="67"/>
      <c r="BL82" s="67" t="s">
        <v>145</v>
      </c>
      <c r="BM82" s="67" t="s">
        <v>146</v>
      </c>
      <c r="BN82" s="100">
        <v>170.0</v>
      </c>
      <c r="BO82" s="102" t="s">
        <v>148</v>
      </c>
      <c r="BP82" s="67" t="s">
        <v>144</v>
      </c>
      <c r="BQ82" s="79" t="s">
        <v>141</v>
      </c>
      <c r="BR82" s="67">
        <v>2.0</v>
      </c>
      <c r="BS82" s="102">
        <v>1.0</v>
      </c>
      <c r="BT82" s="106"/>
      <c r="BU82" s="107"/>
      <c r="BV82" s="108">
        <f t="shared" si="2"/>
        <v>46196</v>
      </c>
      <c r="BW82" s="108" t="str">
        <f t="shared" si="3"/>
        <v/>
      </c>
      <c r="BX82" s="102" t="str">
        <f t="shared" si="4"/>
        <v/>
      </c>
      <c r="BY82" s="107">
        <f t="shared" si="5"/>
        <v>0</v>
      </c>
      <c r="BZ82" s="107">
        <f t="array" ref="BZ82">IF($A82&lt;&gt;"",INDEX(LISTA!$M$2:$N$27,MATCH($BC82,LISTA!$N$2:$N$27,0),1),"")</f>
        <v>1</v>
      </c>
      <c r="CA82" s="67">
        <f t="shared" si="6"/>
        <v>6</v>
      </c>
      <c r="CB82" s="114" t="str">
        <f t="shared" si="7"/>
        <v/>
      </c>
      <c r="CC82" s="114"/>
    </row>
    <row r="83" ht="15.0" hidden="1" customHeight="1" outlineLevel="1">
      <c r="A83" s="59">
        <v>46188.667395729164</v>
      </c>
      <c r="B83" s="115" t="s">
        <v>353</v>
      </c>
      <c r="C83" s="54" t="s">
        <v>100</v>
      </c>
      <c r="D83" s="56"/>
      <c r="E83" s="69"/>
      <c r="F83" s="73" t="s">
        <v>1583</v>
      </c>
      <c r="G83" s="60"/>
      <c r="H83" s="60"/>
      <c r="I83" s="67" t="s">
        <v>365</v>
      </c>
      <c r="J83" s="79" t="s">
        <v>1584</v>
      </c>
      <c r="K83" s="67" t="s">
        <v>1117</v>
      </c>
      <c r="L83" s="79" t="s">
        <v>1585</v>
      </c>
      <c r="M83" s="83" t="s">
        <v>1586</v>
      </c>
      <c r="N83" s="78">
        <v>36054.0</v>
      </c>
      <c r="O83" s="80" t="s">
        <v>1120</v>
      </c>
      <c r="P83" s="70" t="s">
        <v>1587</v>
      </c>
      <c r="Q83" s="54"/>
      <c r="R83" s="84"/>
      <c r="S83" s="84"/>
      <c r="T83" s="54"/>
      <c r="U83" s="86"/>
      <c r="V83" s="54"/>
      <c r="W83" s="86"/>
      <c r="X83" s="54"/>
      <c r="Y83" s="78"/>
      <c r="Z83" s="54"/>
      <c r="AA83" s="70"/>
      <c r="AB83" s="83"/>
      <c r="AC83" s="83"/>
      <c r="AD83" s="83"/>
      <c r="AE83" s="83"/>
      <c r="AF83" s="83" t="s">
        <v>577</v>
      </c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54" t="s">
        <v>1588</v>
      </c>
      <c r="AR83" s="83" t="s">
        <v>1589</v>
      </c>
      <c r="AS83" s="83" t="s">
        <v>1590</v>
      </c>
      <c r="AT83" s="93" t="s">
        <v>1584</v>
      </c>
      <c r="AU83" s="93" t="s">
        <v>1584</v>
      </c>
      <c r="AV83" s="93" t="s">
        <v>1584</v>
      </c>
      <c r="AW83" s="83" t="s">
        <v>1592</v>
      </c>
      <c r="AX83" s="83">
        <v>2.0</v>
      </c>
      <c r="AY83" s="83">
        <v>1.0</v>
      </c>
      <c r="AZ83" s="83" t="s">
        <v>1596</v>
      </c>
      <c r="BA83" s="83" t="s">
        <v>1598</v>
      </c>
      <c r="BB83" s="83" t="s">
        <v>1600</v>
      </c>
      <c r="BC83" s="54" t="s">
        <v>41</v>
      </c>
      <c r="BD83" s="54" t="str">
        <f t="shared" si="1"/>
        <v>Rimac</v>
      </c>
      <c r="BE83" s="67" t="s">
        <v>140</v>
      </c>
      <c r="BF83" s="67" t="s">
        <v>141</v>
      </c>
      <c r="BG83" s="67" t="s">
        <v>142</v>
      </c>
      <c r="BH83" s="67"/>
      <c r="BI83" s="67"/>
      <c r="BJ83" s="67"/>
      <c r="BK83" s="67"/>
      <c r="BL83" s="67" t="s">
        <v>213</v>
      </c>
      <c r="BM83" s="67" t="s">
        <v>214</v>
      </c>
      <c r="BN83" s="100">
        <v>110.0</v>
      </c>
      <c r="BO83" s="102" t="s">
        <v>182</v>
      </c>
      <c r="BP83" s="67" t="s">
        <v>144</v>
      </c>
      <c r="BQ83" s="79" t="s">
        <v>141</v>
      </c>
      <c r="BR83" s="67" t="s">
        <v>149</v>
      </c>
      <c r="BS83" s="102">
        <v>1.0</v>
      </c>
      <c r="BT83" s="106"/>
      <c r="BU83" s="107"/>
      <c r="BV83" s="108">
        <f t="shared" si="2"/>
        <v>46188</v>
      </c>
      <c r="BW83" s="108" t="str">
        <f t="shared" si="3"/>
        <v/>
      </c>
      <c r="BX83" s="102" t="str">
        <f t="shared" si="4"/>
        <v/>
      </c>
      <c r="BY83" s="107">
        <f t="shared" si="5"/>
        <v>0</v>
      </c>
      <c r="BZ83" s="107">
        <f t="array" ref="BZ83">IF($A83&lt;&gt;"",INDEX(LISTA!$M$2:$N$27,MATCH($BC83,LISTA!$N$2:$N$27,0),1),"")</f>
        <v>1</v>
      </c>
      <c r="CA83" s="67">
        <f t="shared" si="6"/>
        <v>6</v>
      </c>
      <c r="CB83" s="114" t="str">
        <f t="shared" si="7"/>
        <v/>
      </c>
      <c r="CC83" s="114"/>
    </row>
    <row r="84" ht="15.0" hidden="1" customHeight="1" outlineLevel="1">
      <c r="A84" s="59">
        <v>46190.5583380787</v>
      </c>
      <c r="B84" s="115" t="s">
        <v>353</v>
      </c>
      <c r="C84" s="54" t="s">
        <v>100</v>
      </c>
      <c r="D84" s="56"/>
      <c r="E84" s="69"/>
      <c r="F84" s="73" t="s">
        <v>1558</v>
      </c>
      <c r="G84" s="60"/>
      <c r="H84" s="60"/>
      <c r="I84" s="67" t="s">
        <v>287</v>
      </c>
      <c r="J84" s="79" t="s">
        <v>1559</v>
      </c>
      <c r="K84" s="67" t="s">
        <v>109</v>
      </c>
      <c r="L84" s="79" t="s">
        <v>1560</v>
      </c>
      <c r="M84" s="83" t="s">
        <v>1561</v>
      </c>
      <c r="N84" s="78">
        <v>33829.0</v>
      </c>
      <c r="O84" s="80" t="s">
        <v>33</v>
      </c>
      <c r="P84" s="70" t="s">
        <v>1562</v>
      </c>
      <c r="Q84" s="54"/>
      <c r="R84" s="84"/>
      <c r="S84" s="84"/>
      <c r="T84" s="54"/>
      <c r="U84" s="86"/>
      <c r="V84" s="54"/>
      <c r="W84" s="86"/>
      <c r="X84" s="54"/>
      <c r="Y84" s="78"/>
      <c r="Z84" s="54"/>
      <c r="AA84" s="70"/>
      <c r="AB84" s="83"/>
      <c r="AC84" s="83"/>
      <c r="AD84" s="83"/>
      <c r="AE84" s="83"/>
      <c r="AF84" s="83" t="s">
        <v>507</v>
      </c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54" t="s">
        <v>1563</v>
      </c>
      <c r="AR84" s="83" t="s">
        <v>1564</v>
      </c>
      <c r="AS84" s="157" t="s">
        <v>1565</v>
      </c>
      <c r="AT84" s="93" t="s">
        <v>1559</v>
      </c>
      <c r="AU84" s="93" t="s">
        <v>1559</v>
      </c>
      <c r="AV84" s="93" t="s">
        <v>1559</v>
      </c>
      <c r="AW84" s="83" t="s">
        <v>1566</v>
      </c>
      <c r="AX84" s="83">
        <v>1.0</v>
      </c>
      <c r="AY84" s="83" t="s">
        <v>1567</v>
      </c>
      <c r="AZ84" s="83" t="s">
        <v>1568</v>
      </c>
      <c r="BA84" s="83" t="s">
        <v>1569</v>
      </c>
      <c r="BB84" s="83" t="s">
        <v>1570</v>
      </c>
      <c r="BC84" s="54" t="s">
        <v>41</v>
      </c>
      <c r="BD84" s="54" t="str">
        <f t="shared" si="1"/>
        <v>San Juan de Miraflores</v>
      </c>
      <c r="BE84" s="67" t="s">
        <v>140</v>
      </c>
      <c r="BF84" s="67" t="s">
        <v>144</v>
      </c>
      <c r="BG84" s="67" t="s">
        <v>142</v>
      </c>
      <c r="BH84" s="67"/>
      <c r="BI84" s="67"/>
      <c r="BJ84" s="67"/>
      <c r="BK84" s="67"/>
      <c r="BL84" s="67" t="s">
        <v>147</v>
      </c>
      <c r="BM84" s="67" t="s">
        <v>214</v>
      </c>
      <c r="BN84" s="100">
        <v>110.0</v>
      </c>
      <c r="BO84" s="102" t="s">
        <v>182</v>
      </c>
      <c r="BP84" s="67" t="s">
        <v>144</v>
      </c>
      <c r="BQ84" s="79" t="s">
        <v>141</v>
      </c>
      <c r="BR84" s="67" t="s">
        <v>149</v>
      </c>
      <c r="BS84" s="102">
        <v>1.0</v>
      </c>
      <c r="BT84" s="106"/>
      <c r="BU84" s="107"/>
      <c r="BV84" s="108">
        <f t="shared" si="2"/>
        <v>46190</v>
      </c>
      <c r="BW84" s="108" t="str">
        <f t="shared" si="3"/>
        <v/>
      </c>
      <c r="BX84" s="102" t="str">
        <f t="shared" si="4"/>
        <v/>
      </c>
      <c r="BY84" s="107">
        <f t="shared" si="5"/>
        <v>0</v>
      </c>
      <c r="BZ84" s="107">
        <f t="array" ref="BZ84">IF($A84&lt;&gt;"",INDEX(LISTA!$M$2:$N$27,MATCH($BC84,LISTA!$N$2:$N$27,0),1),"")</f>
        <v>1</v>
      </c>
      <c r="CA84" s="67">
        <f t="shared" si="6"/>
        <v>6</v>
      </c>
      <c r="CB84" s="114" t="str">
        <f t="shared" si="7"/>
        <v/>
      </c>
      <c r="CC84" s="114"/>
    </row>
    <row r="85" ht="15.0" hidden="1" customHeight="1" outlineLevel="1">
      <c r="A85" s="59">
        <v>46191.749567280094</v>
      </c>
      <c r="B85" s="115" t="s">
        <v>353</v>
      </c>
      <c r="C85" s="54" t="s">
        <v>100</v>
      </c>
      <c r="D85" s="56"/>
      <c r="E85" s="69"/>
      <c r="F85" s="73" t="s">
        <v>1571</v>
      </c>
      <c r="G85" s="60" t="s">
        <v>1572</v>
      </c>
      <c r="H85" s="60"/>
      <c r="I85" s="67" t="s">
        <v>107</v>
      </c>
      <c r="J85" s="79" t="s">
        <v>1573</v>
      </c>
      <c r="K85" s="67" t="s">
        <v>109</v>
      </c>
      <c r="L85" s="79" t="s">
        <v>1574</v>
      </c>
      <c r="M85" s="83" t="s">
        <v>1575</v>
      </c>
      <c r="N85" s="78">
        <v>25606.0</v>
      </c>
      <c r="O85" s="80" t="s">
        <v>27</v>
      </c>
      <c r="P85" s="70" t="s">
        <v>1576</v>
      </c>
      <c r="Q85" s="54"/>
      <c r="R85" s="84"/>
      <c r="S85" s="84"/>
      <c r="T85" s="54" t="s">
        <v>122</v>
      </c>
      <c r="U85" s="86"/>
      <c r="V85" s="54"/>
      <c r="W85" s="86"/>
      <c r="X85" s="54"/>
      <c r="Y85" s="78"/>
      <c r="Z85" s="54"/>
      <c r="AA85" s="70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54" t="s">
        <v>167</v>
      </c>
      <c r="AR85" s="83" t="s">
        <v>1577</v>
      </c>
      <c r="AS85" s="83" t="s">
        <v>1578</v>
      </c>
      <c r="AT85" s="93" t="s">
        <v>1573</v>
      </c>
      <c r="AU85" s="93" t="s">
        <v>1573</v>
      </c>
      <c r="AV85" s="93" t="s">
        <v>1573</v>
      </c>
      <c r="AW85" s="83" t="s">
        <v>1579</v>
      </c>
      <c r="AX85" s="83">
        <v>2.0</v>
      </c>
      <c r="AY85" s="83">
        <v>1.0</v>
      </c>
      <c r="AZ85" s="83" t="s">
        <v>1580</v>
      </c>
      <c r="BA85" s="83" t="s">
        <v>1581</v>
      </c>
      <c r="BB85" s="83" t="s">
        <v>1582</v>
      </c>
      <c r="BC85" s="54" t="s">
        <v>27</v>
      </c>
      <c r="BD85" s="54" t="str">
        <f t="shared" si="1"/>
        <v>Arequipa</v>
      </c>
      <c r="BE85" s="67" t="s">
        <v>140</v>
      </c>
      <c r="BF85" s="67" t="s">
        <v>144</v>
      </c>
      <c r="BG85" s="67" t="s">
        <v>142</v>
      </c>
      <c r="BH85" s="67"/>
      <c r="BI85" s="67"/>
      <c r="BJ85" s="67"/>
      <c r="BK85" s="67"/>
      <c r="BL85" s="67" t="s">
        <v>145</v>
      </c>
      <c r="BM85" s="67" t="s">
        <v>146</v>
      </c>
      <c r="BN85" s="100">
        <v>170.0</v>
      </c>
      <c r="BO85" s="102" t="s">
        <v>148</v>
      </c>
      <c r="BP85" s="67" t="s">
        <v>144</v>
      </c>
      <c r="BQ85" s="79" t="s">
        <v>141</v>
      </c>
      <c r="BR85" s="67">
        <v>2.0</v>
      </c>
      <c r="BS85" s="102">
        <v>1.0</v>
      </c>
      <c r="BT85" s="106"/>
      <c r="BU85" s="107"/>
      <c r="BV85" s="108">
        <f t="shared" si="2"/>
        <v>46191</v>
      </c>
      <c r="BW85" s="108" t="str">
        <f t="shared" si="3"/>
        <v/>
      </c>
      <c r="BX85" s="102" t="str">
        <f t="shared" si="4"/>
        <v/>
      </c>
      <c r="BY85" s="107">
        <f t="shared" si="5"/>
        <v>0</v>
      </c>
      <c r="BZ85" s="107">
        <f t="array" ref="BZ85">IF($A85&lt;&gt;"",INDEX(LISTA!$M$2:$N$27,MATCH($BC85,LISTA!$N$2:$N$27,0),1),"")</f>
        <v>7</v>
      </c>
      <c r="CA85" s="67">
        <f t="shared" si="6"/>
        <v>6</v>
      </c>
      <c r="CB85" s="114" t="str">
        <f t="shared" si="7"/>
        <v/>
      </c>
      <c r="CC85" s="114"/>
    </row>
    <row r="86" ht="15.0" hidden="1" customHeight="1" outlineLevel="1">
      <c r="A86" s="59">
        <v>46195.37840372685</v>
      </c>
      <c r="B86" s="115" t="s">
        <v>353</v>
      </c>
      <c r="C86" s="54" t="s">
        <v>100</v>
      </c>
      <c r="D86" s="56" t="s">
        <v>101</v>
      </c>
      <c r="E86" s="69"/>
      <c r="F86" s="73" t="s">
        <v>1612</v>
      </c>
      <c r="G86" s="60"/>
      <c r="H86" s="60"/>
      <c r="I86" s="67" t="s">
        <v>192</v>
      </c>
      <c r="J86" s="79" t="s">
        <v>1613</v>
      </c>
      <c r="K86" s="67" t="s">
        <v>109</v>
      </c>
      <c r="L86" s="79" t="s">
        <v>1614</v>
      </c>
      <c r="M86" s="83" t="s">
        <v>1615</v>
      </c>
      <c r="N86" s="78">
        <v>35830.0</v>
      </c>
      <c r="O86" s="80" t="s">
        <v>31</v>
      </c>
      <c r="P86" s="70" t="s">
        <v>1011</v>
      </c>
      <c r="Q86" s="54"/>
      <c r="R86" s="84"/>
      <c r="S86" s="84"/>
      <c r="T86" s="54"/>
      <c r="U86" s="86"/>
      <c r="V86" s="54"/>
      <c r="W86" s="86"/>
      <c r="X86" s="54"/>
      <c r="Y86" s="78"/>
      <c r="Z86" s="54"/>
      <c r="AA86" s="70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 t="s">
        <v>866</v>
      </c>
      <c r="AO86" s="83"/>
      <c r="AP86" s="83"/>
      <c r="AQ86" s="54" t="s">
        <v>1616</v>
      </c>
      <c r="AR86" s="83" t="s">
        <v>310</v>
      </c>
      <c r="AS86" s="83" t="s">
        <v>1617</v>
      </c>
      <c r="AT86" s="93" t="s">
        <v>1613</v>
      </c>
      <c r="AU86" s="93" t="s">
        <v>1613</v>
      </c>
      <c r="AV86" s="93" t="s">
        <v>1613</v>
      </c>
      <c r="AW86" s="83" t="s">
        <v>1618</v>
      </c>
      <c r="AX86" s="83">
        <v>1.0</v>
      </c>
      <c r="AY86" s="83" t="s">
        <v>238</v>
      </c>
      <c r="AZ86" s="83" t="s">
        <v>1619</v>
      </c>
      <c r="BA86" s="83" t="s">
        <v>1620</v>
      </c>
      <c r="BB86" s="83" t="s">
        <v>1621</v>
      </c>
      <c r="BC86" s="54" t="s">
        <v>50</v>
      </c>
      <c r="BD86" s="54" t="str">
        <f t="shared" si="1"/>
        <v>Tacna</v>
      </c>
      <c r="BE86" s="67" t="s">
        <v>140</v>
      </c>
      <c r="BF86" s="67" t="s">
        <v>144</v>
      </c>
      <c r="BG86" s="67" t="s">
        <v>142</v>
      </c>
      <c r="BH86" s="67"/>
      <c r="BI86" s="67"/>
      <c r="BJ86" s="67"/>
      <c r="BK86" s="67"/>
      <c r="BL86" s="67" t="s">
        <v>147</v>
      </c>
      <c r="BM86" s="67" t="s">
        <v>247</v>
      </c>
      <c r="BN86" s="100">
        <v>89.0</v>
      </c>
      <c r="BO86" s="102" t="s">
        <v>148</v>
      </c>
      <c r="BP86" s="67" t="s">
        <v>141</v>
      </c>
      <c r="BQ86" s="79" t="s">
        <v>141</v>
      </c>
      <c r="BR86" s="67" t="s">
        <v>149</v>
      </c>
      <c r="BS86" s="102">
        <v>1.0</v>
      </c>
      <c r="BT86" s="106"/>
      <c r="BU86" s="107"/>
      <c r="BV86" s="108">
        <f t="shared" si="2"/>
        <v>46195</v>
      </c>
      <c r="BW86" s="108" t="str">
        <f t="shared" si="3"/>
        <v/>
      </c>
      <c r="BX86" s="102" t="str">
        <f t="shared" si="4"/>
        <v/>
      </c>
      <c r="BY86" s="107">
        <f t="shared" si="5"/>
        <v>0</v>
      </c>
      <c r="BZ86" s="107">
        <f t="array" ref="BZ86">IF($A86&lt;&gt;"",INDEX(LISTA!$M$2:$N$27,MATCH($BC86,LISTA!$N$2:$N$27,0),1),"")</f>
        <v>24</v>
      </c>
      <c r="CA86" s="67">
        <f t="shared" si="6"/>
        <v>6</v>
      </c>
      <c r="CB86" s="114" t="str">
        <f t="shared" si="7"/>
        <v/>
      </c>
      <c r="CC86" s="114"/>
    </row>
    <row r="87" ht="15.0" hidden="1" customHeight="1" outlineLevel="1">
      <c r="A87" s="59">
        <v>46197.64004986111</v>
      </c>
      <c r="B87" s="115" t="s">
        <v>353</v>
      </c>
      <c r="C87" s="54" t="s">
        <v>100</v>
      </c>
      <c r="D87" s="56" t="s">
        <v>101</v>
      </c>
      <c r="E87" s="69">
        <v>46201.375</v>
      </c>
      <c r="F87" s="73" t="s">
        <v>1593</v>
      </c>
      <c r="G87" s="60" t="s">
        <v>1594</v>
      </c>
      <c r="H87" s="60" t="s">
        <v>1595</v>
      </c>
      <c r="I87" s="67" t="s">
        <v>355</v>
      </c>
      <c r="J87" s="79" t="s">
        <v>1597</v>
      </c>
      <c r="K87" s="67" t="s">
        <v>109</v>
      </c>
      <c r="L87" s="79" t="s">
        <v>1599</v>
      </c>
      <c r="M87" s="83" t="s">
        <v>1601</v>
      </c>
      <c r="N87" s="78">
        <v>28755.0</v>
      </c>
      <c r="O87" s="80" t="s">
        <v>41</v>
      </c>
      <c r="P87" s="70" t="s">
        <v>1602</v>
      </c>
      <c r="Q87" s="54"/>
      <c r="R87" s="84"/>
      <c r="S87" s="84"/>
      <c r="T87" s="54"/>
      <c r="U87" s="86"/>
      <c r="V87" s="54"/>
      <c r="W87" s="86"/>
      <c r="X87" s="54"/>
      <c r="Y87" s="78"/>
      <c r="Z87" s="54"/>
      <c r="AA87" s="70"/>
      <c r="AB87" s="83"/>
      <c r="AC87" s="83"/>
      <c r="AD87" s="83"/>
      <c r="AE87" s="83"/>
      <c r="AF87" s="83" t="s">
        <v>1603</v>
      </c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54" t="s">
        <v>432</v>
      </c>
      <c r="AR87" s="83" t="s">
        <v>1604</v>
      </c>
      <c r="AS87" s="83" t="s">
        <v>1605</v>
      </c>
      <c r="AT87" s="93" t="s">
        <v>1597</v>
      </c>
      <c r="AU87" s="93" t="s">
        <v>1597</v>
      </c>
      <c r="AV87" s="93" t="s">
        <v>1597</v>
      </c>
      <c r="AW87" s="83" t="s">
        <v>1606</v>
      </c>
      <c r="AX87" s="83">
        <v>2.0</v>
      </c>
      <c r="AY87" s="83">
        <v>202.0</v>
      </c>
      <c r="AZ87" s="83" t="s">
        <v>1607</v>
      </c>
      <c r="BA87" s="83" t="s">
        <v>1608</v>
      </c>
      <c r="BB87" s="83" t="s">
        <v>1609</v>
      </c>
      <c r="BC87" s="54" t="s">
        <v>41</v>
      </c>
      <c r="BD87" s="54" t="str">
        <f t="shared" si="1"/>
        <v>Santa Anita</v>
      </c>
      <c r="BE87" s="67" t="s">
        <v>143</v>
      </c>
      <c r="BF87" s="67" t="s">
        <v>141</v>
      </c>
      <c r="BG87" s="67" t="s">
        <v>142</v>
      </c>
      <c r="BH87" s="67"/>
      <c r="BI87" s="67"/>
      <c r="BJ87" s="67"/>
      <c r="BK87" s="67"/>
      <c r="BL87" s="67" t="s">
        <v>147</v>
      </c>
      <c r="BM87" s="67" t="s">
        <v>247</v>
      </c>
      <c r="BN87" s="100">
        <v>89.0</v>
      </c>
      <c r="BO87" s="102" t="s">
        <v>148</v>
      </c>
      <c r="BP87" s="67" t="s">
        <v>141</v>
      </c>
      <c r="BQ87" s="79" t="s">
        <v>141</v>
      </c>
      <c r="BR87" s="67" t="s">
        <v>149</v>
      </c>
      <c r="BS87" s="102" t="s">
        <v>149</v>
      </c>
      <c r="BT87" s="106"/>
      <c r="BU87" s="107"/>
      <c r="BV87" s="108">
        <f t="shared" si="2"/>
        <v>46197</v>
      </c>
      <c r="BW87" s="108">
        <f t="shared" si="3"/>
        <v>46201</v>
      </c>
      <c r="BX87" s="102" t="str">
        <f t="shared" si="4"/>
        <v>09</v>
      </c>
      <c r="BY87" s="107">
        <f t="shared" si="5"/>
        <v>0</v>
      </c>
      <c r="BZ87" s="107">
        <f t="array" ref="BZ87">IF($A87&lt;&gt;"",INDEX(LISTA!$M$2:$N$27,MATCH($BC87,LISTA!$N$2:$N$27,0),1),"")</f>
        <v>1</v>
      </c>
      <c r="CA87" s="67">
        <f t="shared" si="6"/>
        <v>6</v>
      </c>
      <c r="CB87" s="114" t="str">
        <f t="shared" si="7"/>
        <v/>
      </c>
      <c r="CC87" s="114"/>
    </row>
    <row r="88" ht="15.0" hidden="1" customHeight="1" outlineLevel="1">
      <c r="A88" s="59">
        <v>46188.531708194445</v>
      </c>
      <c r="B88" s="115" t="s">
        <v>349</v>
      </c>
      <c r="C88" s="54" t="s">
        <v>100</v>
      </c>
      <c r="D88" s="56"/>
      <c r="E88" s="69"/>
      <c r="F88" s="73" t="s">
        <v>1449</v>
      </c>
      <c r="G88" s="60" t="s">
        <v>1450</v>
      </c>
      <c r="H88" s="60"/>
      <c r="I88" s="67" t="s">
        <v>114</v>
      </c>
      <c r="J88" s="79" t="s">
        <v>1451</v>
      </c>
      <c r="K88" s="67" t="s">
        <v>109</v>
      </c>
      <c r="L88" s="79" t="s">
        <v>1452</v>
      </c>
      <c r="M88" s="83" t="s">
        <v>1453</v>
      </c>
      <c r="N88" s="78">
        <v>31003.0</v>
      </c>
      <c r="O88" s="80" t="s">
        <v>40</v>
      </c>
      <c r="P88" s="70" t="s">
        <v>1454</v>
      </c>
      <c r="Q88" s="54"/>
      <c r="R88" s="84"/>
      <c r="S88" s="84"/>
      <c r="T88" s="54"/>
      <c r="U88" s="86"/>
      <c r="V88" s="54"/>
      <c r="W88" s="86"/>
      <c r="X88" s="54"/>
      <c r="Y88" s="78"/>
      <c r="Z88" s="54"/>
      <c r="AA88" s="70"/>
      <c r="AB88" s="83"/>
      <c r="AC88" s="83"/>
      <c r="AD88" s="83"/>
      <c r="AE88" s="83"/>
      <c r="AF88" s="83" t="s">
        <v>1458</v>
      </c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54" t="s">
        <v>1459</v>
      </c>
      <c r="AR88" s="83" t="s">
        <v>1460</v>
      </c>
      <c r="AS88" s="83" t="s">
        <v>1461</v>
      </c>
      <c r="AT88" s="93" t="s">
        <v>1451</v>
      </c>
      <c r="AU88" s="93" t="s">
        <v>1451</v>
      </c>
      <c r="AV88" s="93" t="s">
        <v>1451</v>
      </c>
      <c r="AW88" s="83" t="s">
        <v>1462</v>
      </c>
      <c r="AX88" s="83">
        <v>5.0</v>
      </c>
      <c r="AY88" s="83">
        <v>501.0</v>
      </c>
      <c r="AZ88" s="83" t="s">
        <v>1463</v>
      </c>
      <c r="BA88" s="83" t="s">
        <v>1464</v>
      </c>
      <c r="BB88" s="83" t="s">
        <v>1465</v>
      </c>
      <c r="BC88" s="54" t="s">
        <v>41</v>
      </c>
      <c r="BD88" s="54" t="str">
        <f t="shared" si="1"/>
        <v>Pueblo Libre</v>
      </c>
      <c r="BE88" s="67" t="s">
        <v>140</v>
      </c>
      <c r="BF88" s="67" t="s">
        <v>141</v>
      </c>
      <c r="BG88" s="67" t="s">
        <v>142</v>
      </c>
      <c r="BH88" s="67"/>
      <c r="BI88" s="67"/>
      <c r="BJ88" s="67"/>
      <c r="BK88" s="67"/>
      <c r="BL88" s="67" t="s">
        <v>145</v>
      </c>
      <c r="BM88" s="67" t="s">
        <v>146</v>
      </c>
      <c r="BN88" s="100">
        <v>170.0</v>
      </c>
      <c r="BO88" s="102" t="s">
        <v>148</v>
      </c>
      <c r="BP88" s="67" t="s">
        <v>144</v>
      </c>
      <c r="BQ88" s="79" t="s">
        <v>141</v>
      </c>
      <c r="BR88" s="67">
        <v>2.0</v>
      </c>
      <c r="BS88" s="102">
        <v>1.0</v>
      </c>
      <c r="BT88" s="106"/>
      <c r="BU88" s="107"/>
      <c r="BV88" s="108">
        <f t="shared" si="2"/>
        <v>46188</v>
      </c>
      <c r="BW88" s="108" t="str">
        <f t="shared" si="3"/>
        <v/>
      </c>
      <c r="BX88" s="102" t="str">
        <f t="shared" si="4"/>
        <v/>
      </c>
      <c r="BY88" s="107">
        <f t="shared" si="5"/>
        <v>0</v>
      </c>
      <c r="BZ88" s="107">
        <f t="array" ref="BZ88">IF($A88&lt;&gt;"",INDEX(LISTA!$M$2:$N$27,MATCH($BC88,LISTA!$N$2:$N$27,0),1),"")</f>
        <v>1</v>
      </c>
      <c r="CA88" s="67">
        <f t="shared" si="6"/>
        <v>6</v>
      </c>
      <c r="CB88" s="114" t="str">
        <f t="shared" si="7"/>
        <v/>
      </c>
      <c r="CC88" s="114"/>
    </row>
    <row r="89" ht="15.0" hidden="1" customHeight="1" outlineLevel="1">
      <c r="A89" s="59">
        <v>46198.85074146991</v>
      </c>
      <c r="B89" s="115" t="s">
        <v>349</v>
      </c>
      <c r="C89" s="54" t="s">
        <v>100</v>
      </c>
      <c r="D89" s="56"/>
      <c r="E89" s="69"/>
      <c r="F89" s="73" t="s">
        <v>1517</v>
      </c>
      <c r="G89" s="60" t="s">
        <v>1518</v>
      </c>
      <c r="H89" s="60"/>
      <c r="I89" s="67" t="s">
        <v>350</v>
      </c>
      <c r="J89" s="79" t="s">
        <v>1519</v>
      </c>
      <c r="K89" s="67" t="s">
        <v>109</v>
      </c>
      <c r="L89" s="79" t="s">
        <v>1520</v>
      </c>
      <c r="M89" s="83" t="s">
        <v>1521</v>
      </c>
      <c r="N89" s="78">
        <v>38910.0</v>
      </c>
      <c r="O89" s="80" t="s">
        <v>40</v>
      </c>
      <c r="P89" s="70" t="s">
        <v>228</v>
      </c>
      <c r="Q89" s="54"/>
      <c r="R89" s="84"/>
      <c r="S89" s="84"/>
      <c r="T89" s="54"/>
      <c r="U89" s="86"/>
      <c r="V89" s="54"/>
      <c r="W89" s="86"/>
      <c r="X89" s="54"/>
      <c r="Y89" s="78"/>
      <c r="Z89" s="54"/>
      <c r="AA89" s="70"/>
      <c r="AB89" s="83"/>
      <c r="AC89" s="83"/>
      <c r="AD89" s="83"/>
      <c r="AE89" s="83"/>
      <c r="AF89" s="83" t="s">
        <v>753</v>
      </c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54" t="s">
        <v>1528</v>
      </c>
      <c r="AR89" s="83" t="s">
        <v>1529</v>
      </c>
      <c r="AS89" s="83" t="s">
        <v>1530</v>
      </c>
      <c r="AT89" s="93" t="s">
        <v>1519</v>
      </c>
      <c r="AU89" s="93" t="s">
        <v>1519</v>
      </c>
      <c r="AV89" s="93" t="s">
        <v>1519</v>
      </c>
      <c r="AW89" s="83" t="s">
        <v>1531</v>
      </c>
      <c r="AX89" s="83">
        <v>7.0</v>
      </c>
      <c r="AY89" s="83">
        <v>703.0</v>
      </c>
      <c r="AZ89" s="83" t="s">
        <v>1532</v>
      </c>
      <c r="BA89" s="83" t="s">
        <v>1533</v>
      </c>
      <c r="BB89" s="83" t="s">
        <v>1534</v>
      </c>
      <c r="BC89" s="54" t="s">
        <v>41</v>
      </c>
      <c r="BD89" s="54" t="str">
        <f t="shared" si="1"/>
        <v>Carabayllo</v>
      </c>
      <c r="BE89" s="67" t="s">
        <v>143</v>
      </c>
      <c r="BF89" s="67" t="s">
        <v>141</v>
      </c>
      <c r="BG89" s="67" t="s">
        <v>142</v>
      </c>
      <c r="BH89" s="67"/>
      <c r="BI89" s="67"/>
      <c r="BJ89" s="67"/>
      <c r="BK89" s="67"/>
      <c r="BL89" s="67" t="s">
        <v>147</v>
      </c>
      <c r="BM89" s="67" t="s">
        <v>247</v>
      </c>
      <c r="BN89" s="100">
        <v>89.0</v>
      </c>
      <c r="BO89" s="102" t="s">
        <v>148</v>
      </c>
      <c r="BP89" s="67" t="s">
        <v>141</v>
      </c>
      <c r="BQ89" s="79" t="s">
        <v>141</v>
      </c>
      <c r="BR89" s="67" t="s">
        <v>149</v>
      </c>
      <c r="BS89" s="102" t="s">
        <v>149</v>
      </c>
      <c r="BT89" s="106"/>
      <c r="BU89" s="107"/>
      <c r="BV89" s="108">
        <f t="shared" si="2"/>
        <v>46198</v>
      </c>
      <c r="BW89" s="108" t="str">
        <f t="shared" si="3"/>
        <v/>
      </c>
      <c r="BX89" s="102" t="str">
        <f t="shared" si="4"/>
        <v/>
      </c>
      <c r="BY89" s="107">
        <f t="shared" si="5"/>
        <v>0</v>
      </c>
      <c r="BZ89" s="107">
        <f t="array" ref="BZ89">IF($A89&lt;&gt;"",INDEX(LISTA!$M$2:$N$27,MATCH($BC89,LISTA!$N$2:$N$27,0),1),"")</f>
        <v>1</v>
      </c>
      <c r="CA89" s="67">
        <f t="shared" si="6"/>
        <v>6</v>
      </c>
      <c r="CB89" s="114" t="str">
        <f t="shared" si="7"/>
        <v/>
      </c>
      <c r="CC89" s="114"/>
    </row>
    <row r="90" ht="15.0" hidden="1" customHeight="1" outlineLevel="1">
      <c r="A90" s="59">
        <v>46197.72086140046</v>
      </c>
      <c r="B90" s="115" t="s">
        <v>345</v>
      </c>
      <c r="C90" s="54" t="s">
        <v>100</v>
      </c>
      <c r="D90" s="56" t="s">
        <v>101</v>
      </c>
      <c r="E90" s="69"/>
      <c r="F90" s="73" t="s">
        <v>1622</v>
      </c>
      <c r="G90" s="60"/>
      <c r="H90" s="60"/>
      <c r="I90" s="67" t="s">
        <v>365</v>
      </c>
      <c r="J90" s="79" t="s">
        <v>1623</v>
      </c>
      <c r="K90" s="67" t="s">
        <v>109</v>
      </c>
      <c r="L90" s="79" t="s">
        <v>1624</v>
      </c>
      <c r="M90" s="83" t="s">
        <v>1625</v>
      </c>
      <c r="N90" s="78">
        <v>27780.0</v>
      </c>
      <c r="O90" s="80" t="s">
        <v>37</v>
      </c>
      <c r="P90" s="70" t="s">
        <v>500</v>
      </c>
      <c r="Q90" s="54"/>
      <c r="R90" s="84"/>
      <c r="S90" s="84"/>
      <c r="T90" s="54"/>
      <c r="U90" s="86"/>
      <c r="V90" s="54"/>
      <c r="W90" s="86"/>
      <c r="X90" s="54"/>
      <c r="Y90" s="78"/>
      <c r="Z90" s="54"/>
      <c r="AA90" s="70"/>
      <c r="AB90" s="83"/>
      <c r="AC90" s="83"/>
      <c r="AD90" s="83"/>
      <c r="AE90" s="83"/>
      <c r="AF90" s="83" t="s">
        <v>1626</v>
      </c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54" t="s">
        <v>1627</v>
      </c>
      <c r="AR90" s="83" t="s">
        <v>1628</v>
      </c>
      <c r="AS90" s="83" t="s">
        <v>1629</v>
      </c>
      <c r="AT90" s="93" t="s">
        <v>1630</v>
      </c>
      <c r="AU90" s="93" t="s">
        <v>1630</v>
      </c>
      <c r="AV90" s="93" t="s">
        <v>1630</v>
      </c>
      <c r="AW90" s="83" t="s">
        <v>1631</v>
      </c>
      <c r="AX90" s="83">
        <v>1.0</v>
      </c>
      <c r="AY90" s="83">
        <v>1.0</v>
      </c>
      <c r="AZ90" s="83" t="s">
        <v>1632</v>
      </c>
      <c r="BA90" s="83" t="s">
        <v>1633</v>
      </c>
      <c r="BB90" s="83" t="s">
        <v>1634</v>
      </c>
      <c r="BC90" s="54" t="s">
        <v>41</v>
      </c>
      <c r="BD90" s="54" t="str">
        <f t="shared" si="1"/>
        <v>Breña</v>
      </c>
      <c r="BE90" s="67" t="s">
        <v>143</v>
      </c>
      <c r="BF90" s="67" t="s">
        <v>141</v>
      </c>
      <c r="BG90" s="67" t="s">
        <v>142</v>
      </c>
      <c r="BH90" s="67"/>
      <c r="BI90" s="67"/>
      <c r="BJ90" s="67"/>
      <c r="BK90" s="67"/>
      <c r="BL90" s="67" t="s">
        <v>145</v>
      </c>
      <c r="BM90" s="67" t="s">
        <v>146</v>
      </c>
      <c r="BN90" s="100">
        <v>170.0</v>
      </c>
      <c r="BO90" s="102" t="s">
        <v>148</v>
      </c>
      <c r="BP90" s="67" t="s">
        <v>144</v>
      </c>
      <c r="BQ90" s="79" t="s">
        <v>141</v>
      </c>
      <c r="BR90" s="67">
        <v>2.0</v>
      </c>
      <c r="BS90" s="102" t="s">
        <v>149</v>
      </c>
      <c r="BT90" s="106"/>
      <c r="BU90" s="107"/>
      <c r="BV90" s="108">
        <f t="shared" si="2"/>
        <v>46197</v>
      </c>
      <c r="BW90" s="108" t="str">
        <f t="shared" si="3"/>
        <v/>
      </c>
      <c r="BX90" s="102" t="str">
        <f t="shared" si="4"/>
        <v/>
      </c>
      <c r="BY90" s="107">
        <f t="shared" si="5"/>
        <v>0</v>
      </c>
      <c r="BZ90" s="107">
        <f t="array" ref="BZ90">IF($A90&lt;&gt;"",INDEX(LISTA!$M$2:$N$27,MATCH($BC90,LISTA!$N$2:$N$27,0),1),"")</f>
        <v>1</v>
      </c>
      <c r="CA90" s="67">
        <f t="shared" si="6"/>
        <v>6</v>
      </c>
      <c r="CB90" s="114" t="str">
        <f t="shared" si="7"/>
        <v/>
      </c>
      <c r="CC90" s="114"/>
    </row>
    <row r="91" ht="15.0" hidden="1" customHeight="1" outlineLevel="1">
      <c r="A91" s="59">
        <v>46199.42360974537</v>
      </c>
      <c r="B91" s="115" t="s">
        <v>345</v>
      </c>
      <c r="C91" s="54" t="s">
        <v>100</v>
      </c>
      <c r="D91" s="56" t="s">
        <v>101</v>
      </c>
      <c r="E91" s="69"/>
      <c r="F91" s="73" t="s">
        <v>1635</v>
      </c>
      <c r="G91" s="60" t="s">
        <v>1636</v>
      </c>
      <c r="H91" s="60"/>
      <c r="I91" s="67" t="s">
        <v>287</v>
      </c>
      <c r="J91" s="79" t="s">
        <v>1637</v>
      </c>
      <c r="K91" s="67" t="s">
        <v>109</v>
      </c>
      <c r="L91" s="79" t="s">
        <v>1638</v>
      </c>
      <c r="M91" s="83" t="s">
        <v>1639</v>
      </c>
      <c r="N91" s="78">
        <v>30276.0</v>
      </c>
      <c r="O91" s="80" t="s">
        <v>31</v>
      </c>
      <c r="P91" s="70" t="s">
        <v>715</v>
      </c>
      <c r="Q91" s="54"/>
      <c r="R91" s="84"/>
      <c r="S91" s="84"/>
      <c r="T91" s="54"/>
      <c r="U91" s="86"/>
      <c r="V91" s="54"/>
      <c r="W91" s="86"/>
      <c r="X91" s="54" t="s">
        <v>1012</v>
      </c>
      <c r="Y91" s="78"/>
      <c r="Z91" s="54"/>
      <c r="AA91" s="70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54" t="s">
        <v>1640</v>
      </c>
      <c r="AR91" s="83" t="s">
        <v>705</v>
      </c>
      <c r="AS91" s="83" t="s">
        <v>1641</v>
      </c>
      <c r="AT91" s="93" t="s">
        <v>1637</v>
      </c>
      <c r="AU91" s="93" t="s">
        <v>1637</v>
      </c>
      <c r="AV91" s="93" t="s">
        <v>1637</v>
      </c>
      <c r="AW91" s="83" t="s">
        <v>1642</v>
      </c>
      <c r="AX91" s="83">
        <v>2.0</v>
      </c>
      <c r="AY91" s="83">
        <v>203.0</v>
      </c>
      <c r="AZ91" s="83" t="s">
        <v>1643</v>
      </c>
      <c r="BA91" s="83" t="s">
        <v>1644</v>
      </c>
      <c r="BB91" s="83" t="s">
        <v>1646</v>
      </c>
      <c r="BC91" s="54" t="s">
        <v>31</v>
      </c>
      <c r="BD91" s="54" t="str">
        <f t="shared" si="1"/>
        <v>Cusco</v>
      </c>
      <c r="BE91" s="67" t="s">
        <v>143</v>
      </c>
      <c r="BF91" s="67" t="s">
        <v>144</v>
      </c>
      <c r="BG91" s="67" t="s">
        <v>142</v>
      </c>
      <c r="BH91" s="67"/>
      <c r="BI91" s="67"/>
      <c r="BJ91" s="67"/>
      <c r="BK91" s="67"/>
      <c r="BL91" s="67" t="s">
        <v>147</v>
      </c>
      <c r="BM91" s="67" t="s">
        <v>146</v>
      </c>
      <c r="BN91" s="100">
        <v>44.0</v>
      </c>
      <c r="BO91" s="102" t="s">
        <v>1647</v>
      </c>
      <c r="BP91" s="67" t="s">
        <v>141</v>
      </c>
      <c r="BQ91" s="79" t="s">
        <v>141</v>
      </c>
      <c r="BR91" s="67" t="s">
        <v>149</v>
      </c>
      <c r="BS91" s="102" t="s">
        <v>149</v>
      </c>
      <c r="BT91" s="106"/>
      <c r="BU91" s="107"/>
      <c r="BV91" s="108">
        <f t="shared" si="2"/>
        <v>46199</v>
      </c>
      <c r="BW91" s="108" t="str">
        <f t="shared" si="3"/>
        <v/>
      </c>
      <c r="BX91" s="102" t="str">
        <f t="shared" si="4"/>
        <v/>
      </c>
      <c r="BY91" s="107">
        <f t="shared" si="5"/>
        <v>0</v>
      </c>
      <c r="BZ91" s="107">
        <f t="array" ref="BZ91">IF($A91&lt;&gt;"",INDEX(LISTA!$M$2:$N$27,MATCH($BC91,LISTA!$N$2:$N$27,0),1),"")</f>
        <v>10</v>
      </c>
      <c r="CA91" s="67">
        <f t="shared" si="6"/>
        <v>6</v>
      </c>
      <c r="CB91" s="114" t="str">
        <f t="shared" si="7"/>
        <v/>
      </c>
      <c r="CC91" s="114"/>
    </row>
    <row r="92" ht="15.0" hidden="1" customHeight="1" outlineLevel="1">
      <c r="A92" s="59">
        <v>46199.68498417824</v>
      </c>
      <c r="B92" s="115" t="s">
        <v>345</v>
      </c>
      <c r="C92" s="54" t="s">
        <v>100</v>
      </c>
      <c r="D92" s="56" t="s">
        <v>101</v>
      </c>
      <c r="E92" s="69"/>
      <c r="F92" s="73" t="s">
        <v>1648</v>
      </c>
      <c r="G92" s="60"/>
      <c r="H92" s="60"/>
      <c r="I92" s="67" t="s">
        <v>260</v>
      </c>
      <c r="J92" s="79" t="s">
        <v>1649</v>
      </c>
      <c r="K92" s="67" t="s">
        <v>109</v>
      </c>
      <c r="L92" s="79" t="s">
        <v>1650</v>
      </c>
      <c r="M92" s="83" t="s">
        <v>1651</v>
      </c>
      <c r="N92" s="78">
        <v>33765.0</v>
      </c>
      <c r="O92" s="80" t="s">
        <v>31</v>
      </c>
      <c r="P92" s="70" t="s">
        <v>1652</v>
      </c>
      <c r="Q92" s="54"/>
      <c r="R92" s="84"/>
      <c r="S92" s="84"/>
      <c r="T92" s="54"/>
      <c r="U92" s="86"/>
      <c r="V92" s="54"/>
      <c r="W92" s="86"/>
      <c r="X92" s="54" t="s">
        <v>299</v>
      </c>
      <c r="Y92" s="78"/>
      <c r="Z92" s="54"/>
      <c r="AA92" s="70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54" t="s">
        <v>1653</v>
      </c>
      <c r="AR92" s="83" t="s">
        <v>1654</v>
      </c>
      <c r="AS92" s="83" t="s">
        <v>1655</v>
      </c>
      <c r="AT92" s="93" t="s">
        <v>1649</v>
      </c>
      <c r="AU92" s="93" t="s">
        <v>1649</v>
      </c>
      <c r="AV92" s="93" t="s">
        <v>1649</v>
      </c>
      <c r="AW92" s="83" t="s">
        <v>1656</v>
      </c>
      <c r="AX92" s="83">
        <v>2.0</v>
      </c>
      <c r="AY92" s="83" t="s">
        <v>1657</v>
      </c>
      <c r="AZ92" s="83" t="s">
        <v>1658</v>
      </c>
      <c r="BA92" s="83" t="s">
        <v>1657</v>
      </c>
      <c r="BB92" s="83" t="s">
        <v>1659</v>
      </c>
      <c r="BC92" s="54" t="s">
        <v>31</v>
      </c>
      <c r="BD92" s="54" t="str">
        <f t="shared" si="1"/>
        <v>Espinar</v>
      </c>
      <c r="BE92" s="67" t="s">
        <v>140</v>
      </c>
      <c r="BF92" s="67" t="s">
        <v>141</v>
      </c>
      <c r="BG92" s="67" t="s">
        <v>142</v>
      </c>
      <c r="BH92" s="67"/>
      <c r="BI92" s="67"/>
      <c r="BJ92" s="67"/>
      <c r="BK92" s="67"/>
      <c r="BL92" s="67" t="s">
        <v>147</v>
      </c>
      <c r="BM92" s="67" t="s">
        <v>146</v>
      </c>
      <c r="BN92" s="100">
        <v>89.0</v>
      </c>
      <c r="BO92" s="102" t="s">
        <v>148</v>
      </c>
      <c r="BP92" s="67" t="s">
        <v>141</v>
      </c>
      <c r="BQ92" s="79" t="s">
        <v>141</v>
      </c>
      <c r="BR92" s="67" t="s">
        <v>149</v>
      </c>
      <c r="BS92" s="102">
        <v>1.0</v>
      </c>
      <c r="BT92" s="106"/>
      <c r="BU92" s="107"/>
      <c r="BV92" s="108">
        <f t="shared" si="2"/>
        <v>46199</v>
      </c>
      <c r="BW92" s="108" t="str">
        <f t="shared" si="3"/>
        <v/>
      </c>
      <c r="BX92" s="102" t="str">
        <f t="shared" si="4"/>
        <v/>
      </c>
      <c r="BY92" s="107">
        <f t="shared" si="5"/>
        <v>0</v>
      </c>
      <c r="BZ92" s="107">
        <f t="array" ref="BZ92">IF($A92&lt;&gt;"",INDEX(LISTA!$M$2:$N$27,MATCH($BC92,LISTA!$N$2:$N$27,0),1),"")</f>
        <v>10</v>
      </c>
      <c r="CA92" s="67">
        <f t="shared" si="6"/>
        <v>6</v>
      </c>
      <c r="CB92" s="114" t="str">
        <f t="shared" si="7"/>
        <v/>
      </c>
      <c r="CC92" s="114"/>
    </row>
    <row r="93" ht="15.0" hidden="1" customHeight="1" outlineLevel="1">
      <c r="A93" s="59">
        <v>46203.64094996528</v>
      </c>
      <c r="B93" s="115" t="s">
        <v>345</v>
      </c>
      <c r="C93" s="54" t="s">
        <v>100</v>
      </c>
      <c r="D93" s="56" t="s">
        <v>101</v>
      </c>
      <c r="E93" s="69"/>
      <c r="F93" s="73" t="s">
        <v>1660</v>
      </c>
      <c r="G93" s="60" t="s">
        <v>1661</v>
      </c>
      <c r="H93" s="60" t="s">
        <v>1227</v>
      </c>
      <c r="I93" s="67" t="s">
        <v>107</v>
      </c>
      <c r="J93" s="79" t="s">
        <v>1662</v>
      </c>
      <c r="K93" s="67" t="s">
        <v>109</v>
      </c>
      <c r="L93" s="79" t="s">
        <v>1663</v>
      </c>
      <c r="M93" s="83" t="s">
        <v>1664</v>
      </c>
      <c r="N93" s="78">
        <v>38090.0</v>
      </c>
      <c r="O93" s="80" t="s">
        <v>37</v>
      </c>
      <c r="P93" s="70" t="s">
        <v>228</v>
      </c>
      <c r="Q93" s="54"/>
      <c r="R93" s="84"/>
      <c r="S93" s="84"/>
      <c r="T93" s="54"/>
      <c r="U93" s="86"/>
      <c r="V93" s="54"/>
      <c r="W93" s="86"/>
      <c r="X93" s="54"/>
      <c r="Y93" s="78"/>
      <c r="Z93" s="54"/>
      <c r="AA93" s="70"/>
      <c r="AB93" s="83"/>
      <c r="AC93" s="83"/>
      <c r="AD93" s="83"/>
      <c r="AE93" s="83"/>
      <c r="AF93" s="83" t="s">
        <v>1665</v>
      </c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54" t="s">
        <v>644</v>
      </c>
      <c r="AR93" s="83" t="s">
        <v>1666</v>
      </c>
      <c r="AS93" s="83" t="s">
        <v>1667</v>
      </c>
      <c r="AT93" s="93" t="s">
        <v>1668</v>
      </c>
      <c r="AU93" s="93" t="s">
        <v>1668</v>
      </c>
      <c r="AV93" s="93" t="s">
        <v>1668</v>
      </c>
      <c r="AW93" s="83" t="s">
        <v>1669</v>
      </c>
      <c r="AX93" s="83">
        <v>3.0</v>
      </c>
      <c r="AY93" s="83">
        <v>1.0</v>
      </c>
      <c r="AZ93" s="83" t="s">
        <v>1670</v>
      </c>
      <c r="BA93" s="83" t="s">
        <v>1671</v>
      </c>
      <c r="BB93" s="83" t="s">
        <v>1672</v>
      </c>
      <c r="BC93" s="54" t="s">
        <v>41</v>
      </c>
      <c r="BD93" s="54" t="str">
        <f t="shared" si="1"/>
        <v>Puente Piedra</v>
      </c>
      <c r="BE93" s="67" t="s">
        <v>140</v>
      </c>
      <c r="BF93" s="67" t="s">
        <v>141</v>
      </c>
      <c r="BG93" s="67" t="s">
        <v>142</v>
      </c>
      <c r="BH93" s="67"/>
      <c r="BI93" s="67"/>
      <c r="BJ93" s="67"/>
      <c r="BK93" s="67"/>
      <c r="BL93" s="67" t="s">
        <v>283</v>
      </c>
      <c r="BM93" s="67" t="s">
        <v>146</v>
      </c>
      <c r="BN93" s="100">
        <v>94.0</v>
      </c>
      <c r="BO93" s="102" t="s">
        <v>148</v>
      </c>
      <c r="BP93" s="67" t="s">
        <v>141</v>
      </c>
      <c r="BQ93" s="79" t="s">
        <v>144</v>
      </c>
      <c r="BR93" s="67" t="s">
        <v>149</v>
      </c>
      <c r="BS93" s="102">
        <v>1.0</v>
      </c>
      <c r="BT93" s="106"/>
      <c r="BU93" s="107"/>
      <c r="BV93" s="108">
        <f t="shared" si="2"/>
        <v>46203</v>
      </c>
      <c r="BW93" s="108" t="str">
        <f t="shared" si="3"/>
        <v/>
      </c>
      <c r="BX93" s="102" t="str">
        <f t="shared" si="4"/>
        <v/>
      </c>
      <c r="BY93" s="107">
        <f t="shared" si="5"/>
        <v>0</v>
      </c>
      <c r="BZ93" s="107">
        <f t="array" ref="BZ93">IF($A93&lt;&gt;"",INDEX(LISTA!$M$2:$N$27,MATCH($BC93,LISTA!$N$2:$N$27,0),1),"")</f>
        <v>1</v>
      </c>
      <c r="CA93" s="67">
        <f t="shared" si="6"/>
        <v>6</v>
      </c>
      <c r="CB93" s="114" t="str">
        <f t="shared" si="7"/>
        <v/>
      </c>
      <c r="CC93" s="114"/>
    </row>
    <row r="94" ht="15.0" hidden="1" customHeight="1" outlineLevel="1">
      <c r="A94" s="59">
        <v>46185.77748748843</v>
      </c>
      <c r="B94" s="115" t="s">
        <v>364</v>
      </c>
      <c r="C94" s="54" t="s">
        <v>100</v>
      </c>
      <c r="D94" s="56"/>
      <c r="E94" s="69"/>
      <c r="F94" s="73" t="s">
        <v>1424</v>
      </c>
      <c r="G94" s="60" t="s">
        <v>1425</v>
      </c>
      <c r="H94" s="60"/>
      <c r="I94" s="67" t="s">
        <v>107</v>
      </c>
      <c r="J94" s="79" t="s">
        <v>1426</v>
      </c>
      <c r="K94" s="67" t="s">
        <v>109</v>
      </c>
      <c r="L94" s="79" t="s">
        <v>1427</v>
      </c>
      <c r="M94" s="83" t="s">
        <v>1428</v>
      </c>
      <c r="N94" s="78">
        <v>30726.0</v>
      </c>
      <c r="O94" s="80" t="s">
        <v>37</v>
      </c>
      <c r="P94" s="70" t="s">
        <v>550</v>
      </c>
      <c r="Q94" s="54"/>
      <c r="R94" s="84"/>
      <c r="S94" s="84"/>
      <c r="T94" s="54"/>
      <c r="U94" s="86"/>
      <c r="V94" s="54"/>
      <c r="W94" s="86"/>
      <c r="X94" s="54"/>
      <c r="Y94" s="78"/>
      <c r="Z94" s="54"/>
      <c r="AA94" s="70"/>
      <c r="AB94" s="83"/>
      <c r="AC94" s="83"/>
      <c r="AD94" s="83"/>
      <c r="AE94" s="83"/>
      <c r="AF94" s="83" t="s">
        <v>1433</v>
      </c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54" t="s">
        <v>837</v>
      </c>
      <c r="AR94" s="83" t="s">
        <v>1434</v>
      </c>
      <c r="AS94" s="83" t="s">
        <v>1435</v>
      </c>
      <c r="AT94" s="93" t="s">
        <v>1426</v>
      </c>
      <c r="AU94" s="93" t="s">
        <v>1426</v>
      </c>
      <c r="AV94" s="93" t="s">
        <v>1426</v>
      </c>
      <c r="AW94" s="83" t="s">
        <v>1436</v>
      </c>
      <c r="AX94" s="83">
        <v>16.0</v>
      </c>
      <c r="AY94" s="83">
        <v>1606.0</v>
      </c>
      <c r="AZ94" s="83" t="s">
        <v>1437</v>
      </c>
      <c r="BA94" s="83" t="s">
        <v>1438</v>
      </c>
      <c r="BB94" s="83" t="s">
        <v>1439</v>
      </c>
      <c r="BC94" s="54" t="s">
        <v>41</v>
      </c>
      <c r="BD94" s="54" t="str">
        <f t="shared" si="1"/>
        <v>Independencia</v>
      </c>
      <c r="BE94" s="67" t="s">
        <v>140</v>
      </c>
      <c r="BF94" s="67" t="s">
        <v>144</v>
      </c>
      <c r="BG94" s="67" t="s">
        <v>142</v>
      </c>
      <c r="BH94" s="67"/>
      <c r="BI94" s="67"/>
      <c r="BJ94" s="67"/>
      <c r="BK94" s="67"/>
      <c r="BL94" s="67" t="s">
        <v>1444</v>
      </c>
      <c r="BM94" s="67" t="s">
        <v>214</v>
      </c>
      <c r="BN94" s="100">
        <v>225.0</v>
      </c>
      <c r="BO94" s="102" t="s">
        <v>330</v>
      </c>
      <c r="BP94" s="67" t="s">
        <v>144</v>
      </c>
      <c r="BQ94" s="79" t="s">
        <v>141</v>
      </c>
      <c r="BR94" s="67">
        <v>1.0</v>
      </c>
      <c r="BS94" s="102">
        <v>2.0</v>
      </c>
      <c r="BT94" s="106"/>
      <c r="BU94" s="107"/>
      <c r="BV94" s="108">
        <f t="shared" si="2"/>
        <v>46185</v>
      </c>
      <c r="BW94" s="108" t="str">
        <f t="shared" si="3"/>
        <v/>
      </c>
      <c r="BX94" s="102" t="str">
        <f t="shared" si="4"/>
        <v/>
      </c>
      <c r="BY94" s="107">
        <f t="shared" si="5"/>
        <v>0</v>
      </c>
      <c r="BZ94" s="107">
        <f t="array" ref="BZ94">IF($A94&lt;&gt;"",INDEX(LISTA!$M$2:$N$27,MATCH($BC94,LISTA!$N$2:$N$27,0),1),"")</f>
        <v>1</v>
      </c>
      <c r="CA94" s="67">
        <f t="shared" si="6"/>
        <v>6</v>
      </c>
      <c r="CB94" s="114" t="str">
        <f t="shared" si="7"/>
        <v/>
      </c>
      <c r="CC94" s="114"/>
    </row>
    <row r="95" ht="15.0" customHeight="1" collapsed="1">
      <c r="A95" s="59">
        <v>46204.407650532405</v>
      </c>
      <c r="B95" s="115" t="s">
        <v>105</v>
      </c>
      <c r="C95" s="54" t="s">
        <v>100</v>
      </c>
      <c r="D95" s="56" t="s">
        <v>101</v>
      </c>
      <c r="E95" s="69">
        <v>46204.666666666664</v>
      </c>
      <c r="F95" s="73" t="s">
        <v>103</v>
      </c>
      <c r="G95" s="60" t="s">
        <v>1673</v>
      </c>
      <c r="H95" s="60" t="s">
        <v>1674</v>
      </c>
      <c r="I95" s="67" t="s">
        <v>350</v>
      </c>
      <c r="J95" s="79" t="s">
        <v>1675</v>
      </c>
      <c r="K95" s="67" t="s">
        <v>109</v>
      </c>
      <c r="L95" s="79" t="s">
        <v>540</v>
      </c>
      <c r="M95" s="83" t="s">
        <v>1676</v>
      </c>
      <c r="N95" s="78">
        <v>29437.0</v>
      </c>
      <c r="O95" s="80" t="s">
        <v>41</v>
      </c>
      <c r="P95" s="70" t="s">
        <v>1354</v>
      </c>
      <c r="Q95" s="54"/>
      <c r="R95" s="84"/>
      <c r="S95" s="84"/>
      <c r="T95" s="54"/>
      <c r="U95" s="86"/>
      <c r="V95" s="54"/>
      <c r="W95" s="86"/>
      <c r="X95" s="54"/>
      <c r="Y95" s="78"/>
      <c r="Z95" s="54"/>
      <c r="AA95" s="70"/>
      <c r="AB95" s="83"/>
      <c r="AC95" s="83"/>
      <c r="AD95" s="83"/>
      <c r="AE95" s="83"/>
      <c r="AF95" s="83" t="s">
        <v>1355</v>
      </c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54" t="s">
        <v>1677</v>
      </c>
      <c r="AR95" s="83" t="s">
        <v>1678</v>
      </c>
      <c r="AS95" s="83" t="s">
        <v>1679</v>
      </c>
      <c r="AT95" s="93" t="s">
        <v>1675</v>
      </c>
      <c r="AU95" s="93" t="s">
        <v>1675</v>
      </c>
      <c r="AV95" s="93" t="s">
        <v>1675</v>
      </c>
      <c r="AW95" s="83" t="s">
        <v>1680</v>
      </c>
      <c r="AX95" s="83">
        <v>2.0</v>
      </c>
      <c r="AY95" s="83">
        <v>1.0</v>
      </c>
      <c r="AZ95" s="83" t="s">
        <v>1681</v>
      </c>
      <c r="BA95" s="83" t="s">
        <v>1682</v>
      </c>
      <c r="BB95" s="83" t="s">
        <v>1683</v>
      </c>
      <c r="BC95" s="54" t="s">
        <v>41</v>
      </c>
      <c r="BD95" s="54" t="str">
        <f t="shared" si="1"/>
        <v>Villa María del Triunfo</v>
      </c>
      <c r="BE95" s="67" t="s">
        <v>140</v>
      </c>
      <c r="BF95" s="67" t="s">
        <v>144</v>
      </c>
      <c r="BG95" s="67" t="s">
        <v>142</v>
      </c>
      <c r="BH95" s="67"/>
      <c r="BI95" s="67"/>
      <c r="BJ95" s="67"/>
      <c r="BK95" s="67"/>
      <c r="BL95" s="67" t="s">
        <v>283</v>
      </c>
      <c r="BM95" s="67" t="s">
        <v>146</v>
      </c>
      <c r="BN95" s="100">
        <v>94.0</v>
      </c>
      <c r="BO95" s="102" t="s">
        <v>148</v>
      </c>
      <c r="BP95" s="67" t="s">
        <v>141</v>
      </c>
      <c r="BQ95" s="79" t="s">
        <v>144</v>
      </c>
      <c r="BR95" s="67" t="s">
        <v>149</v>
      </c>
      <c r="BS95" s="102">
        <v>1.0</v>
      </c>
      <c r="BT95" s="106">
        <v>46204.0</v>
      </c>
      <c r="BU95" s="107">
        <v>1.0</v>
      </c>
      <c r="BV95" s="108">
        <f t="shared" si="2"/>
        <v>46204</v>
      </c>
      <c r="BW95" s="108">
        <f t="shared" si="3"/>
        <v>46204</v>
      </c>
      <c r="BX95" s="102" t="str">
        <f t="shared" si="4"/>
        <v>16</v>
      </c>
      <c r="BY95" s="107">
        <f t="shared" si="5"/>
        <v>5</v>
      </c>
      <c r="BZ95" s="107">
        <f t="array" ref="BZ95">IF($A95&lt;&gt;"",INDEX(LISTA!$M$2:$N$27,MATCH($BC95,LISTA!$N$2:$N$27,0),1),"")</f>
        <v>1</v>
      </c>
      <c r="CA95" s="67">
        <f t="shared" si="6"/>
        <v>7</v>
      </c>
      <c r="CB95" s="114">
        <f t="shared" si="7"/>
        <v>7</v>
      </c>
      <c r="CC95" s="67">
        <v>5.8028053E7</v>
      </c>
    </row>
    <row r="96" ht="15.0" hidden="1" customHeight="1" outlineLevel="1">
      <c r="A96" s="59">
        <v>46205.49937225695</v>
      </c>
      <c r="B96" s="115" t="s">
        <v>105</v>
      </c>
      <c r="C96" s="54" t="s">
        <v>100</v>
      </c>
      <c r="D96" s="56" t="s">
        <v>101</v>
      </c>
      <c r="E96" s="69">
        <v>46206.583333333336</v>
      </c>
      <c r="F96" s="73" t="s">
        <v>1685</v>
      </c>
      <c r="G96" s="60" t="s">
        <v>1686</v>
      </c>
      <c r="H96" s="60" t="s">
        <v>1687</v>
      </c>
      <c r="I96" s="67" t="s">
        <v>293</v>
      </c>
      <c r="J96" s="79" t="s">
        <v>1688</v>
      </c>
      <c r="K96" s="67" t="s">
        <v>109</v>
      </c>
      <c r="L96" s="79" t="s">
        <v>569</v>
      </c>
      <c r="M96" s="83" t="s">
        <v>1689</v>
      </c>
      <c r="N96" s="78">
        <v>33532.0</v>
      </c>
      <c r="O96" s="80" t="s">
        <v>39</v>
      </c>
      <c r="P96" s="70">
        <v>120106.0</v>
      </c>
      <c r="Q96" s="54"/>
      <c r="R96" s="84"/>
      <c r="S96" s="84"/>
      <c r="T96" s="54"/>
      <c r="U96" s="86"/>
      <c r="V96" s="54"/>
      <c r="W96" s="86"/>
      <c r="X96" s="54"/>
      <c r="Y96" s="78"/>
      <c r="Z96" s="54"/>
      <c r="AA96" s="70"/>
      <c r="AB96" s="83"/>
      <c r="AC96" s="83" t="s">
        <v>1690</v>
      </c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54" t="s">
        <v>1691</v>
      </c>
      <c r="AR96" s="83" t="s">
        <v>1692</v>
      </c>
      <c r="AS96" s="83" t="s">
        <v>1693</v>
      </c>
      <c r="AT96" s="93" t="s">
        <v>1694</v>
      </c>
      <c r="AU96" s="93" t="s">
        <v>1694</v>
      </c>
      <c r="AV96" s="93" t="s">
        <v>1694</v>
      </c>
      <c r="AW96" s="83" t="s">
        <v>1695</v>
      </c>
      <c r="AX96" s="83">
        <v>1.0</v>
      </c>
      <c r="AY96" s="83" t="s">
        <v>238</v>
      </c>
      <c r="AZ96" s="83" t="s">
        <v>1696</v>
      </c>
      <c r="BA96" s="83" t="s">
        <v>1697</v>
      </c>
      <c r="BB96" s="83" t="s">
        <v>1698</v>
      </c>
      <c r="BC96" s="54" t="s">
        <v>39</v>
      </c>
      <c r="BD96" s="54" t="str">
        <f t="shared" si="1"/>
        <v>Trujillo</v>
      </c>
      <c r="BE96" s="67" t="s">
        <v>140</v>
      </c>
      <c r="BF96" s="67" t="s">
        <v>144</v>
      </c>
      <c r="BG96" s="67" t="s">
        <v>142</v>
      </c>
      <c r="BH96" s="67"/>
      <c r="BI96" s="67"/>
      <c r="BJ96" s="67"/>
      <c r="BK96" s="67"/>
      <c r="BL96" s="67" t="s">
        <v>147</v>
      </c>
      <c r="BM96" s="67" t="s">
        <v>146</v>
      </c>
      <c r="BN96" s="100">
        <v>69.0</v>
      </c>
      <c r="BO96" s="102" t="s">
        <v>615</v>
      </c>
      <c r="BP96" s="67" t="s">
        <v>141</v>
      </c>
      <c r="BQ96" s="79" t="s">
        <v>141</v>
      </c>
      <c r="BR96" s="67" t="s">
        <v>149</v>
      </c>
      <c r="BS96" s="102" t="s">
        <v>149</v>
      </c>
      <c r="BT96" s="106">
        <v>46205.0</v>
      </c>
      <c r="BU96" s="107">
        <v>6.0</v>
      </c>
      <c r="BV96" s="108">
        <f t="shared" si="2"/>
        <v>46205</v>
      </c>
      <c r="BW96" s="108">
        <f t="shared" si="3"/>
        <v>46206</v>
      </c>
      <c r="BX96" s="102" t="str">
        <f t="shared" si="4"/>
        <v>14</v>
      </c>
      <c r="BY96" s="107">
        <f t="shared" si="5"/>
        <v>5</v>
      </c>
      <c r="BZ96" s="107">
        <f t="array" ref="BZ96">IF($A96&lt;&gt;"",INDEX(LISTA!$M$2:$N$27,MATCH($BC96,LISTA!$N$2:$N$27,0),1),"")</f>
        <v>15</v>
      </c>
      <c r="CA96" s="67">
        <f t="shared" si="6"/>
        <v>7</v>
      </c>
      <c r="CB96" s="114">
        <f t="shared" si="7"/>
        <v>7</v>
      </c>
      <c r="CC96" s="67">
        <v>5.8037423E7</v>
      </c>
    </row>
    <row r="97" ht="15.0" hidden="1" customHeight="1" outlineLevel="1">
      <c r="A97" s="59">
        <v>46204.49621806713</v>
      </c>
      <c r="B97" s="115" t="s">
        <v>105</v>
      </c>
      <c r="C97" s="54" t="s">
        <v>100</v>
      </c>
      <c r="D97" s="56" t="s">
        <v>101</v>
      </c>
      <c r="E97" s="69">
        <v>46206.291666666664</v>
      </c>
      <c r="F97" s="73" t="s">
        <v>1699</v>
      </c>
      <c r="G97" s="60" t="s">
        <v>1700</v>
      </c>
      <c r="H97" s="60" t="s">
        <v>1701</v>
      </c>
      <c r="I97" s="67" t="s">
        <v>287</v>
      </c>
      <c r="J97" s="79" t="s">
        <v>1702</v>
      </c>
      <c r="K97" s="67" t="s">
        <v>109</v>
      </c>
      <c r="L97" s="79" t="s">
        <v>599</v>
      </c>
      <c r="M97" s="83" t="s">
        <v>600</v>
      </c>
      <c r="N97" s="78">
        <v>31298.0</v>
      </c>
      <c r="O97" s="80" t="s">
        <v>27</v>
      </c>
      <c r="P97" s="70" t="s">
        <v>1703</v>
      </c>
      <c r="Q97" s="54"/>
      <c r="R97" s="84"/>
      <c r="S97" s="84"/>
      <c r="T97" s="54" t="s">
        <v>122</v>
      </c>
      <c r="U97" s="86"/>
      <c r="V97" s="54"/>
      <c r="W97" s="86"/>
      <c r="X97" s="54"/>
      <c r="Y97" s="78"/>
      <c r="Z97" s="54"/>
      <c r="AA97" s="70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54" t="s">
        <v>1704</v>
      </c>
      <c r="AR97" s="83" t="s">
        <v>1705</v>
      </c>
      <c r="AS97" s="83" t="s">
        <v>1706</v>
      </c>
      <c r="AT97" s="93" t="s">
        <v>1702</v>
      </c>
      <c r="AU97" s="93" t="s">
        <v>1702</v>
      </c>
      <c r="AV97" s="93" t="s">
        <v>1702</v>
      </c>
      <c r="AW97" s="83" t="s">
        <v>1707</v>
      </c>
      <c r="AX97" s="83">
        <v>2.0</v>
      </c>
      <c r="AY97" s="83" t="s">
        <v>238</v>
      </c>
      <c r="AZ97" s="83" t="s">
        <v>1708</v>
      </c>
      <c r="BA97" s="83" t="s">
        <v>1709</v>
      </c>
      <c r="BB97" s="83" t="s">
        <v>1710</v>
      </c>
      <c r="BC97" s="54" t="s">
        <v>27</v>
      </c>
      <c r="BD97" s="54" t="str">
        <f t="shared" si="1"/>
        <v>Arequipa</v>
      </c>
      <c r="BE97" s="67" t="s">
        <v>140</v>
      </c>
      <c r="BF97" s="67" t="s">
        <v>144</v>
      </c>
      <c r="BG97" s="67" t="s">
        <v>142</v>
      </c>
      <c r="BH97" s="67"/>
      <c r="BI97" s="67"/>
      <c r="BJ97" s="67"/>
      <c r="BK97" s="67"/>
      <c r="BL97" s="67" t="s">
        <v>283</v>
      </c>
      <c r="BM97" s="67" t="s">
        <v>146</v>
      </c>
      <c r="BN97" s="100">
        <v>94.0</v>
      </c>
      <c r="BO97" s="102" t="s">
        <v>148</v>
      </c>
      <c r="BP97" s="67" t="s">
        <v>141</v>
      </c>
      <c r="BQ97" s="79" t="s">
        <v>144</v>
      </c>
      <c r="BR97" s="67" t="s">
        <v>149</v>
      </c>
      <c r="BS97" s="102">
        <v>1.0</v>
      </c>
      <c r="BT97" s="106">
        <v>46206.0</v>
      </c>
      <c r="BU97" s="107">
        <v>1.0</v>
      </c>
      <c r="BV97" s="108">
        <f t="shared" si="2"/>
        <v>46204</v>
      </c>
      <c r="BW97" s="108">
        <f t="shared" si="3"/>
        <v>46206</v>
      </c>
      <c r="BX97" s="102" t="str">
        <f t="shared" si="4"/>
        <v>07</v>
      </c>
      <c r="BY97" s="107">
        <f t="shared" si="5"/>
        <v>5</v>
      </c>
      <c r="BZ97" s="107">
        <f t="array" ref="BZ97">IF($A97&lt;&gt;"",INDEX(LISTA!$M$2:$N$27,MATCH($BC97,LISTA!$N$2:$N$27,0),1),"")</f>
        <v>7</v>
      </c>
      <c r="CA97" s="67">
        <f t="shared" si="6"/>
        <v>7</v>
      </c>
      <c r="CB97" s="114">
        <f t="shared" si="7"/>
        <v>7</v>
      </c>
      <c r="CC97" s="67">
        <v>5.8037148E7</v>
      </c>
    </row>
    <row r="98" ht="15.0" hidden="1" customHeight="1" outlineLevel="1">
      <c r="A98" s="59">
        <v>46205.43583428241</v>
      </c>
      <c r="B98" s="115" t="s">
        <v>105</v>
      </c>
      <c r="C98" s="54" t="s">
        <v>100</v>
      </c>
      <c r="D98" s="56" t="s">
        <v>101</v>
      </c>
      <c r="E98" s="69">
        <v>46206.375</v>
      </c>
      <c r="F98" s="73" t="s">
        <v>1711</v>
      </c>
      <c r="G98" s="60" t="s">
        <v>1712</v>
      </c>
      <c r="H98" s="60" t="s">
        <v>1713</v>
      </c>
      <c r="I98" s="67" t="s">
        <v>192</v>
      </c>
      <c r="J98" s="79" t="s">
        <v>1714</v>
      </c>
      <c r="K98" s="67" t="s">
        <v>109</v>
      </c>
      <c r="L98" s="79" t="s">
        <v>601</v>
      </c>
      <c r="M98" s="83" t="s">
        <v>602</v>
      </c>
      <c r="N98" s="78">
        <v>33490.0</v>
      </c>
      <c r="O98" s="80" t="s">
        <v>32</v>
      </c>
      <c r="P98" s="156" t="s">
        <v>1715</v>
      </c>
      <c r="Q98" s="54"/>
      <c r="R98" s="84"/>
      <c r="S98" s="84"/>
      <c r="T98" s="54"/>
      <c r="U98" s="86"/>
      <c r="V98" s="54"/>
      <c r="W98" s="86"/>
      <c r="X98" s="54"/>
      <c r="Y98" s="78"/>
      <c r="Z98" s="54"/>
      <c r="AA98" s="70"/>
      <c r="AB98" s="83" t="s">
        <v>766</v>
      </c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54" t="s">
        <v>1716</v>
      </c>
      <c r="AR98" s="83" t="s">
        <v>1717</v>
      </c>
      <c r="AS98" s="83" t="s">
        <v>1718</v>
      </c>
      <c r="AT98" s="93" t="s">
        <v>1714</v>
      </c>
      <c r="AU98" s="93" t="s">
        <v>1714</v>
      </c>
      <c r="AV98" s="93" t="s">
        <v>1714</v>
      </c>
      <c r="AW98" s="83" t="s">
        <v>1719</v>
      </c>
      <c r="AX98" s="83">
        <v>2.0</v>
      </c>
      <c r="AY98" s="83" t="s">
        <v>238</v>
      </c>
      <c r="AZ98" s="83" t="s">
        <v>1720</v>
      </c>
      <c r="BA98" s="83" t="s">
        <v>1721</v>
      </c>
      <c r="BB98" s="83" t="s">
        <v>1722</v>
      </c>
      <c r="BC98" s="54" t="s">
        <v>36</v>
      </c>
      <c r="BD98" s="54" t="str">
        <f t="shared" si="1"/>
        <v>Huancayo</v>
      </c>
      <c r="BE98" s="67" t="s">
        <v>140</v>
      </c>
      <c r="BF98" s="67" t="s">
        <v>144</v>
      </c>
      <c r="BG98" s="67" t="s">
        <v>142</v>
      </c>
      <c r="BH98" s="67"/>
      <c r="BI98" s="67"/>
      <c r="BJ98" s="67"/>
      <c r="BK98" s="67"/>
      <c r="BL98" s="67" t="s">
        <v>147</v>
      </c>
      <c r="BM98" s="67" t="s">
        <v>247</v>
      </c>
      <c r="BN98" s="100">
        <v>89.0</v>
      </c>
      <c r="BO98" s="102" t="s">
        <v>148</v>
      </c>
      <c r="BP98" s="67" t="s">
        <v>141</v>
      </c>
      <c r="BQ98" s="79" t="s">
        <v>141</v>
      </c>
      <c r="BR98" s="67" t="s">
        <v>149</v>
      </c>
      <c r="BS98" s="102">
        <v>1.0</v>
      </c>
      <c r="BT98" s="106">
        <v>46206.0</v>
      </c>
      <c r="BU98" s="107">
        <v>4.0</v>
      </c>
      <c r="BV98" s="108">
        <f t="shared" si="2"/>
        <v>46205</v>
      </c>
      <c r="BW98" s="108">
        <f t="shared" si="3"/>
        <v>46206</v>
      </c>
      <c r="BX98" s="102" t="str">
        <f t="shared" si="4"/>
        <v>09</v>
      </c>
      <c r="BY98" s="107">
        <f t="shared" si="5"/>
        <v>5</v>
      </c>
      <c r="BZ98" s="107">
        <f t="array" ref="BZ98">IF($A98&lt;&gt;"",INDEX(LISTA!$M$2:$N$27,MATCH($BC98,LISTA!$N$2:$N$27,0),1),"")</f>
        <v>14</v>
      </c>
      <c r="CA98" s="67">
        <f t="shared" si="6"/>
        <v>7</v>
      </c>
      <c r="CB98" s="114">
        <f t="shared" si="7"/>
        <v>7</v>
      </c>
      <c r="CC98" s="67">
        <v>5.8037272E7</v>
      </c>
    </row>
    <row r="99" ht="15.0" hidden="1" customHeight="1" outlineLevel="1">
      <c r="A99" s="59">
        <v>46204.61296825232</v>
      </c>
      <c r="B99" s="115" t="s">
        <v>105</v>
      </c>
      <c r="C99" s="54" t="s">
        <v>100</v>
      </c>
      <c r="D99" s="56" t="s">
        <v>101</v>
      </c>
      <c r="E99" s="69">
        <v>46206.583333333336</v>
      </c>
      <c r="F99" s="73" t="s">
        <v>1723</v>
      </c>
      <c r="G99" s="60" t="s">
        <v>1724</v>
      </c>
      <c r="H99" s="60" t="s">
        <v>1725</v>
      </c>
      <c r="I99" s="67" t="s">
        <v>355</v>
      </c>
      <c r="J99" s="79" t="s">
        <v>1726</v>
      </c>
      <c r="K99" s="67" t="s">
        <v>109</v>
      </c>
      <c r="L99" s="79" t="s">
        <v>596</v>
      </c>
      <c r="M99" s="83" t="s">
        <v>597</v>
      </c>
      <c r="N99" s="78">
        <v>30645.0</v>
      </c>
      <c r="O99" s="80" t="s">
        <v>29</v>
      </c>
      <c r="P99" s="70" t="s">
        <v>984</v>
      </c>
      <c r="Q99" s="54"/>
      <c r="R99" s="84"/>
      <c r="S99" s="84"/>
      <c r="T99" s="54"/>
      <c r="U99" s="86"/>
      <c r="V99" s="54" t="s">
        <v>1727</v>
      </c>
      <c r="W99" s="86"/>
      <c r="X99" s="54"/>
      <c r="Y99" s="78"/>
      <c r="Z99" s="54"/>
      <c r="AA99" s="70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54" t="s">
        <v>1728</v>
      </c>
      <c r="AR99" s="83" t="s">
        <v>957</v>
      </c>
      <c r="AS99" s="83" t="s">
        <v>1729</v>
      </c>
      <c r="AT99" s="93" t="s">
        <v>1726</v>
      </c>
      <c r="AU99" s="93" t="s">
        <v>1726</v>
      </c>
      <c r="AV99" s="93" t="s">
        <v>1726</v>
      </c>
      <c r="AW99" s="83" t="s">
        <v>1730</v>
      </c>
      <c r="AX99" s="83">
        <v>4.0</v>
      </c>
      <c r="AY99" s="83">
        <v>4.0</v>
      </c>
      <c r="AZ99" s="83" t="s">
        <v>1731</v>
      </c>
      <c r="BA99" s="83" t="s">
        <v>1732</v>
      </c>
      <c r="BB99" s="83" t="s">
        <v>1733</v>
      </c>
      <c r="BC99" s="54" t="s">
        <v>29</v>
      </c>
      <c r="BD99" s="54" t="str">
        <f t="shared" si="1"/>
        <v>Cajamarca</v>
      </c>
      <c r="BE99" s="67" t="s">
        <v>140</v>
      </c>
      <c r="BF99" s="67" t="s">
        <v>144</v>
      </c>
      <c r="BG99" s="67" t="s">
        <v>142</v>
      </c>
      <c r="BH99" s="67"/>
      <c r="BI99" s="67"/>
      <c r="BJ99" s="67"/>
      <c r="BK99" s="67"/>
      <c r="BL99" s="67" t="s">
        <v>283</v>
      </c>
      <c r="BM99" s="67" t="s">
        <v>146</v>
      </c>
      <c r="BN99" s="100">
        <v>94.0</v>
      </c>
      <c r="BO99" s="102" t="s">
        <v>148</v>
      </c>
      <c r="BP99" s="67" t="s">
        <v>141</v>
      </c>
      <c r="BQ99" s="79" t="s">
        <v>144</v>
      </c>
      <c r="BR99" s="67" t="s">
        <v>149</v>
      </c>
      <c r="BS99" s="102" t="s">
        <v>149</v>
      </c>
      <c r="BT99" s="106">
        <v>46206.0</v>
      </c>
      <c r="BU99" s="107">
        <v>8.0</v>
      </c>
      <c r="BV99" s="108">
        <f t="shared" si="2"/>
        <v>46204</v>
      </c>
      <c r="BW99" s="108">
        <f t="shared" si="3"/>
        <v>46206</v>
      </c>
      <c r="BX99" s="102" t="str">
        <f t="shared" si="4"/>
        <v>14</v>
      </c>
      <c r="BY99" s="107">
        <f t="shared" si="5"/>
        <v>5</v>
      </c>
      <c r="BZ99" s="107">
        <f t="array" ref="BZ99">IF($A99&lt;&gt;"",INDEX(LISTA!$M$2:$N$27,MATCH($BC99,LISTA!$N$2:$N$27,0),1),"")</f>
        <v>9</v>
      </c>
      <c r="CA99" s="67">
        <f t="shared" si="6"/>
        <v>7</v>
      </c>
      <c r="CB99" s="114">
        <f t="shared" si="7"/>
        <v>7</v>
      </c>
      <c r="CC99" s="67">
        <v>5.803205E7</v>
      </c>
    </row>
    <row r="100" ht="15.0" hidden="1" customHeight="1" outlineLevel="1">
      <c r="A100" s="59">
        <v>46204.63740599537</v>
      </c>
      <c r="B100" s="115" t="s">
        <v>105</v>
      </c>
      <c r="C100" s="54" t="s">
        <v>100</v>
      </c>
      <c r="D100" s="56" t="s">
        <v>101</v>
      </c>
      <c r="E100" s="69">
        <v>46207.458333333336</v>
      </c>
      <c r="F100" s="73" t="s">
        <v>1734</v>
      </c>
      <c r="G100" s="60" t="s">
        <v>1735</v>
      </c>
      <c r="H100" s="60" t="s">
        <v>1736</v>
      </c>
      <c r="I100" s="67" t="s">
        <v>107</v>
      </c>
      <c r="J100" s="79" t="s">
        <v>1737</v>
      </c>
      <c r="K100" s="67" t="s">
        <v>109</v>
      </c>
      <c r="L100" s="79" t="s">
        <v>607</v>
      </c>
      <c r="M100" s="83" t="s">
        <v>608</v>
      </c>
      <c r="N100" s="78">
        <v>24623.0</v>
      </c>
      <c r="O100" s="80" t="s">
        <v>27</v>
      </c>
      <c r="P100" s="70" t="s">
        <v>1738</v>
      </c>
      <c r="Q100" s="54"/>
      <c r="R100" s="84"/>
      <c r="S100" s="84"/>
      <c r="T100" s="54" t="s">
        <v>122</v>
      </c>
      <c r="U100" s="86"/>
      <c r="V100" s="54"/>
      <c r="W100" s="86"/>
      <c r="X100" s="54"/>
      <c r="Y100" s="78"/>
      <c r="Z100" s="54"/>
      <c r="AA100" s="70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54" t="s">
        <v>754</v>
      </c>
      <c r="AR100" s="83" t="s">
        <v>1739</v>
      </c>
      <c r="AS100" s="83" t="s">
        <v>1740</v>
      </c>
      <c r="AT100" s="93" t="s">
        <v>1737</v>
      </c>
      <c r="AU100" s="93" t="s">
        <v>1737</v>
      </c>
      <c r="AV100" s="93" t="s">
        <v>1741</v>
      </c>
      <c r="AW100" s="83" t="s">
        <v>1742</v>
      </c>
      <c r="AX100" s="83">
        <v>2.0</v>
      </c>
      <c r="AY100" s="83">
        <v>1.0</v>
      </c>
      <c r="AZ100" s="83" t="s">
        <v>1743</v>
      </c>
      <c r="BA100" s="83" t="s">
        <v>1744</v>
      </c>
      <c r="BB100" s="83" t="s">
        <v>1745</v>
      </c>
      <c r="BC100" s="54" t="s">
        <v>27</v>
      </c>
      <c r="BD100" s="54" t="str">
        <f t="shared" si="1"/>
        <v>Arequipa</v>
      </c>
      <c r="BE100" s="67" t="s">
        <v>140</v>
      </c>
      <c r="BF100" s="67" t="s">
        <v>144</v>
      </c>
      <c r="BG100" s="67" t="s">
        <v>142</v>
      </c>
      <c r="BH100" s="67"/>
      <c r="BI100" s="67"/>
      <c r="BJ100" s="67"/>
      <c r="BK100" s="67"/>
      <c r="BL100" s="67" t="s">
        <v>283</v>
      </c>
      <c r="BM100" s="67" t="s">
        <v>146</v>
      </c>
      <c r="BN100" s="100">
        <v>94.0</v>
      </c>
      <c r="BO100" s="102" t="s">
        <v>148</v>
      </c>
      <c r="BP100" s="67" t="s">
        <v>141</v>
      </c>
      <c r="BQ100" s="79" t="s">
        <v>144</v>
      </c>
      <c r="BR100" s="67" t="s">
        <v>149</v>
      </c>
      <c r="BS100" s="102">
        <v>1.0</v>
      </c>
      <c r="BT100" s="106">
        <v>46207.0</v>
      </c>
      <c r="BU100" s="107">
        <v>2.0</v>
      </c>
      <c r="BV100" s="108">
        <f t="shared" si="2"/>
        <v>46204</v>
      </c>
      <c r="BW100" s="108">
        <f t="shared" si="3"/>
        <v>46207</v>
      </c>
      <c r="BX100" s="102" t="str">
        <f t="shared" si="4"/>
        <v>11</v>
      </c>
      <c r="BY100" s="107">
        <f t="shared" si="5"/>
        <v>5</v>
      </c>
      <c r="BZ100" s="107">
        <f t="array" ref="BZ100">IF($A100&lt;&gt;"",INDEX(LISTA!$M$2:$N$27,MATCH($BC100,LISTA!$N$2:$N$27,0),1),"")</f>
        <v>7</v>
      </c>
      <c r="CA100" s="67">
        <f t="shared" si="6"/>
        <v>7</v>
      </c>
      <c r="CB100" s="114">
        <f t="shared" si="7"/>
        <v>7</v>
      </c>
      <c r="CC100" s="67">
        <v>5.8032494E7</v>
      </c>
    </row>
    <row r="101" ht="15.0" hidden="1" customHeight="1" outlineLevel="1">
      <c r="A101" s="59">
        <v>46205.367213969905</v>
      </c>
      <c r="B101" s="115" t="s">
        <v>105</v>
      </c>
      <c r="C101" s="54" t="s">
        <v>100</v>
      </c>
      <c r="D101" s="56" t="s">
        <v>101</v>
      </c>
      <c r="E101" s="69">
        <v>46207.375</v>
      </c>
      <c r="F101" s="73" t="s">
        <v>1746</v>
      </c>
      <c r="G101" s="60" t="s">
        <v>1747</v>
      </c>
      <c r="H101" s="60" t="s">
        <v>1748</v>
      </c>
      <c r="I101" s="67" t="s">
        <v>192</v>
      </c>
      <c r="J101" s="79" t="s">
        <v>1749</v>
      </c>
      <c r="K101" s="67" t="s">
        <v>109</v>
      </c>
      <c r="L101" s="79" t="s">
        <v>613</v>
      </c>
      <c r="M101" s="83" t="s">
        <v>614</v>
      </c>
      <c r="N101" s="78">
        <v>29326.0</v>
      </c>
      <c r="O101" s="80" t="s">
        <v>30</v>
      </c>
      <c r="P101" s="70">
        <v>240102.0</v>
      </c>
      <c r="Q101" s="54"/>
      <c r="R101" s="84"/>
      <c r="S101" s="84"/>
      <c r="T101" s="54"/>
      <c r="U101" s="86"/>
      <c r="V101" s="54"/>
      <c r="W101" s="86" t="s">
        <v>553</v>
      </c>
      <c r="X101" s="54"/>
      <c r="Y101" s="78"/>
      <c r="Z101" s="54"/>
      <c r="AA101" s="70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54" t="s">
        <v>315</v>
      </c>
      <c r="AR101" s="83" t="s">
        <v>236</v>
      </c>
      <c r="AS101" s="83" t="s">
        <v>1750</v>
      </c>
      <c r="AT101" s="93" t="s">
        <v>1749</v>
      </c>
      <c r="AU101" s="93" t="s">
        <v>1749</v>
      </c>
      <c r="AV101" s="93" t="s">
        <v>1749</v>
      </c>
      <c r="AW101" s="83" t="s">
        <v>1751</v>
      </c>
      <c r="AX101" s="83">
        <v>2.0</v>
      </c>
      <c r="AY101" s="83" t="s">
        <v>238</v>
      </c>
      <c r="AZ101" s="83" t="s">
        <v>1752</v>
      </c>
      <c r="BA101" s="83" t="s">
        <v>1753</v>
      </c>
      <c r="BB101" s="83" t="s">
        <v>1754</v>
      </c>
      <c r="BC101" s="54" t="s">
        <v>30</v>
      </c>
      <c r="BD101" s="54" t="str">
        <f t="shared" si="1"/>
        <v>Callao</v>
      </c>
      <c r="BE101" s="67" t="s">
        <v>140</v>
      </c>
      <c r="BF101" s="67" t="s">
        <v>141</v>
      </c>
      <c r="BG101" s="67" t="s">
        <v>142</v>
      </c>
      <c r="BH101" s="67"/>
      <c r="BI101" s="67"/>
      <c r="BJ101" s="67"/>
      <c r="BK101" s="67"/>
      <c r="BL101" s="67" t="s">
        <v>283</v>
      </c>
      <c r="BM101" s="67" t="s">
        <v>333</v>
      </c>
      <c r="BN101" s="100">
        <v>94.0</v>
      </c>
      <c r="BO101" s="102" t="s">
        <v>148</v>
      </c>
      <c r="BP101" s="67" t="s">
        <v>141</v>
      </c>
      <c r="BQ101" s="79" t="s">
        <v>144</v>
      </c>
      <c r="BR101" s="67" t="s">
        <v>149</v>
      </c>
      <c r="BS101" s="102">
        <v>1.0</v>
      </c>
      <c r="BT101" s="106">
        <v>46207.0</v>
      </c>
      <c r="BU101" s="107">
        <v>3.0</v>
      </c>
      <c r="BV101" s="108">
        <f t="shared" si="2"/>
        <v>46205</v>
      </c>
      <c r="BW101" s="108">
        <f t="shared" si="3"/>
        <v>46207</v>
      </c>
      <c r="BX101" s="102" t="str">
        <f t="shared" si="4"/>
        <v>09</v>
      </c>
      <c r="BY101" s="107">
        <f t="shared" si="5"/>
        <v>5</v>
      </c>
      <c r="BZ101" s="107">
        <f t="array" ref="BZ101">IF($A101&lt;&gt;"",INDEX(LISTA!$M$2:$N$27,MATCH($BC101,LISTA!$N$2:$N$27,0),1),"")</f>
        <v>2</v>
      </c>
      <c r="CA101" s="67">
        <f t="shared" si="6"/>
        <v>7</v>
      </c>
      <c r="CB101" s="114">
        <f t="shared" si="7"/>
        <v>7</v>
      </c>
      <c r="CC101" s="67">
        <v>5.8037214E7</v>
      </c>
    </row>
    <row r="102" ht="15.0" hidden="1" customHeight="1" outlineLevel="1">
      <c r="A102" s="59">
        <v>46206.42385831018</v>
      </c>
      <c r="B102" s="115" t="s">
        <v>105</v>
      </c>
      <c r="C102" s="54" t="s">
        <v>100</v>
      </c>
      <c r="D102" s="56" t="s">
        <v>101</v>
      </c>
      <c r="E102" s="69">
        <v>46207.583333333336</v>
      </c>
      <c r="F102" s="73" t="s">
        <v>1756</v>
      </c>
      <c r="G102" s="60" t="s">
        <v>1757</v>
      </c>
      <c r="H102" s="60" t="s">
        <v>1758</v>
      </c>
      <c r="I102" s="67" t="s">
        <v>369</v>
      </c>
      <c r="J102" s="79" t="s">
        <v>1759</v>
      </c>
      <c r="K102" s="67" t="s">
        <v>109</v>
      </c>
      <c r="L102" s="79" t="s">
        <v>616</v>
      </c>
      <c r="M102" s="83" t="s">
        <v>1760</v>
      </c>
      <c r="N102" s="78">
        <v>34231.0</v>
      </c>
      <c r="O102" s="80" t="s">
        <v>39</v>
      </c>
      <c r="P102" s="70">
        <v>120902.0</v>
      </c>
      <c r="Q102" s="54"/>
      <c r="R102" s="84"/>
      <c r="S102" s="84"/>
      <c r="T102" s="54"/>
      <c r="U102" s="86"/>
      <c r="V102" s="54"/>
      <c r="W102" s="86"/>
      <c r="X102" s="54"/>
      <c r="Y102" s="78"/>
      <c r="Z102" s="54"/>
      <c r="AA102" s="70"/>
      <c r="AB102" s="83"/>
      <c r="AC102" s="83" t="s">
        <v>1761</v>
      </c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54" t="s">
        <v>1762</v>
      </c>
      <c r="AR102" s="83" t="s">
        <v>125</v>
      </c>
      <c r="AS102" s="83" t="s">
        <v>1763</v>
      </c>
      <c r="AT102" s="93" t="s">
        <v>1764</v>
      </c>
      <c r="AU102" s="93" t="s">
        <v>1765</v>
      </c>
      <c r="AV102" s="93" t="s">
        <v>1764</v>
      </c>
      <c r="AW102" s="83" t="s">
        <v>1766</v>
      </c>
      <c r="AX102" s="83">
        <v>2.0</v>
      </c>
      <c r="AY102" s="83" t="s">
        <v>1767</v>
      </c>
      <c r="AZ102" s="83" t="s">
        <v>1768</v>
      </c>
      <c r="BA102" s="83" t="s">
        <v>1769</v>
      </c>
      <c r="BB102" s="83" t="s">
        <v>1770</v>
      </c>
      <c r="BC102" s="54" t="s">
        <v>39</v>
      </c>
      <c r="BD102" s="54" t="str">
        <f t="shared" si="1"/>
        <v>Chepén</v>
      </c>
      <c r="BE102" s="67" t="s">
        <v>140</v>
      </c>
      <c r="BF102" s="67" t="s">
        <v>141</v>
      </c>
      <c r="BG102" s="67" t="s">
        <v>142</v>
      </c>
      <c r="BH102" s="67"/>
      <c r="BI102" s="67"/>
      <c r="BJ102" s="67"/>
      <c r="BK102" s="67"/>
      <c r="BL102" s="67" t="s">
        <v>147</v>
      </c>
      <c r="BM102" s="67" t="s">
        <v>146</v>
      </c>
      <c r="BN102" s="100">
        <v>69.0</v>
      </c>
      <c r="BO102" s="102" t="s">
        <v>615</v>
      </c>
      <c r="BP102" s="67" t="s">
        <v>141</v>
      </c>
      <c r="BQ102" s="79" t="s">
        <v>141</v>
      </c>
      <c r="BR102" s="67" t="s">
        <v>149</v>
      </c>
      <c r="BS102" s="102" t="s">
        <v>149</v>
      </c>
      <c r="BT102" s="106">
        <v>46207.0</v>
      </c>
      <c r="BU102" s="107">
        <v>4.0</v>
      </c>
      <c r="BV102" s="108">
        <f t="shared" si="2"/>
        <v>46206</v>
      </c>
      <c r="BW102" s="108">
        <f t="shared" si="3"/>
        <v>46207</v>
      </c>
      <c r="BX102" s="102" t="str">
        <f t="shared" si="4"/>
        <v>14</v>
      </c>
      <c r="BY102" s="107">
        <f t="shared" si="5"/>
        <v>5</v>
      </c>
      <c r="BZ102" s="107">
        <f t="array" ref="BZ102">IF($A102&lt;&gt;"",INDEX(LISTA!$M$2:$N$27,MATCH($BC102,LISTA!$N$2:$N$27,0),1),"")</f>
        <v>15</v>
      </c>
      <c r="CA102" s="67">
        <f t="shared" si="6"/>
        <v>7</v>
      </c>
      <c r="CB102" s="114">
        <f t="shared" si="7"/>
        <v>7</v>
      </c>
      <c r="CC102" s="67">
        <v>5.8042978E7</v>
      </c>
    </row>
    <row r="103" ht="15.0" hidden="1" customHeight="1" outlineLevel="1">
      <c r="A103" s="59">
        <v>46207.517882581014</v>
      </c>
      <c r="B103" s="115" t="s">
        <v>105</v>
      </c>
      <c r="C103" s="54" t="s">
        <v>100</v>
      </c>
      <c r="D103" s="56" t="s">
        <v>101</v>
      </c>
      <c r="E103" s="69">
        <v>46208.375</v>
      </c>
      <c r="F103" s="73" t="s">
        <v>103</v>
      </c>
      <c r="G103" s="60" t="s">
        <v>1771</v>
      </c>
      <c r="H103" s="60" t="s">
        <v>1772</v>
      </c>
      <c r="I103" s="67" t="s">
        <v>192</v>
      </c>
      <c r="J103" s="79" t="s">
        <v>1773</v>
      </c>
      <c r="K103" s="67" t="s">
        <v>109</v>
      </c>
      <c r="L103" s="79" t="s">
        <v>618</v>
      </c>
      <c r="M103" s="83" t="s">
        <v>619</v>
      </c>
      <c r="N103" s="78">
        <v>34482.0</v>
      </c>
      <c r="O103" s="80" t="s">
        <v>37</v>
      </c>
      <c r="P103" s="156" t="s">
        <v>1774</v>
      </c>
      <c r="Q103" s="54"/>
      <c r="R103" s="84" t="s">
        <v>1284</v>
      </c>
      <c r="S103" s="84"/>
      <c r="T103" s="54"/>
      <c r="U103" s="86"/>
      <c r="V103" s="54"/>
      <c r="W103" s="86"/>
      <c r="X103" s="54"/>
      <c r="Y103" s="78"/>
      <c r="Z103" s="54"/>
      <c r="AA103" s="70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54" t="s">
        <v>1775</v>
      </c>
      <c r="AR103" s="83" t="s">
        <v>1776</v>
      </c>
      <c r="AS103" s="83" t="s">
        <v>1777</v>
      </c>
      <c r="AT103" s="93" t="s">
        <v>1773</v>
      </c>
      <c r="AU103" s="93" t="s">
        <v>1773</v>
      </c>
      <c r="AV103" s="93" t="s">
        <v>1773</v>
      </c>
      <c r="AW103" s="83" t="s">
        <v>1778</v>
      </c>
      <c r="AX103" s="83">
        <v>1.0</v>
      </c>
      <c r="AY103" s="83" t="s">
        <v>238</v>
      </c>
      <c r="AZ103" s="83" t="s">
        <v>1779</v>
      </c>
      <c r="BA103" s="83" t="s">
        <v>1780</v>
      </c>
      <c r="BB103" s="83" t="s">
        <v>1781</v>
      </c>
      <c r="BC103" s="54" t="s">
        <v>24</v>
      </c>
      <c r="BD103" s="54" t="str">
        <f t="shared" si="1"/>
        <v>Santa</v>
      </c>
      <c r="BE103" s="67" t="s">
        <v>140</v>
      </c>
      <c r="BF103" s="67" t="s">
        <v>141</v>
      </c>
      <c r="BG103" s="67" t="s">
        <v>142</v>
      </c>
      <c r="BH103" s="67"/>
      <c r="BI103" s="67"/>
      <c r="BJ103" s="67"/>
      <c r="BK103" s="67"/>
      <c r="BL103" s="67" t="s">
        <v>147</v>
      </c>
      <c r="BM103" s="67" t="s">
        <v>247</v>
      </c>
      <c r="BN103" s="100">
        <v>89.0</v>
      </c>
      <c r="BO103" s="102" t="s">
        <v>148</v>
      </c>
      <c r="BP103" s="67" t="s">
        <v>141</v>
      </c>
      <c r="BQ103" s="79" t="s">
        <v>141</v>
      </c>
      <c r="BR103" s="67" t="s">
        <v>149</v>
      </c>
      <c r="BS103" s="102">
        <v>1.0</v>
      </c>
      <c r="BT103" s="106">
        <v>46208.0</v>
      </c>
      <c r="BU103" s="107">
        <v>1.0</v>
      </c>
      <c r="BV103" s="108">
        <f t="shared" si="2"/>
        <v>46207</v>
      </c>
      <c r="BW103" s="108">
        <f t="shared" si="3"/>
        <v>46208</v>
      </c>
      <c r="BX103" s="102" t="str">
        <f t="shared" si="4"/>
        <v>09</v>
      </c>
      <c r="BY103" s="107">
        <f t="shared" si="5"/>
        <v>5</v>
      </c>
      <c r="BZ103" s="107">
        <f t="array" ref="BZ103">IF($A103&lt;&gt;"",INDEX(LISTA!$M$2:$N$27,MATCH($BC103,LISTA!$N$2:$N$27,0),1),"")</f>
        <v>5</v>
      </c>
      <c r="CA103" s="67">
        <f t="shared" si="6"/>
        <v>7</v>
      </c>
      <c r="CB103" s="114">
        <f t="shared" si="7"/>
        <v>7</v>
      </c>
      <c r="CC103" s="67">
        <v>5.8051232E7</v>
      </c>
    </row>
    <row r="104" ht="15.0" hidden="1" customHeight="1" outlineLevel="1">
      <c r="A104" s="59">
        <v>46207.695097627315</v>
      </c>
      <c r="B104" s="115" t="s">
        <v>105</v>
      </c>
      <c r="C104" s="54" t="s">
        <v>100</v>
      </c>
      <c r="D104" s="56" t="s">
        <v>101</v>
      </c>
      <c r="E104" s="69">
        <v>46209.458333333336</v>
      </c>
      <c r="F104" s="73" t="s">
        <v>248</v>
      </c>
      <c r="G104" s="60" t="s">
        <v>1782</v>
      </c>
      <c r="H104" s="60" t="s">
        <v>1783</v>
      </c>
      <c r="I104" s="67" t="s">
        <v>192</v>
      </c>
      <c r="J104" s="79" t="s">
        <v>1784</v>
      </c>
      <c r="K104" s="67" t="s">
        <v>109</v>
      </c>
      <c r="L104" s="79" t="s">
        <v>638</v>
      </c>
      <c r="M104" s="83" t="s">
        <v>639</v>
      </c>
      <c r="N104" s="78">
        <v>34140.0</v>
      </c>
      <c r="O104" s="80" t="s">
        <v>36</v>
      </c>
      <c r="P104" s="70">
        <v>110113.0</v>
      </c>
      <c r="Q104" s="54"/>
      <c r="R104" s="84"/>
      <c r="S104" s="84"/>
      <c r="T104" s="54"/>
      <c r="U104" s="86"/>
      <c r="V104" s="54"/>
      <c r="W104" s="86"/>
      <c r="X104" s="54"/>
      <c r="Y104" s="78"/>
      <c r="Z104" s="54"/>
      <c r="AA104" s="70"/>
      <c r="AB104" s="83" t="s">
        <v>766</v>
      </c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54" t="s">
        <v>127</v>
      </c>
      <c r="AR104" s="83" t="s">
        <v>1785</v>
      </c>
      <c r="AS104" s="83" t="s">
        <v>1786</v>
      </c>
      <c r="AT104" s="93" t="s">
        <v>1784</v>
      </c>
      <c r="AU104" s="93" t="s">
        <v>1784</v>
      </c>
      <c r="AV104" s="93" t="s">
        <v>1784</v>
      </c>
      <c r="AW104" s="83" t="s">
        <v>1787</v>
      </c>
      <c r="AX104" s="83">
        <v>2.0</v>
      </c>
      <c r="AY104" s="83" t="s">
        <v>238</v>
      </c>
      <c r="AZ104" s="83" t="s">
        <v>1788</v>
      </c>
      <c r="BA104" s="83" t="s">
        <v>1789</v>
      </c>
      <c r="BB104" s="83" t="s">
        <v>1790</v>
      </c>
      <c r="BC104" s="54" t="s">
        <v>36</v>
      </c>
      <c r="BD104" s="54" t="str">
        <f t="shared" si="1"/>
        <v>Huancayo</v>
      </c>
      <c r="BE104" s="67" t="s">
        <v>140</v>
      </c>
      <c r="BF104" s="67" t="s">
        <v>144</v>
      </c>
      <c r="BG104" s="67" t="s">
        <v>142</v>
      </c>
      <c r="BH104" s="67"/>
      <c r="BI104" s="67"/>
      <c r="BJ104" s="67"/>
      <c r="BK104" s="67"/>
      <c r="BL104" s="67" t="s">
        <v>147</v>
      </c>
      <c r="BM104" s="67" t="s">
        <v>247</v>
      </c>
      <c r="BN104" s="100">
        <v>89.0</v>
      </c>
      <c r="BO104" s="102" t="s">
        <v>148</v>
      </c>
      <c r="BP104" s="67" t="s">
        <v>141</v>
      </c>
      <c r="BQ104" s="79" t="s">
        <v>141</v>
      </c>
      <c r="BR104" s="67" t="s">
        <v>149</v>
      </c>
      <c r="BS104" s="102">
        <v>1.0</v>
      </c>
      <c r="BT104" s="106">
        <v>46209.0</v>
      </c>
      <c r="BU104" s="107">
        <v>1.0</v>
      </c>
      <c r="BV104" s="108">
        <f t="shared" si="2"/>
        <v>46207</v>
      </c>
      <c r="BW104" s="108">
        <f t="shared" si="3"/>
        <v>46209</v>
      </c>
      <c r="BX104" s="102" t="str">
        <f t="shared" si="4"/>
        <v>11</v>
      </c>
      <c r="BY104" s="107">
        <f t="shared" si="5"/>
        <v>5</v>
      </c>
      <c r="BZ104" s="107">
        <f t="array" ref="BZ104">IF($A104&lt;&gt;"",INDEX(LISTA!$M$2:$N$27,MATCH($BC104,LISTA!$N$2:$N$27,0),1),"")</f>
        <v>14</v>
      </c>
      <c r="CA104" s="67">
        <f t="shared" si="6"/>
        <v>7</v>
      </c>
      <c r="CB104" s="114">
        <f t="shared" si="7"/>
        <v>7</v>
      </c>
      <c r="CC104" s="67">
        <v>5.8053438E7</v>
      </c>
    </row>
    <row r="105" ht="15.0" hidden="1" customHeight="1" outlineLevel="1">
      <c r="A105" s="59">
        <v>46204.60578696759</v>
      </c>
      <c r="B105" s="115" t="s">
        <v>105</v>
      </c>
      <c r="C105" s="54" t="s">
        <v>100</v>
      </c>
      <c r="D105" s="56" t="s">
        <v>101</v>
      </c>
      <c r="E105" s="69">
        <v>46209.458333333336</v>
      </c>
      <c r="F105" s="73" t="s">
        <v>103</v>
      </c>
      <c r="G105" s="60" t="s">
        <v>1791</v>
      </c>
      <c r="H105" s="60" t="s">
        <v>1792</v>
      </c>
      <c r="I105" s="67" t="s">
        <v>350</v>
      </c>
      <c r="J105" s="79" t="s">
        <v>1793</v>
      </c>
      <c r="K105" s="67" t="s">
        <v>109</v>
      </c>
      <c r="L105" s="79" t="s">
        <v>640</v>
      </c>
      <c r="M105" s="83" t="s">
        <v>1794</v>
      </c>
      <c r="N105" s="78">
        <v>18149.0</v>
      </c>
      <c r="O105" s="80" t="s">
        <v>34</v>
      </c>
      <c r="P105" s="70" t="s">
        <v>1795</v>
      </c>
      <c r="Q105" s="54"/>
      <c r="R105" s="84"/>
      <c r="S105" s="84"/>
      <c r="T105" s="54"/>
      <c r="U105" s="86"/>
      <c r="V105" s="54"/>
      <c r="W105" s="86"/>
      <c r="X105" s="54"/>
      <c r="Y105" s="78"/>
      <c r="Z105" s="54"/>
      <c r="AA105" s="70" t="s">
        <v>1796</v>
      </c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54" t="s">
        <v>1797</v>
      </c>
      <c r="AR105" s="83" t="s">
        <v>1798</v>
      </c>
      <c r="AS105" s="83" t="s">
        <v>1799</v>
      </c>
      <c r="AT105" s="93" t="s">
        <v>1793</v>
      </c>
      <c r="AU105" s="93" t="s">
        <v>1793</v>
      </c>
      <c r="AV105" s="93" t="s">
        <v>1793</v>
      </c>
      <c r="AW105" s="83" t="s">
        <v>1800</v>
      </c>
      <c r="AX105" s="83">
        <v>1.0</v>
      </c>
      <c r="AY105" s="83">
        <v>1.0</v>
      </c>
      <c r="AZ105" s="83" t="s">
        <v>1801</v>
      </c>
      <c r="BA105" s="83" t="s">
        <v>1802</v>
      </c>
      <c r="BB105" s="83" t="s">
        <v>1803</v>
      </c>
      <c r="BC105" s="54" t="s">
        <v>34</v>
      </c>
      <c r="BD105" s="70" t="str">
        <f t="shared" si="1"/>
        <v>Chincha</v>
      </c>
      <c r="BE105" s="67" t="s">
        <v>140</v>
      </c>
      <c r="BF105" s="67" t="s">
        <v>141</v>
      </c>
      <c r="BG105" s="67" t="s">
        <v>142</v>
      </c>
      <c r="BH105" s="67"/>
      <c r="BI105" s="67"/>
      <c r="BJ105" s="67"/>
      <c r="BK105" s="67"/>
      <c r="BL105" s="67" t="s">
        <v>283</v>
      </c>
      <c r="BM105" s="67" t="s">
        <v>146</v>
      </c>
      <c r="BN105" s="100">
        <v>94.0</v>
      </c>
      <c r="BO105" s="102" t="s">
        <v>148</v>
      </c>
      <c r="BP105" s="67" t="s">
        <v>141</v>
      </c>
      <c r="BQ105" s="79" t="s">
        <v>144</v>
      </c>
      <c r="BR105" s="67" t="s">
        <v>149</v>
      </c>
      <c r="BS105" s="102">
        <v>1.0</v>
      </c>
      <c r="BT105" s="106">
        <v>46209.0</v>
      </c>
      <c r="BU105" s="107">
        <v>3.0</v>
      </c>
      <c r="BV105" s="108">
        <f t="shared" si="2"/>
        <v>46204</v>
      </c>
      <c r="BW105" s="108">
        <f t="shared" si="3"/>
        <v>46209</v>
      </c>
      <c r="BX105" s="102" t="str">
        <f t="shared" si="4"/>
        <v>11</v>
      </c>
      <c r="BY105" s="107">
        <f t="shared" si="5"/>
        <v>5</v>
      </c>
      <c r="BZ105" s="107">
        <f t="array" ref="BZ105">IF($A105&lt;&gt;"",INDEX(LISTA!$M$2:$N$27,MATCH($BC105,LISTA!$N$2:$N$27,0),1),"")</f>
        <v>13</v>
      </c>
      <c r="CA105" s="67">
        <f t="shared" si="6"/>
        <v>7</v>
      </c>
      <c r="CB105" s="114">
        <f t="shared" si="7"/>
        <v>7</v>
      </c>
      <c r="CC105" s="67">
        <v>5.8053653E7</v>
      </c>
    </row>
    <row r="106" ht="15.0" hidden="1" customHeight="1" outlineLevel="1">
      <c r="A106" s="59">
        <v>46204.55472395833</v>
      </c>
      <c r="B106" s="115" t="s">
        <v>105</v>
      </c>
      <c r="C106" s="54" t="s">
        <v>100</v>
      </c>
      <c r="D106" s="56" t="s">
        <v>101</v>
      </c>
      <c r="E106" s="69">
        <v>46209.75</v>
      </c>
      <c r="F106" s="73" t="s">
        <v>1804</v>
      </c>
      <c r="G106" s="60" t="s">
        <v>1805</v>
      </c>
      <c r="H106" s="60" t="s">
        <v>1806</v>
      </c>
      <c r="I106" s="67" t="s">
        <v>293</v>
      </c>
      <c r="J106" s="79" t="s">
        <v>1807</v>
      </c>
      <c r="K106" s="67" t="s">
        <v>109</v>
      </c>
      <c r="L106" s="79" t="s">
        <v>622</v>
      </c>
      <c r="M106" s="83" t="s">
        <v>623</v>
      </c>
      <c r="N106" s="78">
        <v>25815.0</v>
      </c>
      <c r="O106" s="80" t="s">
        <v>25</v>
      </c>
      <c r="P106" s="70" t="s">
        <v>1808</v>
      </c>
      <c r="Q106" s="54"/>
      <c r="R106" s="84"/>
      <c r="S106" s="84"/>
      <c r="T106" s="54" t="s">
        <v>122</v>
      </c>
      <c r="U106" s="86"/>
      <c r="V106" s="54"/>
      <c r="W106" s="86"/>
      <c r="X106" s="54"/>
      <c r="Y106" s="78"/>
      <c r="Z106" s="54"/>
      <c r="AA106" s="70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54" t="s">
        <v>1809</v>
      </c>
      <c r="AR106" s="83" t="s">
        <v>1810</v>
      </c>
      <c r="AS106" s="83" t="s">
        <v>1811</v>
      </c>
      <c r="AT106" s="93" t="s">
        <v>1807</v>
      </c>
      <c r="AU106" s="93" t="s">
        <v>1807</v>
      </c>
      <c r="AV106" s="93" t="s">
        <v>1807</v>
      </c>
      <c r="AW106" s="83" t="s">
        <v>1812</v>
      </c>
      <c r="AX106" s="83">
        <v>2.0</v>
      </c>
      <c r="AY106" s="83" t="s">
        <v>1813</v>
      </c>
      <c r="AZ106" s="83" t="s">
        <v>1814</v>
      </c>
      <c r="BA106" s="83" t="s">
        <v>1815</v>
      </c>
      <c r="BB106" s="83" t="s">
        <v>1816</v>
      </c>
      <c r="BC106" s="54" t="s">
        <v>27</v>
      </c>
      <c r="BD106" s="54" t="str">
        <f t="shared" si="1"/>
        <v>Arequipa</v>
      </c>
      <c r="BE106" s="67" t="s">
        <v>143</v>
      </c>
      <c r="BF106" s="67" t="s">
        <v>141</v>
      </c>
      <c r="BG106" s="67" t="s">
        <v>142</v>
      </c>
      <c r="BH106" s="67"/>
      <c r="BI106" s="67"/>
      <c r="BJ106" s="67"/>
      <c r="BK106" s="67"/>
      <c r="BL106" s="67" t="s">
        <v>147</v>
      </c>
      <c r="BM106" s="67" t="s">
        <v>146</v>
      </c>
      <c r="BN106" s="100">
        <v>44.0</v>
      </c>
      <c r="BO106" s="102" t="s">
        <v>1647</v>
      </c>
      <c r="BP106" s="67" t="s">
        <v>141</v>
      </c>
      <c r="BQ106" s="79" t="s">
        <v>141</v>
      </c>
      <c r="BR106" s="67" t="s">
        <v>149</v>
      </c>
      <c r="BS106" s="102" t="s">
        <v>149</v>
      </c>
      <c r="BT106" s="106">
        <v>46209.0</v>
      </c>
      <c r="BU106" s="107">
        <v>4.0</v>
      </c>
      <c r="BV106" s="108">
        <f t="shared" si="2"/>
        <v>46204</v>
      </c>
      <c r="BW106" s="108">
        <f t="shared" si="3"/>
        <v>46209</v>
      </c>
      <c r="BX106" s="102" t="str">
        <f t="shared" si="4"/>
        <v>18</v>
      </c>
      <c r="BY106" s="107">
        <f t="shared" si="5"/>
        <v>5</v>
      </c>
      <c r="BZ106" s="107">
        <f t="array" ref="BZ106">IF($A106&lt;&gt;"",INDEX(LISTA!$M$2:$N$27,MATCH($BC106,LISTA!$N$2:$N$27,0),1),"")</f>
        <v>7</v>
      </c>
      <c r="CA106" s="67">
        <f t="shared" si="6"/>
        <v>7</v>
      </c>
      <c r="CB106" s="114">
        <f t="shared" si="7"/>
        <v>7</v>
      </c>
      <c r="CC106" s="67">
        <v>5.8030788E7</v>
      </c>
    </row>
    <row r="107" ht="15.0" hidden="1" customHeight="1" outlineLevel="1">
      <c r="A107" s="59">
        <v>46204.539707337965</v>
      </c>
      <c r="B107" s="115" t="s">
        <v>105</v>
      </c>
      <c r="C107" s="54" t="s">
        <v>100</v>
      </c>
      <c r="D107" s="56" t="s">
        <v>101</v>
      </c>
      <c r="E107" s="69">
        <v>46209.458333333336</v>
      </c>
      <c r="F107" s="73" t="s">
        <v>1823</v>
      </c>
      <c r="G107" s="60" t="s">
        <v>1824</v>
      </c>
      <c r="H107" s="60" t="s">
        <v>1825</v>
      </c>
      <c r="I107" s="67" t="s">
        <v>360</v>
      </c>
      <c r="J107" s="79" t="s">
        <v>1826</v>
      </c>
      <c r="K107" s="67" t="s">
        <v>109</v>
      </c>
      <c r="L107" s="79" t="s">
        <v>626</v>
      </c>
      <c r="M107" s="83" t="s">
        <v>627</v>
      </c>
      <c r="N107" s="78">
        <v>35907.0</v>
      </c>
      <c r="O107" s="80" t="s">
        <v>48</v>
      </c>
      <c r="P107" s="70" t="s">
        <v>1827</v>
      </c>
      <c r="Q107" s="54"/>
      <c r="R107" s="84"/>
      <c r="S107" s="84"/>
      <c r="T107" s="54"/>
      <c r="U107" s="86"/>
      <c r="V107" s="54"/>
      <c r="W107" s="86"/>
      <c r="X107" s="54"/>
      <c r="Y107" s="78"/>
      <c r="Z107" s="54"/>
      <c r="AA107" s="70"/>
      <c r="AB107" s="83"/>
      <c r="AC107" s="83"/>
      <c r="AD107" s="83"/>
      <c r="AE107" s="83"/>
      <c r="AF107" s="83" t="s">
        <v>1056</v>
      </c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54" t="s">
        <v>1837</v>
      </c>
      <c r="AR107" s="83" t="s">
        <v>1838</v>
      </c>
      <c r="AS107" s="83" t="s">
        <v>1839</v>
      </c>
      <c r="AT107" s="93" t="s">
        <v>1826</v>
      </c>
      <c r="AU107" s="93" t="s">
        <v>1826</v>
      </c>
      <c r="AV107" s="93" t="s">
        <v>1826</v>
      </c>
      <c r="AW107" s="83" t="s">
        <v>1840</v>
      </c>
      <c r="AX107" s="83">
        <v>6.0</v>
      </c>
      <c r="AY107" s="83">
        <v>603.0</v>
      </c>
      <c r="AZ107" s="83" t="s">
        <v>1841</v>
      </c>
      <c r="BA107" s="83" t="s">
        <v>1842</v>
      </c>
      <c r="BB107" s="83" t="s">
        <v>1843</v>
      </c>
      <c r="BC107" s="54" t="s">
        <v>41</v>
      </c>
      <c r="BD107" s="54" t="str">
        <f t="shared" si="1"/>
        <v>San Borja</v>
      </c>
      <c r="BE107" s="67" t="s">
        <v>140</v>
      </c>
      <c r="BF107" s="67" t="s">
        <v>144</v>
      </c>
      <c r="BG107" s="67" t="s">
        <v>142</v>
      </c>
      <c r="BH107" s="67"/>
      <c r="BI107" s="67"/>
      <c r="BJ107" s="67"/>
      <c r="BK107" s="67"/>
      <c r="BL107" s="67" t="s">
        <v>283</v>
      </c>
      <c r="BM107" s="67" t="s">
        <v>146</v>
      </c>
      <c r="BN107" s="100">
        <v>94.0</v>
      </c>
      <c r="BO107" s="102" t="s">
        <v>148</v>
      </c>
      <c r="BP107" s="67" t="s">
        <v>141</v>
      </c>
      <c r="BQ107" s="79" t="s">
        <v>144</v>
      </c>
      <c r="BR107" s="67" t="s">
        <v>149</v>
      </c>
      <c r="BS107" s="102" t="s">
        <v>149</v>
      </c>
      <c r="BT107" s="106">
        <v>46209.0</v>
      </c>
      <c r="BU107" s="107">
        <v>5.0</v>
      </c>
      <c r="BV107" s="108">
        <f t="shared" si="2"/>
        <v>46204</v>
      </c>
      <c r="BW107" s="108">
        <f t="shared" si="3"/>
        <v>46209</v>
      </c>
      <c r="BX107" s="102" t="str">
        <f t="shared" si="4"/>
        <v>11</v>
      </c>
      <c r="BY107" s="107">
        <f t="shared" si="5"/>
        <v>5</v>
      </c>
      <c r="BZ107" s="107">
        <f t="array" ref="BZ107">IF($A107&lt;&gt;"",INDEX(LISTA!$M$2:$N$27,MATCH($BC107,LISTA!$N$2:$N$27,0),1),"")</f>
        <v>1</v>
      </c>
      <c r="CA107" s="67">
        <f t="shared" si="6"/>
        <v>7</v>
      </c>
      <c r="CB107" s="114">
        <f t="shared" si="7"/>
        <v>7</v>
      </c>
      <c r="CC107" s="67">
        <v>5.8032113E7</v>
      </c>
    </row>
    <row r="108" ht="15.0" hidden="1" customHeight="1" outlineLevel="1">
      <c r="A108" s="59">
        <v>46207.38577197917</v>
      </c>
      <c r="B108" s="115" t="s">
        <v>105</v>
      </c>
      <c r="C108" s="54" t="s">
        <v>100</v>
      </c>
      <c r="D108" s="56" t="s">
        <v>101</v>
      </c>
      <c r="E108" s="69">
        <v>46209.583333333336</v>
      </c>
      <c r="F108" s="73" t="s">
        <v>723</v>
      </c>
      <c r="G108" s="60" t="s">
        <v>1847</v>
      </c>
      <c r="H108" s="60" t="s">
        <v>1849</v>
      </c>
      <c r="I108" s="67" t="s">
        <v>287</v>
      </c>
      <c r="J108" s="79" t="s">
        <v>1850</v>
      </c>
      <c r="K108" s="67" t="s">
        <v>109</v>
      </c>
      <c r="L108" s="79" t="s">
        <v>631</v>
      </c>
      <c r="M108" s="83" t="s">
        <v>632</v>
      </c>
      <c r="N108" s="78">
        <v>33203.0</v>
      </c>
      <c r="O108" s="80" t="s">
        <v>48</v>
      </c>
      <c r="P108" s="70">
        <v>210101.0</v>
      </c>
      <c r="Q108" s="54"/>
      <c r="R108" s="84"/>
      <c r="S108" s="84"/>
      <c r="T108" s="54"/>
      <c r="U108" s="86"/>
      <c r="V108" s="54"/>
      <c r="W108" s="86"/>
      <c r="X108" s="54"/>
      <c r="Y108" s="78"/>
      <c r="Z108" s="54"/>
      <c r="AA108" s="70"/>
      <c r="AB108" s="83"/>
      <c r="AC108" s="83"/>
      <c r="AD108" s="83"/>
      <c r="AE108" s="83" t="s">
        <v>230</v>
      </c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54" t="s">
        <v>1853</v>
      </c>
      <c r="AR108" s="83" t="s">
        <v>1854</v>
      </c>
      <c r="AS108" s="83" t="s">
        <v>1855</v>
      </c>
      <c r="AT108" s="93" t="s">
        <v>1850</v>
      </c>
      <c r="AU108" s="93" t="s">
        <v>1850</v>
      </c>
      <c r="AV108" s="93" t="s">
        <v>1850</v>
      </c>
      <c r="AW108" s="83" t="s">
        <v>1856</v>
      </c>
      <c r="AX108" s="83">
        <v>1.0</v>
      </c>
      <c r="AY108" s="83" t="s">
        <v>238</v>
      </c>
      <c r="AZ108" s="83" t="s">
        <v>1857</v>
      </c>
      <c r="BA108" s="83" t="s">
        <v>1858</v>
      </c>
      <c r="BB108" s="83" t="s">
        <v>1859</v>
      </c>
      <c r="BC108" s="54" t="s">
        <v>37</v>
      </c>
      <c r="BD108" s="54" t="str">
        <f t="shared" si="1"/>
        <v>Huaura</v>
      </c>
      <c r="BE108" s="67" t="s">
        <v>140</v>
      </c>
      <c r="BF108" s="67" t="s">
        <v>144</v>
      </c>
      <c r="BG108" s="67" t="s">
        <v>142</v>
      </c>
      <c r="BH108" s="67"/>
      <c r="BI108" s="67"/>
      <c r="BJ108" s="67"/>
      <c r="BK108" s="67"/>
      <c r="BL108" s="67" t="s">
        <v>145</v>
      </c>
      <c r="BM108" s="67" t="s">
        <v>146</v>
      </c>
      <c r="BN108" s="100">
        <v>150.0</v>
      </c>
      <c r="BO108" s="102" t="s">
        <v>148</v>
      </c>
      <c r="BP108" s="67" t="s">
        <v>144</v>
      </c>
      <c r="BQ108" s="79" t="s">
        <v>141</v>
      </c>
      <c r="BR108" s="67">
        <v>2.0</v>
      </c>
      <c r="BS108" s="102" t="s">
        <v>149</v>
      </c>
      <c r="BT108" s="106">
        <v>46209.0</v>
      </c>
      <c r="BU108" s="107">
        <v>6.0</v>
      </c>
      <c r="BV108" s="108">
        <f t="shared" si="2"/>
        <v>46207</v>
      </c>
      <c r="BW108" s="108">
        <f t="shared" si="3"/>
        <v>46209</v>
      </c>
      <c r="BX108" s="102" t="str">
        <f t="shared" si="4"/>
        <v>14</v>
      </c>
      <c r="BY108" s="107">
        <f t="shared" si="5"/>
        <v>5</v>
      </c>
      <c r="BZ108" s="107">
        <f t="array" ref="BZ108">IF($A108&lt;&gt;"",INDEX(LISTA!$M$2:$N$27,MATCH($BC108,LISTA!$N$2:$N$27,0),1),"")</f>
        <v>3</v>
      </c>
      <c r="CA108" s="67">
        <f t="shared" si="6"/>
        <v>7</v>
      </c>
      <c r="CB108" s="114">
        <f t="shared" si="7"/>
        <v>7</v>
      </c>
      <c r="CC108" s="67">
        <v>5.8050302E7</v>
      </c>
    </row>
    <row r="109" ht="15.0" hidden="1" customHeight="1" outlineLevel="1">
      <c r="A109" s="59">
        <v>46209.516506493055</v>
      </c>
      <c r="B109" s="115" t="s">
        <v>105</v>
      </c>
      <c r="C109" s="54" t="s">
        <v>100</v>
      </c>
      <c r="D109" s="56" t="s">
        <v>101</v>
      </c>
      <c r="E109" s="69">
        <v>46210.375</v>
      </c>
      <c r="F109" s="73" t="s">
        <v>103</v>
      </c>
      <c r="G109" s="60" t="s">
        <v>1861</v>
      </c>
      <c r="H109" s="60" t="s">
        <v>1862</v>
      </c>
      <c r="I109" s="67" t="s">
        <v>363</v>
      </c>
      <c r="J109" s="79" t="s">
        <v>1864</v>
      </c>
      <c r="K109" s="67" t="s">
        <v>109</v>
      </c>
      <c r="L109" s="79" t="s">
        <v>642</v>
      </c>
      <c r="M109" s="83" t="s">
        <v>643</v>
      </c>
      <c r="N109" s="78">
        <v>36764.0</v>
      </c>
      <c r="O109" s="80" t="s">
        <v>37</v>
      </c>
      <c r="P109" s="70">
        <v>150101.0</v>
      </c>
      <c r="Q109" s="54"/>
      <c r="R109" s="84" t="s">
        <v>1284</v>
      </c>
      <c r="S109" s="84"/>
      <c r="T109" s="54"/>
      <c r="U109" s="86"/>
      <c r="V109" s="54"/>
      <c r="W109" s="86"/>
      <c r="X109" s="54"/>
      <c r="Y109" s="78"/>
      <c r="Z109" s="54"/>
      <c r="AA109" s="70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54" t="s">
        <v>644</v>
      </c>
      <c r="AR109" s="83" t="s">
        <v>1869</v>
      </c>
      <c r="AS109" s="83" t="s">
        <v>1871</v>
      </c>
      <c r="AT109" s="93" t="s">
        <v>1864</v>
      </c>
      <c r="AU109" s="93" t="s">
        <v>1864</v>
      </c>
      <c r="AV109" s="93" t="s">
        <v>1864</v>
      </c>
      <c r="AW109" s="83" t="s">
        <v>1872</v>
      </c>
      <c r="AX109" s="83">
        <v>2.0</v>
      </c>
      <c r="AY109" s="83">
        <v>0.0</v>
      </c>
      <c r="AZ109" s="83" t="s">
        <v>1873</v>
      </c>
      <c r="BA109" s="83" t="s">
        <v>1874</v>
      </c>
      <c r="BB109" s="83" t="s">
        <v>1875</v>
      </c>
      <c r="BC109" s="54" t="s">
        <v>24</v>
      </c>
      <c r="BD109" s="54" t="str">
        <f t="shared" si="1"/>
        <v>Santa</v>
      </c>
      <c r="BE109" s="67" t="s">
        <v>140</v>
      </c>
      <c r="BF109" s="67" t="s">
        <v>141</v>
      </c>
      <c r="BG109" s="67" t="s">
        <v>142</v>
      </c>
      <c r="BH109" s="67"/>
      <c r="BI109" s="67"/>
      <c r="BJ109" s="67"/>
      <c r="BK109" s="67"/>
      <c r="BL109" s="67" t="s">
        <v>147</v>
      </c>
      <c r="BM109" s="67" t="s">
        <v>146</v>
      </c>
      <c r="BN109" s="100">
        <v>110.0</v>
      </c>
      <c r="BO109" s="102" t="s">
        <v>182</v>
      </c>
      <c r="BP109" s="67" t="s">
        <v>144</v>
      </c>
      <c r="BQ109" s="79" t="s">
        <v>141</v>
      </c>
      <c r="BR109" s="67" t="s">
        <v>149</v>
      </c>
      <c r="BS109" s="102" t="s">
        <v>149</v>
      </c>
      <c r="BT109" s="106">
        <v>46210.0</v>
      </c>
      <c r="BU109" s="107">
        <v>1.0</v>
      </c>
      <c r="BV109" s="108">
        <f t="shared" si="2"/>
        <v>46209</v>
      </c>
      <c r="BW109" s="108">
        <f t="shared" si="3"/>
        <v>46210</v>
      </c>
      <c r="BX109" s="102" t="str">
        <f t="shared" si="4"/>
        <v>09</v>
      </c>
      <c r="BY109" s="107">
        <f t="shared" si="5"/>
        <v>5</v>
      </c>
      <c r="BZ109" s="107">
        <f t="array" ref="BZ109">IF($A109&lt;&gt;"",INDEX(LISTA!$M$2:$N$27,MATCH($BC109,LISTA!$N$2:$N$27,0),1),"")</f>
        <v>5</v>
      </c>
      <c r="CA109" s="67">
        <f t="shared" si="6"/>
        <v>7</v>
      </c>
      <c r="CB109" s="114">
        <f t="shared" si="7"/>
        <v>7</v>
      </c>
      <c r="CC109" s="67">
        <v>5.8060502E7</v>
      </c>
    </row>
    <row r="110" ht="15.0" hidden="1" customHeight="1" outlineLevel="1">
      <c r="A110" s="59">
        <v>46210.38948210648</v>
      </c>
      <c r="B110" s="115" t="s">
        <v>105</v>
      </c>
      <c r="C110" s="54" t="s">
        <v>100</v>
      </c>
      <c r="D110" s="56" t="s">
        <v>101</v>
      </c>
      <c r="E110" s="69">
        <v>46210.583333333336</v>
      </c>
      <c r="F110" s="73" t="s">
        <v>103</v>
      </c>
      <c r="G110" s="60" t="s">
        <v>1876</v>
      </c>
      <c r="H110" s="60" t="s">
        <v>1877</v>
      </c>
      <c r="I110" s="67" t="s">
        <v>350</v>
      </c>
      <c r="J110" s="79" t="s">
        <v>1878</v>
      </c>
      <c r="K110" s="67" t="s">
        <v>109</v>
      </c>
      <c r="L110" s="79" t="s">
        <v>654</v>
      </c>
      <c r="M110" s="83" t="s">
        <v>655</v>
      </c>
      <c r="N110" s="78">
        <v>36841.0</v>
      </c>
      <c r="O110" s="80" t="s">
        <v>39</v>
      </c>
      <c r="P110" s="70">
        <v>130901.0</v>
      </c>
      <c r="Q110" s="54"/>
      <c r="R110" s="84"/>
      <c r="S110" s="84"/>
      <c r="T110" s="54"/>
      <c r="U110" s="86"/>
      <c r="V110" s="54"/>
      <c r="W110" s="86"/>
      <c r="X110" s="54"/>
      <c r="Y110" s="78"/>
      <c r="Z110" s="54"/>
      <c r="AA110" s="70"/>
      <c r="AB110" s="83"/>
      <c r="AC110" s="83" t="s">
        <v>840</v>
      </c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54" t="s">
        <v>1879</v>
      </c>
      <c r="AR110" s="83" t="s">
        <v>1880</v>
      </c>
      <c r="AS110" s="83" t="s">
        <v>1881</v>
      </c>
      <c r="AT110" s="93" t="s">
        <v>1878</v>
      </c>
      <c r="AU110" s="93" t="s">
        <v>1878</v>
      </c>
      <c r="AV110" s="93" t="s">
        <v>1878</v>
      </c>
      <c r="AW110" s="83" t="s">
        <v>1882</v>
      </c>
      <c r="AX110" s="83">
        <v>1.0</v>
      </c>
      <c r="AY110" s="83">
        <v>0.0</v>
      </c>
      <c r="AZ110" s="83" t="s">
        <v>1883</v>
      </c>
      <c r="BA110" s="83" t="s">
        <v>1884</v>
      </c>
      <c r="BB110" s="83" t="s">
        <v>1885</v>
      </c>
      <c r="BC110" s="54" t="s">
        <v>39</v>
      </c>
      <c r="BD110" s="54" t="str">
        <f t="shared" si="1"/>
        <v>Sánchez Carrión</v>
      </c>
      <c r="BE110" s="67" t="s">
        <v>140</v>
      </c>
      <c r="BF110" s="67" t="s">
        <v>144</v>
      </c>
      <c r="BG110" s="67" t="s">
        <v>142</v>
      </c>
      <c r="BH110" s="67"/>
      <c r="BI110" s="67"/>
      <c r="BJ110" s="67"/>
      <c r="BK110" s="67"/>
      <c r="BL110" s="67" t="s">
        <v>147</v>
      </c>
      <c r="BM110" s="67" t="s">
        <v>146</v>
      </c>
      <c r="BN110" s="100">
        <v>69.0</v>
      </c>
      <c r="BO110" s="102" t="s">
        <v>615</v>
      </c>
      <c r="BP110" s="67" t="s">
        <v>141</v>
      </c>
      <c r="BQ110" s="79" t="s">
        <v>141</v>
      </c>
      <c r="BR110" s="67" t="s">
        <v>149</v>
      </c>
      <c r="BS110" s="102" t="s">
        <v>149</v>
      </c>
      <c r="BT110" s="106">
        <v>46210.0</v>
      </c>
      <c r="BU110" s="107">
        <v>2.0</v>
      </c>
      <c r="BV110" s="108">
        <f t="shared" si="2"/>
        <v>46210</v>
      </c>
      <c r="BW110" s="108">
        <f t="shared" si="3"/>
        <v>46210</v>
      </c>
      <c r="BX110" s="102" t="str">
        <f t="shared" si="4"/>
        <v>14</v>
      </c>
      <c r="BY110" s="107">
        <f t="shared" si="5"/>
        <v>5</v>
      </c>
      <c r="BZ110" s="107">
        <f t="array" ref="BZ110">IF($A110&lt;&gt;"",INDEX(LISTA!$M$2:$N$27,MATCH($BC110,LISTA!$N$2:$N$27,0),1),"")</f>
        <v>15</v>
      </c>
      <c r="CA110" s="67">
        <f t="shared" si="6"/>
        <v>7</v>
      </c>
      <c r="CB110" s="114">
        <f t="shared" si="7"/>
        <v>7</v>
      </c>
      <c r="CC110" s="67">
        <v>5.8066037E7</v>
      </c>
    </row>
    <row r="111" ht="15.0" hidden="1" customHeight="1" outlineLevel="1">
      <c r="A111" s="59">
        <v>46207.37896503472</v>
      </c>
      <c r="B111" s="115" t="s">
        <v>105</v>
      </c>
      <c r="C111" s="54" t="s">
        <v>100</v>
      </c>
      <c r="D111" s="56" t="s">
        <v>101</v>
      </c>
      <c r="E111" s="69">
        <v>46208.666666666664</v>
      </c>
      <c r="F111" s="73" t="s">
        <v>1184</v>
      </c>
      <c r="G111" s="60" t="s">
        <v>1886</v>
      </c>
      <c r="H111" s="60" t="s">
        <v>1887</v>
      </c>
      <c r="I111" s="67" t="s">
        <v>192</v>
      </c>
      <c r="J111" s="79" t="s">
        <v>1888</v>
      </c>
      <c r="K111" s="67" t="s">
        <v>1151</v>
      </c>
      <c r="L111" s="79" t="s">
        <v>647</v>
      </c>
      <c r="M111" s="83" t="s">
        <v>1889</v>
      </c>
      <c r="N111" s="78">
        <v>26050.0</v>
      </c>
      <c r="O111" s="80" t="s">
        <v>37</v>
      </c>
      <c r="P111" s="70">
        <v>140101.0</v>
      </c>
      <c r="Q111" s="54"/>
      <c r="R111" s="84"/>
      <c r="S111" s="84"/>
      <c r="T111" s="54"/>
      <c r="U111" s="86"/>
      <c r="V111" s="54"/>
      <c r="W111" s="86"/>
      <c r="X111" s="54"/>
      <c r="Y111" s="78"/>
      <c r="Z111" s="54"/>
      <c r="AA111" s="70"/>
      <c r="AB111" s="83"/>
      <c r="AC111" s="83"/>
      <c r="AD111" s="83"/>
      <c r="AE111" s="83"/>
      <c r="AF111" s="83" t="s">
        <v>165</v>
      </c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54" t="s">
        <v>1890</v>
      </c>
      <c r="AR111" s="83" t="s">
        <v>1891</v>
      </c>
      <c r="AS111" s="83" t="s">
        <v>1892</v>
      </c>
      <c r="AT111" s="93" t="s">
        <v>1888</v>
      </c>
      <c r="AU111" s="93" t="s">
        <v>1888</v>
      </c>
      <c r="AV111" s="93" t="s">
        <v>1888</v>
      </c>
      <c r="AW111" s="83" t="s">
        <v>1893</v>
      </c>
      <c r="AX111" s="83">
        <v>1.0</v>
      </c>
      <c r="AY111" s="83" t="s">
        <v>1031</v>
      </c>
      <c r="AZ111" s="83" t="s">
        <v>1894</v>
      </c>
      <c r="BA111" s="83" t="s">
        <v>1895</v>
      </c>
      <c r="BB111" s="83" t="s">
        <v>1896</v>
      </c>
      <c r="BC111" s="54" t="s">
        <v>41</v>
      </c>
      <c r="BD111" s="54" t="str">
        <f t="shared" si="1"/>
        <v>San Martín de Porres</v>
      </c>
      <c r="BE111" s="67" t="s">
        <v>143</v>
      </c>
      <c r="BF111" s="67" t="s">
        <v>144</v>
      </c>
      <c r="BG111" s="67" t="s">
        <v>142</v>
      </c>
      <c r="BH111" s="67"/>
      <c r="BI111" s="67"/>
      <c r="BJ111" s="67"/>
      <c r="BK111" s="67"/>
      <c r="BL111" s="67" t="s">
        <v>147</v>
      </c>
      <c r="BM111" s="67" t="s">
        <v>1897</v>
      </c>
      <c r="BN111" s="100">
        <v>44.0</v>
      </c>
      <c r="BO111" s="102" t="s">
        <v>1647</v>
      </c>
      <c r="BP111" s="67" t="s">
        <v>141</v>
      </c>
      <c r="BQ111" s="79" t="s">
        <v>141</v>
      </c>
      <c r="BR111" s="67" t="s">
        <v>149</v>
      </c>
      <c r="BS111" s="102" t="s">
        <v>149</v>
      </c>
      <c r="BT111" s="106">
        <v>46210.0</v>
      </c>
      <c r="BU111" s="107">
        <v>3.0</v>
      </c>
      <c r="BV111" s="108">
        <f t="shared" si="2"/>
        <v>46207</v>
      </c>
      <c r="BW111" s="108">
        <f t="shared" si="3"/>
        <v>46208</v>
      </c>
      <c r="BX111" s="102" t="str">
        <f t="shared" si="4"/>
        <v>16</v>
      </c>
      <c r="BY111" s="107">
        <f t="shared" si="5"/>
        <v>5</v>
      </c>
      <c r="BZ111" s="107">
        <f t="array" ref="BZ111">IF($A111&lt;&gt;"",INDEX(LISTA!$M$2:$N$27,MATCH($BC111,LISTA!$N$2:$N$27,0),1),"")</f>
        <v>1</v>
      </c>
      <c r="CA111" s="67">
        <f t="shared" si="6"/>
        <v>7</v>
      </c>
      <c r="CB111" s="114">
        <f t="shared" si="7"/>
        <v>7</v>
      </c>
      <c r="CC111" s="67">
        <v>5.8062216E7</v>
      </c>
    </row>
    <row r="112" ht="15.0" hidden="1" customHeight="1" outlineLevel="1">
      <c r="A112" s="59">
        <v>46210.38525706019</v>
      </c>
      <c r="B112" s="115" t="s">
        <v>105</v>
      </c>
      <c r="C112" s="54" t="s">
        <v>100</v>
      </c>
      <c r="D112" s="56" t="s">
        <v>101</v>
      </c>
      <c r="E112" s="69">
        <v>46211.583333333336</v>
      </c>
      <c r="F112" s="73" t="s">
        <v>103</v>
      </c>
      <c r="G112" s="60" t="s">
        <v>1898</v>
      </c>
      <c r="H112" s="60" t="s">
        <v>1899</v>
      </c>
      <c r="I112" s="67" t="s">
        <v>369</v>
      </c>
      <c r="J112" s="79" t="s">
        <v>1900</v>
      </c>
      <c r="K112" s="67" t="s">
        <v>109</v>
      </c>
      <c r="L112" s="79" t="s">
        <v>656</v>
      </c>
      <c r="M112" s="83" t="s">
        <v>657</v>
      </c>
      <c r="N112" s="78">
        <v>27764.0</v>
      </c>
      <c r="O112" s="80" t="s">
        <v>29</v>
      </c>
      <c r="P112" s="156" t="s">
        <v>984</v>
      </c>
      <c r="Q112" s="54"/>
      <c r="R112" s="84"/>
      <c r="S112" s="84"/>
      <c r="T112" s="54"/>
      <c r="U112" s="86"/>
      <c r="V112" s="54" t="s">
        <v>1727</v>
      </c>
      <c r="W112" s="86"/>
      <c r="X112" s="54"/>
      <c r="Y112" s="78"/>
      <c r="Z112" s="54"/>
      <c r="AA112" s="70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54" t="s">
        <v>1901</v>
      </c>
      <c r="AR112" s="83" t="s">
        <v>581</v>
      </c>
      <c r="AS112" s="83" t="s">
        <v>1902</v>
      </c>
      <c r="AT112" s="93" t="s">
        <v>1900</v>
      </c>
      <c r="AU112" s="93" t="s">
        <v>1900</v>
      </c>
      <c r="AV112" s="93" t="s">
        <v>1900</v>
      </c>
      <c r="AW112" s="83" t="s">
        <v>1903</v>
      </c>
      <c r="AX112" s="83">
        <v>2.0</v>
      </c>
      <c r="AY112" s="83" t="s">
        <v>1767</v>
      </c>
      <c r="AZ112" s="83" t="s">
        <v>1904</v>
      </c>
      <c r="BA112" s="83" t="s">
        <v>1905</v>
      </c>
      <c r="BB112" s="83" t="s">
        <v>1906</v>
      </c>
      <c r="BC112" s="54" t="s">
        <v>29</v>
      </c>
      <c r="BD112" s="54" t="str">
        <f t="shared" si="1"/>
        <v>Cajamarca</v>
      </c>
      <c r="BE112" s="67" t="s">
        <v>140</v>
      </c>
      <c r="BF112" s="67" t="s">
        <v>144</v>
      </c>
      <c r="BG112" s="67" t="s">
        <v>142</v>
      </c>
      <c r="BH112" s="67"/>
      <c r="BI112" s="67"/>
      <c r="BJ112" s="67"/>
      <c r="BK112" s="67"/>
      <c r="BL112" s="67" t="s">
        <v>727</v>
      </c>
      <c r="BM112" s="67" t="s">
        <v>146</v>
      </c>
      <c r="BN112" s="100">
        <v>155.0</v>
      </c>
      <c r="BO112" s="102" t="s">
        <v>615</v>
      </c>
      <c r="BP112" s="67" t="s">
        <v>144</v>
      </c>
      <c r="BQ112" s="79" t="s">
        <v>144</v>
      </c>
      <c r="BR112" s="67">
        <v>2.0</v>
      </c>
      <c r="BS112" s="102" t="s">
        <v>149</v>
      </c>
      <c r="BT112" s="106">
        <v>46211.0</v>
      </c>
      <c r="BU112" s="107">
        <v>1.0</v>
      </c>
      <c r="BV112" s="108">
        <f t="shared" si="2"/>
        <v>46210</v>
      </c>
      <c r="BW112" s="108">
        <f t="shared" si="3"/>
        <v>46211</v>
      </c>
      <c r="BX112" s="102" t="str">
        <f t="shared" si="4"/>
        <v>14</v>
      </c>
      <c r="BY112" s="107">
        <f t="shared" si="5"/>
        <v>5</v>
      </c>
      <c r="BZ112" s="107">
        <f t="array" ref="BZ112">IF($A112&lt;&gt;"",INDEX(LISTA!$M$2:$N$27,MATCH($BC112,LISTA!$N$2:$N$27,0),1),"")</f>
        <v>9</v>
      </c>
      <c r="CA112" s="67">
        <f t="shared" si="6"/>
        <v>7</v>
      </c>
      <c r="CB112" s="114">
        <f t="shared" si="7"/>
        <v>7</v>
      </c>
      <c r="CC112" s="67">
        <v>5.8065888E7</v>
      </c>
    </row>
    <row r="113" ht="15.0" hidden="1" customHeight="1" outlineLevel="1">
      <c r="A113" s="59">
        <v>46210.6715096875</v>
      </c>
      <c r="B113" s="115" t="s">
        <v>105</v>
      </c>
      <c r="C113" s="54" t="s">
        <v>100</v>
      </c>
      <c r="D113" s="56" t="s">
        <v>101</v>
      </c>
      <c r="E113" s="69">
        <v>46211.375</v>
      </c>
      <c r="F113" s="73" t="s">
        <v>103</v>
      </c>
      <c r="G113" s="60" t="s">
        <v>1907</v>
      </c>
      <c r="H113" s="60" t="s">
        <v>1908</v>
      </c>
      <c r="I113" s="67" t="s">
        <v>293</v>
      </c>
      <c r="J113" s="79" t="s">
        <v>1909</v>
      </c>
      <c r="K113" s="67" t="s">
        <v>109</v>
      </c>
      <c r="L113" s="79" t="s">
        <v>660</v>
      </c>
      <c r="M113" s="83" t="s">
        <v>661</v>
      </c>
      <c r="N113" s="78">
        <v>21097.0</v>
      </c>
      <c r="O113" s="80" t="s">
        <v>48</v>
      </c>
      <c r="P113" s="70">
        <v>210406.0</v>
      </c>
      <c r="Q113" s="54"/>
      <c r="R113" s="84"/>
      <c r="S113" s="84"/>
      <c r="T113" s="54"/>
      <c r="U113" s="86"/>
      <c r="V113" s="54"/>
      <c r="W113" s="86"/>
      <c r="X113" s="54"/>
      <c r="Y113" s="78"/>
      <c r="Z113" s="54"/>
      <c r="AA113" s="70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 t="s">
        <v>1910</v>
      </c>
      <c r="AM113" s="83"/>
      <c r="AN113" s="83"/>
      <c r="AO113" s="83"/>
      <c r="AP113" s="83"/>
      <c r="AQ113" s="54" t="s">
        <v>1911</v>
      </c>
      <c r="AR113" s="83" t="s">
        <v>1912</v>
      </c>
      <c r="AS113" s="83" t="s">
        <v>1913</v>
      </c>
      <c r="AT113" s="93" t="s">
        <v>1914</v>
      </c>
      <c r="AU113" s="93" t="s">
        <v>1909</v>
      </c>
      <c r="AV113" s="93" t="s">
        <v>1909</v>
      </c>
      <c r="AW113" s="83" t="s">
        <v>1915</v>
      </c>
      <c r="AX113" s="83">
        <v>2.0</v>
      </c>
      <c r="AY113" s="83">
        <v>1.0</v>
      </c>
      <c r="AZ113" s="83" t="s">
        <v>1916</v>
      </c>
      <c r="BA113" s="83" t="s">
        <v>1917</v>
      </c>
      <c r="BB113" s="83" t="s">
        <v>1918</v>
      </c>
      <c r="BC113" s="54" t="s">
        <v>48</v>
      </c>
      <c r="BD113" s="54" t="str">
        <f t="shared" si="1"/>
        <v>Carabaya</v>
      </c>
      <c r="BE113" s="67" t="s">
        <v>140</v>
      </c>
      <c r="BF113" s="67" t="s">
        <v>141</v>
      </c>
      <c r="BG113" s="67" t="s">
        <v>142</v>
      </c>
      <c r="BH113" s="67"/>
      <c r="BI113" s="67"/>
      <c r="BJ113" s="67"/>
      <c r="BK113" s="67"/>
      <c r="BL113" s="67" t="s">
        <v>147</v>
      </c>
      <c r="BM113" s="67" t="s">
        <v>247</v>
      </c>
      <c r="BN113" s="100">
        <v>89.0</v>
      </c>
      <c r="BO113" s="102" t="s">
        <v>148</v>
      </c>
      <c r="BP113" s="67" t="s">
        <v>141</v>
      </c>
      <c r="BQ113" s="79" t="s">
        <v>141</v>
      </c>
      <c r="BR113" s="67" t="s">
        <v>149</v>
      </c>
      <c r="BS113" s="102">
        <v>1.0</v>
      </c>
      <c r="BT113" s="106">
        <v>46211.0</v>
      </c>
      <c r="BU113" s="107">
        <v>2.0</v>
      </c>
      <c r="BV113" s="108">
        <f t="shared" si="2"/>
        <v>46210</v>
      </c>
      <c r="BW113" s="108">
        <f t="shared" si="3"/>
        <v>46211</v>
      </c>
      <c r="BX113" s="102" t="str">
        <f t="shared" si="4"/>
        <v>09</v>
      </c>
      <c r="BY113" s="107">
        <f t="shared" si="5"/>
        <v>5</v>
      </c>
      <c r="BZ113" s="107">
        <f t="array" ref="BZ113">IF($A113&lt;&gt;"",INDEX(LISTA!$M$2:$N$27,MATCH($BC113,LISTA!$N$2:$N$27,0),1),"")</f>
        <v>22</v>
      </c>
      <c r="CA113" s="67">
        <f t="shared" si="6"/>
        <v>7</v>
      </c>
      <c r="CB113" s="114">
        <f t="shared" si="7"/>
        <v>7</v>
      </c>
      <c r="CC113" s="67">
        <v>5.8070428E7</v>
      </c>
    </row>
    <row r="114" ht="15.0" hidden="1" customHeight="1" outlineLevel="1">
      <c r="A114" s="59">
        <v>46210.509064432874</v>
      </c>
      <c r="B114" s="115" t="s">
        <v>105</v>
      </c>
      <c r="C114" s="54" t="s">
        <v>100</v>
      </c>
      <c r="D114" s="56" t="s">
        <v>101</v>
      </c>
      <c r="E114" s="69">
        <v>46211.458333333336</v>
      </c>
      <c r="F114" s="73" t="s">
        <v>103</v>
      </c>
      <c r="G114" s="60" t="s">
        <v>1919</v>
      </c>
      <c r="H114" s="60" t="s">
        <v>1920</v>
      </c>
      <c r="I114" s="67" t="s">
        <v>293</v>
      </c>
      <c r="J114" s="79" t="s">
        <v>1921</v>
      </c>
      <c r="K114" s="67" t="s">
        <v>109</v>
      </c>
      <c r="L114" s="79" t="s">
        <v>658</v>
      </c>
      <c r="M114" s="83" t="s">
        <v>659</v>
      </c>
      <c r="N114" s="78">
        <v>35902.0</v>
      </c>
      <c r="O114" s="80" t="s">
        <v>52</v>
      </c>
      <c r="P114" s="70">
        <v>250101.0</v>
      </c>
      <c r="Q114" s="54"/>
      <c r="R114" s="84"/>
      <c r="S114" s="84"/>
      <c r="T114" s="54"/>
      <c r="U114" s="86"/>
      <c r="V114" s="54"/>
      <c r="W114" s="86"/>
      <c r="X114" s="54"/>
      <c r="Y114" s="78"/>
      <c r="Z114" s="54"/>
      <c r="AA114" s="70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 t="s">
        <v>1926</v>
      </c>
      <c r="AQ114" s="54" t="s">
        <v>1927</v>
      </c>
      <c r="AR114" s="83" t="s">
        <v>1928</v>
      </c>
      <c r="AS114" s="83" t="s">
        <v>1929</v>
      </c>
      <c r="AT114" s="93" t="s">
        <v>1921</v>
      </c>
      <c r="AU114" s="93" t="s">
        <v>1921</v>
      </c>
      <c r="AV114" s="93" t="s">
        <v>1921</v>
      </c>
      <c r="AW114" s="83" t="s">
        <v>1930</v>
      </c>
      <c r="AX114" s="83">
        <v>2.0</v>
      </c>
      <c r="AY114" s="83">
        <v>2.0</v>
      </c>
      <c r="AZ114" s="83" t="s">
        <v>1931</v>
      </c>
      <c r="BA114" s="83" t="s">
        <v>1932</v>
      </c>
      <c r="BB114" s="83" t="s">
        <v>1933</v>
      </c>
      <c r="BC114" s="54" t="s">
        <v>52</v>
      </c>
      <c r="BD114" s="54" t="str">
        <f t="shared" si="1"/>
        <v>Coronel Portillo</v>
      </c>
      <c r="BE114" s="67" t="s">
        <v>140</v>
      </c>
      <c r="BF114" s="67" t="s">
        <v>144</v>
      </c>
      <c r="BG114" s="67" t="s">
        <v>142</v>
      </c>
      <c r="BH114" s="67"/>
      <c r="BI114" s="67"/>
      <c r="BJ114" s="67"/>
      <c r="BK114" s="67"/>
      <c r="BL114" s="67" t="s">
        <v>147</v>
      </c>
      <c r="BM114" s="67" t="s">
        <v>1172</v>
      </c>
      <c r="BN114" s="100">
        <v>69.0</v>
      </c>
      <c r="BO114" s="102" t="s">
        <v>615</v>
      </c>
      <c r="BP114" s="67" t="s">
        <v>141</v>
      </c>
      <c r="BQ114" s="79" t="s">
        <v>141</v>
      </c>
      <c r="BR114" s="67" t="s">
        <v>149</v>
      </c>
      <c r="BS114" s="102" t="s">
        <v>149</v>
      </c>
      <c r="BT114" s="106">
        <v>46211.0</v>
      </c>
      <c r="BU114" s="107">
        <v>3.0</v>
      </c>
      <c r="BV114" s="108">
        <f t="shared" si="2"/>
        <v>46210</v>
      </c>
      <c r="BW114" s="108">
        <f t="shared" si="3"/>
        <v>46211</v>
      </c>
      <c r="BX114" s="102" t="str">
        <f t="shared" si="4"/>
        <v>11</v>
      </c>
      <c r="BY114" s="107">
        <f t="shared" si="5"/>
        <v>5</v>
      </c>
      <c r="BZ114" s="107">
        <f t="array" ref="BZ114">IF($A114&lt;&gt;"",INDEX(LISTA!$M$2:$N$27,MATCH($BC114,LISTA!$N$2:$N$27,0),1),"")</f>
        <v>26</v>
      </c>
      <c r="CA114" s="67">
        <f t="shared" si="6"/>
        <v>7</v>
      </c>
      <c r="CB114" s="114">
        <f t="shared" si="7"/>
        <v>7</v>
      </c>
      <c r="CC114" s="67">
        <v>5.8067615E7</v>
      </c>
    </row>
    <row r="115" ht="15.0" hidden="1" customHeight="1" outlineLevel="1">
      <c r="A115" s="59">
        <v>46210.64434324074</v>
      </c>
      <c r="B115" s="115" t="s">
        <v>105</v>
      </c>
      <c r="C115" s="54" t="s">
        <v>100</v>
      </c>
      <c r="D115" s="56" t="s">
        <v>101</v>
      </c>
      <c r="E115" s="69">
        <v>46212.458333333336</v>
      </c>
      <c r="F115" s="73" t="s">
        <v>1934</v>
      </c>
      <c r="G115" s="60" t="s">
        <v>1935</v>
      </c>
      <c r="H115" s="60" t="s">
        <v>1936</v>
      </c>
      <c r="I115" s="67" t="s">
        <v>367</v>
      </c>
      <c r="J115" s="79" t="s">
        <v>1937</v>
      </c>
      <c r="K115" s="67" t="s">
        <v>1151</v>
      </c>
      <c r="L115" s="79" t="s">
        <v>664</v>
      </c>
      <c r="M115" s="83" t="s">
        <v>1938</v>
      </c>
      <c r="N115" s="78">
        <v>32182.0</v>
      </c>
      <c r="O115" s="80" t="s">
        <v>41</v>
      </c>
      <c r="P115" s="70">
        <v>150121.0</v>
      </c>
      <c r="Q115" s="54"/>
      <c r="R115" s="84"/>
      <c r="S115" s="84"/>
      <c r="T115" s="54"/>
      <c r="U115" s="86"/>
      <c r="V115" s="54"/>
      <c r="W115" s="86"/>
      <c r="X115" s="54"/>
      <c r="Y115" s="78"/>
      <c r="Z115" s="54"/>
      <c r="AA115" s="70"/>
      <c r="AB115" s="83"/>
      <c r="AC115" s="83"/>
      <c r="AD115" s="83"/>
      <c r="AE115" s="83"/>
      <c r="AF115" s="83" t="s">
        <v>1458</v>
      </c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54" t="s">
        <v>1943</v>
      </c>
      <c r="AR115" s="83" t="s">
        <v>1944</v>
      </c>
      <c r="AS115" s="83" t="s">
        <v>1945</v>
      </c>
      <c r="AT115" s="93" t="s">
        <v>1946</v>
      </c>
      <c r="AU115" s="93" t="s">
        <v>1946</v>
      </c>
      <c r="AV115" s="93" t="s">
        <v>1946</v>
      </c>
      <c r="AW115" s="83" t="s">
        <v>1947</v>
      </c>
      <c r="AX115" s="83">
        <v>1.0</v>
      </c>
      <c r="AY115" s="83" t="s">
        <v>1767</v>
      </c>
      <c r="AZ115" s="83" t="s">
        <v>1949</v>
      </c>
      <c r="BA115" s="83" t="s">
        <v>1950</v>
      </c>
      <c r="BB115" s="83" t="s">
        <v>1951</v>
      </c>
      <c r="BC115" s="54" t="s">
        <v>41</v>
      </c>
      <c r="BD115" s="54" t="str">
        <f t="shared" si="1"/>
        <v>Pueblo Libre</v>
      </c>
      <c r="BE115" s="67" t="s">
        <v>140</v>
      </c>
      <c r="BF115" s="67" t="s">
        <v>144</v>
      </c>
      <c r="BG115" s="67" t="s">
        <v>142</v>
      </c>
      <c r="BH115" s="67"/>
      <c r="BI115" s="67"/>
      <c r="BJ115" s="67"/>
      <c r="BK115" s="67"/>
      <c r="BL115" s="67" t="s">
        <v>1444</v>
      </c>
      <c r="BM115" s="67" t="s">
        <v>214</v>
      </c>
      <c r="BN115" s="100">
        <v>225.0</v>
      </c>
      <c r="BO115" s="102" t="s">
        <v>330</v>
      </c>
      <c r="BP115" s="67" t="s">
        <v>144</v>
      </c>
      <c r="BQ115" s="79" t="s">
        <v>141</v>
      </c>
      <c r="BR115" s="67">
        <v>2.0</v>
      </c>
      <c r="BS115" s="102">
        <v>2.0</v>
      </c>
      <c r="BT115" s="106">
        <v>46212.0</v>
      </c>
      <c r="BU115" s="107">
        <v>1.0</v>
      </c>
      <c r="BV115" s="108">
        <f t="shared" si="2"/>
        <v>46210</v>
      </c>
      <c r="BW115" s="108">
        <f t="shared" si="3"/>
        <v>46212</v>
      </c>
      <c r="BX115" s="102" t="str">
        <f t="shared" si="4"/>
        <v>11</v>
      </c>
      <c r="BY115" s="107">
        <f t="shared" si="5"/>
        <v>5</v>
      </c>
      <c r="BZ115" s="107">
        <f t="array" ref="BZ115">IF($A115&lt;&gt;"",INDEX(LISTA!$M$2:$N$27,MATCH($BC115,LISTA!$N$2:$N$27,0),1),"")</f>
        <v>1</v>
      </c>
      <c r="CA115" s="67">
        <f t="shared" si="6"/>
        <v>7</v>
      </c>
      <c r="CB115" s="114">
        <f t="shared" si="7"/>
        <v>7</v>
      </c>
      <c r="CC115" s="67">
        <v>5.8071166E7</v>
      </c>
    </row>
    <row r="116" ht="15.0" hidden="1" customHeight="1" outlineLevel="1">
      <c r="A116" s="59">
        <v>46211.49304796296</v>
      </c>
      <c r="B116" s="115" t="s">
        <v>105</v>
      </c>
      <c r="C116" s="54" t="s">
        <v>100</v>
      </c>
      <c r="D116" s="56" t="s">
        <v>319</v>
      </c>
      <c r="E116" s="69">
        <v>46212.375</v>
      </c>
      <c r="F116" s="73" t="s">
        <v>103</v>
      </c>
      <c r="G116" s="60" t="s">
        <v>1954</v>
      </c>
      <c r="H116" s="60" t="s">
        <v>1955</v>
      </c>
      <c r="I116" s="67" t="s">
        <v>363</v>
      </c>
      <c r="J116" s="79" t="s">
        <v>1956</v>
      </c>
      <c r="K116" s="67" t="s">
        <v>109</v>
      </c>
      <c r="L116" s="79" t="s">
        <v>674</v>
      </c>
      <c r="M116" s="83" t="s">
        <v>675</v>
      </c>
      <c r="N116" s="78">
        <v>33847.0</v>
      </c>
      <c r="O116" s="80" t="s">
        <v>50</v>
      </c>
      <c r="P116" s="70">
        <v>230000.0</v>
      </c>
      <c r="Q116" s="54"/>
      <c r="R116" s="84"/>
      <c r="S116" s="84"/>
      <c r="T116" s="54"/>
      <c r="U116" s="86"/>
      <c r="V116" s="54"/>
      <c r="W116" s="86"/>
      <c r="X116" s="54"/>
      <c r="Y116" s="78"/>
      <c r="Z116" s="54"/>
      <c r="AA116" s="70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 t="s">
        <v>866</v>
      </c>
      <c r="AO116" s="83"/>
      <c r="AP116" s="83"/>
      <c r="AQ116" s="54" t="s">
        <v>1957</v>
      </c>
      <c r="AR116" s="83" t="s">
        <v>1678</v>
      </c>
      <c r="AS116" s="83" t="s">
        <v>1958</v>
      </c>
      <c r="AT116" s="93" t="s">
        <v>1956</v>
      </c>
      <c r="AU116" s="93" t="s">
        <v>1956</v>
      </c>
      <c r="AV116" s="93" t="s">
        <v>1956</v>
      </c>
      <c r="AW116" s="83" t="s">
        <v>1959</v>
      </c>
      <c r="AX116" s="83">
        <v>1.0</v>
      </c>
      <c r="AY116" s="83">
        <v>1.0</v>
      </c>
      <c r="AZ116" s="83" t="s">
        <v>1960</v>
      </c>
      <c r="BA116" s="83" t="s">
        <v>1961</v>
      </c>
      <c r="BB116" s="83" t="s">
        <v>1962</v>
      </c>
      <c r="BC116" s="54" t="s">
        <v>50</v>
      </c>
      <c r="BD116" s="54" t="str">
        <f t="shared" si="1"/>
        <v>Tacna</v>
      </c>
      <c r="BE116" s="67" t="s">
        <v>140</v>
      </c>
      <c r="BF116" s="67" t="s">
        <v>144</v>
      </c>
      <c r="BG116" s="67" t="s">
        <v>142</v>
      </c>
      <c r="BH116" s="67"/>
      <c r="BI116" s="67"/>
      <c r="BJ116" s="67"/>
      <c r="BK116" s="67"/>
      <c r="BL116" s="67" t="s">
        <v>213</v>
      </c>
      <c r="BM116" s="67" t="s">
        <v>146</v>
      </c>
      <c r="BN116" s="100">
        <v>110.0</v>
      </c>
      <c r="BO116" s="102" t="s">
        <v>182</v>
      </c>
      <c r="BP116" s="67" t="s">
        <v>144</v>
      </c>
      <c r="BQ116" s="79" t="s">
        <v>141</v>
      </c>
      <c r="BR116" s="67" t="s">
        <v>149</v>
      </c>
      <c r="BS116" s="102" t="s">
        <v>149</v>
      </c>
      <c r="BT116" s="106">
        <v>46212.0</v>
      </c>
      <c r="BU116" s="107">
        <v>2.0</v>
      </c>
      <c r="BV116" s="108">
        <f t="shared" si="2"/>
        <v>46211</v>
      </c>
      <c r="BW116" s="108">
        <v>46212.0</v>
      </c>
      <c r="BX116" s="102" t="str">
        <f t="shared" si="4"/>
        <v>09</v>
      </c>
      <c r="BY116" s="107">
        <f t="shared" si="5"/>
        <v>5</v>
      </c>
      <c r="BZ116" s="107">
        <f t="array" ref="BZ116">IF($A116&lt;&gt;"",INDEX(LISTA!$M$2:$N$27,MATCH($BC116,LISTA!$N$2:$N$27,0),1),"")</f>
        <v>24</v>
      </c>
      <c r="CA116" s="67">
        <f t="shared" si="6"/>
        <v>7</v>
      </c>
      <c r="CB116" s="114">
        <f t="shared" si="7"/>
        <v>7</v>
      </c>
      <c r="CC116" s="67">
        <v>5.8076507E7</v>
      </c>
    </row>
    <row r="117" ht="15.0" hidden="1" customHeight="1" outlineLevel="1">
      <c r="A117" s="59">
        <v>46211.623123321755</v>
      </c>
      <c r="B117" s="115" t="s">
        <v>105</v>
      </c>
      <c r="C117" s="54" t="s">
        <v>100</v>
      </c>
      <c r="D117" s="56" t="s">
        <v>101</v>
      </c>
      <c r="E117" s="69">
        <v>46212.458333333336</v>
      </c>
      <c r="F117" s="73"/>
      <c r="G117" s="60" t="s">
        <v>1964</v>
      </c>
      <c r="H117" s="60" t="s">
        <v>1965</v>
      </c>
      <c r="I117" s="67" t="s">
        <v>350</v>
      </c>
      <c r="J117" s="79" t="s">
        <v>1966</v>
      </c>
      <c r="K117" s="67" t="s">
        <v>109</v>
      </c>
      <c r="L117" s="79" t="s">
        <v>678</v>
      </c>
      <c r="M117" s="83" t="s">
        <v>679</v>
      </c>
      <c r="N117" s="78">
        <v>39401.0</v>
      </c>
      <c r="O117" s="80" t="s">
        <v>46</v>
      </c>
      <c r="P117" s="70">
        <v>200701.0</v>
      </c>
      <c r="Q117" s="54"/>
      <c r="R117" s="84"/>
      <c r="S117" s="84"/>
      <c r="T117" s="54"/>
      <c r="U117" s="86"/>
      <c r="V117" s="54"/>
      <c r="W117" s="86"/>
      <c r="X117" s="54"/>
      <c r="Y117" s="78"/>
      <c r="Z117" s="54"/>
      <c r="AA117" s="70"/>
      <c r="AB117" s="83"/>
      <c r="AC117" s="83" t="s">
        <v>1690</v>
      </c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54" t="s">
        <v>124</v>
      </c>
      <c r="AR117" s="83" t="s">
        <v>1967</v>
      </c>
      <c r="AS117" s="83" t="s">
        <v>1968</v>
      </c>
      <c r="AT117" s="93" t="s">
        <v>1969</v>
      </c>
      <c r="AU117" s="93" t="s">
        <v>1966</v>
      </c>
      <c r="AV117" s="93" t="s">
        <v>1966</v>
      </c>
      <c r="AW117" s="83" t="s">
        <v>1970</v>
      </c>
      <c r="AX117" s="83">
        <v>1.0</v>
      </c>
      <c r="AY117" s="83">
        <v>0.0</v>
      </c>
      <c r="AZ117" s="83" t="s">
        <v>1971</v>
      </c>
      <c r="BA117" s="83" t="s">
        <v>1972</v>
      </c>
      <c r="BB117" s="83" t="s">
        <v>1973</v>
      </c>
      <c r="BC117" s="54" t="s">
        <v>39</v>
      </c>
      <c r="BD117" s="54" t="str">
        <f t="shared" si="1"/>
        <v>Trujillo</v>
      </c>
      <c r="BE117" s="67" t="s">
        <v>140</v>
      </c>
      <c r="BF117" s="67" t="s">
        <v>141</v>
      </c>
      <c r="BG117" s="67" t="s">
        <v>142</v>
      </c>
      <c r="BH117" s="67"/>
      <c r="BI117" s="67"/>
      <c r="BJ117" s="67"/>
      <c r="BK117" s="67"/>
      <c r="BL117" s="67" t="s">
        <v>147</v>
      </c>
      <c r="BM117" s="67" t="s">
        <v>146</v>
      </c>
      <c r="BN117" s="100">
        <v>69.0</v>
      </c>
      <c r="BO117" s="102" t="s">
        <v>615</v>
      </c>
      <c r="BP117" s="67" t="s">
        <v>141</v>
      </c>
      <c r="BQ117" s="79" t="s">
        <v>141</v>
      </c>
      <c r="BR117" s="67" t="s">
        <v>149</v>
      </c>
      <c r="BS117" s="102" t="s">
        <v>149</v>
      </c>
      <c r="BT117" s="106">
        <v>46212.0</v>
      </c>
      <c r="BU117" s="107">
        <v>3.0</v>
      </c>
      <c r="BV117" s="108">
        <f t="shared" si="2"/>
        <v>46211</v>
      </c>
      <c r="BW117" s="108">
        <f t="shared" ref="BW117:BW161" si="8">IF($E117&lt;&gt;"",DATE(YEAR($E117),MONTH($E117),DAY($E117)),"")</f>
        <v>46212</v>
      </c>
      <c r="BX117" s="102" t="str">
        <f t="shared" si="4"/>
        <v>11</v>
      </c>
      <c r="BY117" s="107">
        <f t="shared" si="5"/>
        <v>5</v>
      </c>
      <c r="BZ117" s="107">
        <f t="array" ref="BZ117">IF($A117&lt;&gt;"",INDEX(LISTA!$M$2:$N$27,MATCH($BC117,LISTA!$N$2:$N$27,0),1),"")</f>
        <v>15</v>
      </c>
      <c r="CA117" s="67">
        <f t="shared" si="6"/>
        <v>7</v>
      </c>
      <c r="CB117" s="114">
        <f t="shared" si="7"/>
        <v>7</v>
      </c>
      <c r="CC117" s="67">
        <v>5.8078349E7</v>
      </c>
    </row>
    <row r="118" ht="15.0" hidden="1" customHeight="1" outlineLevel="1">
      <c r="A118" s="59">
        <v>46210.527268101854</v>
      </c>
      <c r="B118" s="115" t="s">
        <v>105</v>
      </c>
      <c r="C118" s="54" t="s">
        <v>100</v>
      </c>
      <c r="D118" s="56" t="s">
        <v>101</v>
      </c>
      <c r="E118" s="69">
        <v>46212.458333333336</v>
      </c>
      <c r="F118" s="73" t="s">
        <v>1975</v>
      </c>
      <c r="G118" s="60" t="s">
        <v>1976</v>
      </c>
      <c r="H118" s="60" t="s">
        <v>1977</v>
      </c>
      <c r="I118" s="67" t="s">
        <v>293</v>
      </c>
      <c r="J118" s="79" t="s">
        <v>1978</v>
      </c>
      <c r="K118" s="67" t="s">
        <v>109</v>
      </c>
      <c r="L118" s="79" t="s">
        <v>668</v>
      </c>
      <c r="M118" s="83" t="s">
        <v>669</v>
      </c>
      <c r="N118" s="78">
        <v>34718.0</v>
      </c>
      <c r="O118" s="80" t="s">
        <v>37</v>
      </c>
      <c r="P118" s="70">
        <v>140101.0</v>
      </c>
      <c r="Q118" s="54"/>
      <c r="R118" s="84"/>
      <c r="S118" s="84"/>
      <c r="T118" s="54"/>
      <c r="U118" s="86"/>
      <c r="V118" s="54"/>
      <c r="W118" s="86"/>
      <c r="X118" s="54"/>
      <c r="Y118" s="78"/>
      <c r="Z118" s="54"/>
      <c r="AA118" s="70"/>
      <c r="AB118" s="83"/>
      <c r="AC118" s="83"/>
      <c r="AD118" s="83"/>
      <c r="AE118" s="83"/>
      <c r="AF118" s="83" t="s">
        <v>577</v>
      </c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54" t="s">
        <v>1979</v>
      </c>
      <c r="AR118" s="83" t="s">
        <v>1980</v>
      </c>
      <c r="AS118" s="83" t="s">
        <v>1981</v>
      </c>
      <c r="AT118" s="93" t="s">
        <v>1978</v>
      </c>
      <c r="AU118" s="93" t="s">
        <v>1978</v>
      </c>
      <c r="AV118" s="93" t="s">
        <v>1978</v>
      </c>
      <c r="AW118" s="83" t="s">
        <v>1982</v>
      </c>
      <c r="AX118" s="83">
        <v>1.0</v>
      </c>
      <c r="AY118" s="83" t="s">
        <v>1813</v>
      </c>
      <c r="AZ118" s="83" t="s">
        <v>1983</v>
      </c>
      <c r="BA118" s="83" t="s">
        <v>1984</v>
      </c>
      <c r="BB118" s="83" t="s">
        <v>1985</v>
      </c>
      <c r="BC118" s="54" t="s">
        <v>41</v>
      </c>
      <c r="BD118" s="54" t="str">
        <f t="shared" si="1"/>
        <v>Rimac</v>
      </c>
      <c r="BE118" s="67" t="s">
        <v>140</v>
      </c>
      <c r="BF118" s="67" t="s">
        <v>141</v>
      </c>
      <c r="BG118" s="67" t="s">
        <v>142</v>
      </c>
      <c r="BH118" s="67"/>
      <c r="BI118" s="67"/>
      <c r="BJ118" s="67"/>
      <c r="BK118" s="67"/>
      <c r="BL118" s="67" t="s">
        <v>147</v>
      </c>
      <c r="BM118" s="67" t="s">
        <v>247</v>
      </c>
      <c r="BN118" s="100">
        <v>89.0</v>
      </c>
      <c r="BO118" s="102" t="s">
        <v>148</v>
      </c>
      <c r="BP118" s="67" t="s">
        <v>141</v>
      </c>
      <c r="BQ118" s="79" t="s">
        <v>141</v>
      </c>
      <c r="BR118" s="67" t="s">
        <v>149</v>
      </c>
      <c r="BS118" s="102">
        <v>1.0</v>
      </c>
      <c r="BT118" s="106">
        <v>46212.0</v>
      </c>
      <c r="BU118" s="107">
        <v>4.0</v>
      </c>
      <c r="BV118" s="108">
        <f t="shared" si="2"/>
        <v>46210</v>
      </c>
      <c r="BW118" s="108">
        <f t="shared" si="8"/>
        <v>46212</v>
      </c>
      <c r="BX118" s="102" t="str">
        <f t="shared" si="4"/>
        <v>11</v>
      </c>
      <c r="BY118" s="107">
        <f t="shared" si="5"/>
        <v>5</v>
      </c>
      <c r="BZ118" s="107">
        <f t="array" ref="BZ118">IF($A118&lt;&gt;"",INDEX(LISTA!$M$2:$N$27,MATCH($BC118,LISTA!$N$2:$N$27,0),1),"")</f>
        <v>1</v>
      </c>
      <c r="CA118" s="67">
        <f t="shared" si="6"/>
        <v>7</v>
      </c>
      <c r="CB118" s="114">
        <f t="shared" si="7"/>
        <v>7</v>
      </c>
      <c r="CC118" s="67">
        <v>5.8071474E7</v>
      </c>
    </row>
    <row r="119" ht="15.0" hidden="1" customHeight="1" outlineLevel="1">
      <c r="A119" s="59">
        <v>46209.51135615741</v>
      </c>
      <c r="B119" s="115" t="s">
        <v>105</v>
      </c>
      <c r="C119" s="54" t="s">
        <v>100</v>
      </c>
      <c r="D119" s="56" t="s">
        <v>101</v>
      </c>
      <c r="E119" s="69">
        <v>46212.375</v>
      </c>
      <c r="F119" s="73" t="s">
        <v>1986</v>
      </c>
      <c r="G119" s="60" t="s">
        <v>1987</v>
      </c>
      <c r="H119" s="60" t="s">
        <v>1988</v>
      </c>
      <c r="I119" s="67" t="s">
        <v>360</v>
      </c>
      <c r="J119" s="79" t="s">
        <v>1989</v>
      </c>
      <c r="K119" s="67" t="s">
        <v>109</v>
      </c>
      <c r="L119" s="79" t="s">
        <v>662</v>
      </c>
      <c r="M119" s="83" t="s">
        <v>1990</v>
      </c>
      <c r="N119" s="78">
        <v>22342.0</v>
      </c>
      <c r="O119" s="80" t="s">
        <v>37</v>
      </c>
      <c r="P119" s="70">
        <v>150101.0</v>
      </c>
      <c r="Q119" s="54"/>
      <c r="R119" s="84"/>
      <c r="S119" s="84"/>
      <c r="T119" s="54"/>
      <c r="U119" s="86"/>
      <c r="V119" s="54"/>
      <c r="W119" s="86"/>
      <c r="X119" s="54"/>
      <c r="Y119" s="78"/>
      <c r="Z119" s="54"/>
      <c r="AA119" s="70"/>
      <c r="AB119" s="83"/>
      <c r="AC119" s="83"/>
      <c r="AD119" s="83"/>
      <c r="AE119" s="83"/>
      <c r="AF119" s="83" t="s">
        <v>972</v>
      </c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54" t="s">
        <v>1991</v>
      </c>
      <c r="AR119" s="83" t="s">
        <v>1992</v>
      </c>
      <c r="AS119" s="83" t="s">
        <v>1993</v>
      </c>
      <c r="AT119" s="93" t="s">
        <v>1989</v>
      </c>
      <c r="AU119" s="93" t="s">
        <v>1989</v>
      </c>
      <c r="AV119" s="93" t="s">
        <v>1989</v>
      </c>
      <c r="AW119" s="83" t="s">
        <v>1994</v>
      </c>
      <c r="AX119" s="83">
        <v>2.0</v>
      </c>
      <c r="AY119" s="83" t="s">
        <v>1995</v>
      </c>
      <c r="AZ119" s="83" t="s">
        <v>1996</v>
      </c>
      <c r="BA119" s="83" t="s">
        <v>1997</v>
      </c>
      <c r="BB119" s="83" t="s">
        <v>1998</v>
      </c>
      <c r="BC119" s="54" t="s">
        <v>41</v>
      </c>
      <c r="BD119" s="54" t="str">
        <f t="shared" si="1"/>
        <v>San Juan de Lurigancho</v>
      </c>
      <c r="BE119" s="67" t="s">
        <v>140</v>
      </c>
      <c r="BF119" s="67" t="s">
        <v>144</v>
      </c>
      <c r="BG119" s="67" t="s">
        <v>142</v>
      </c>
      <c r="BH119" s="67"/>
      <c r="BI119" s="67"/>
      <c r="BJ119" s="67"/>
      <c r="BK119" s="67"/>
      <c r="BL119" s="67" t="s">
        <v>283</v>
      </c>
      <c r="BM119" s="67" t="s">
        <v>146</v>
      </c>
      <c r="BN119" s="100">
        <v>94.0</v>
      </c>
      <c r="BO119" s="102" t="s">
        <v>148</v>
      </c>
      <c r="BP119" s="67" t="s">
        <v>141</v>
      </c>
      <c r="BQ119" s="79" t="s">
        <v>144</v>
      </c>
      <c r="BR119" s="67" t="s">
        <v>149</v>
      </c>
      <c r="BS119" s="102" t="s">
        <v>149</v>
      </c>
      <c r="BT119" s="106">
        <v>46212.0</v>
      </c>
      <c r="BU119" s="107">
        <v>5.0</v>
      </c>
      <c r="BV119" s="108">
        <f t="shared" si="2"/>
        <v>46209</v>
      </c>
      <c r="BW119" s="108">
        <f t="shared" si="8"/>
        <v>46212</v>
      </c>
      <c r="BX119" s="102" t="str">
        <f t="shared" si="4"/>
        <v>09</v>
      </c>
      <c r="BY119" s="107">
        <f t="shared" si="5"/>
        <v>5</v>
      </c>
      <c r="BZ119" s="107">
        <f t="array" ref="BZ119">IF($A119&lt;&gt;"",INDEX(LISTA!$M$2:$N$27,MATCH($BC119,LISTA!$N$2:$N$27,0),1),"")</f>
        <v>1</v>
      </c>
      <c r="CA119" s="67">
        <f t="shared" si="6"/>
        <v>7</v>
      </c>
      <c r="CB119" s="114">
        <f t="shared" si="7"/>
        <v>7</v>
      </c>
      <c r="CC119" s="67">
        <v>5.8066389E7</v>
      </c>
    </row>
    <row r="120" ht="15.0" hidden="1" customHeight="1" outlineLevel="1">
      <c r="A120" s="59">
        <v>46211.50512465277</v>
      </c>
      <c r="B120" s="115" t="s">
        <v>105</v>
      </c>
      <c r="C120" s="54" t="s">
        <v>100</v>
      </c>
      <c r="D120" s="56" t="s">
        <v>101</v>
      </c>
      <c r="E120" s="69">
        <v>46212.583333333336</v>
      </c>
      <c r="F120" s="73" t="s">
        <v>1756</v>
      </c>
      <c r="G120" s="60" t="s">
        <v>1999</v>
      </c>
      <c r="H120" s="60" t="s">
        <v>2000</v>
      </c>
      <c r="I120" s="67" t="s">
        <v>360</v>
      </c>
      <c r="J120" s="79" t="s">
        <v>2001</v>
      </c>
      <c r="K120" s="67" t="s">
        <v>109</v>
      </c>
      <c r="L120" s="79" t="s">
        <v>670</v>
      </c>
      <c r="M120" s="83" t="s">
        <v>2002</v>
      </c>
      <c r="N120" s="78">
        <v>35382.0</v>
      </c>
      <c r="O120" s="80" t="s">
        <v>39</v>
      </c>
      <c r="P120" s="70">
        <v>130101.0</v>
      </c>
      <c r="Q120" s="54"/>
      <c r="R120" s="84"/>
      <c r="S120" s="84"/>
      <c r="T120" s="54"/>
      <c r="U120" s="86"/>
      <c r="V120" s="54"/>
      <c r="W120" s="86"/>
      <c r="X120" s="54"/>
      <c r="Y120" s="78"/>
      <c r="Z120" s="54"/>
      <c r="AA120" s="70"/>
      <c r="AB120" s="83"/>
      <c r="AC120" s="83" t="s">
        <v>1690</v>
      </c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54" t="s">
        <v>2004</v>
      </c>
      <c r="AR120" s="83" t="s">
        <v>2005</v>
      </c>
      <c r="AS120" s="83" t="s">
        <v>2006</v>
      </c>
      <c r="AT120" s="93" t="s">
        <v>2001</v>
      </c>
      <c r="AU120" s="93" t="s">
        <v>2007</v>
      </c>
      <c r="AV120" s="93" t="s">
        <v>2007</v>
      </c>
      <c r="AW120" s="83" t="s">
        <v>2008</v>
      </c>
      <c r="AX120" s="83">
        <v>2.0</v>
      </c>
      <c r="AY120" s="83" t="s">
        <v>1345</v>
      </c>
      <c r="AZ120" s="83" t="s">
        <v>2009</v>
      </c>
      <c r="BA120" s="83" t="s">
        <v>2010</v>
      </c>
      <c r="BB120" s="83" t="s">
        <v>2011</v>
      </c>
      <c r="BC120" s="54" t="s">
        <v>39</v>
      </c>
      <c r="BD120" s="54" t="str">
        <f t="shared" si="1"/>
        <v>Trujillo</v>
      </c>
      <c r="BE120" s="67" t="s">
        <v>140</v>
      </c>
      <c r="BF120" s="67" t="s">
        <v>141</v>
      </c>
      <c r="BG120" s="67" t="s">
        <v>142</v>
      </c>
      <c r="BH120" s="67"/>
      <c r="BI120" s="67"/>
      <c r="BJ120" s="67"/>
      <c r="BK120" s="67"/>
      <c r="BL120" s="67" t="s">
        <v>283</v>
      </c>
      <c r="BM120" s="67" t="s">
        <v>146</v>
      </c>
      <c r="BN120" s="100">
        <v>94.0</v>
      </c>
      <c r="BO120" s="102" t="s">
        <v>148</v>
      </c>
      <c r="BP120" s="67" t="s">
        <v>141</v>
      </c>
      <c r="BQ120" s="79" t="s">
        <v>144</v>
      </c>
      <c r="BR120" s="67" t="s">
        <v>149</v>
      </c>
      <c r="BS120" s="102" t="s">
        <v>149</v>
      </c>
      <c r="BT120" s="106">
        <v>46212.0</v>
      </c>
      <c r="BU120" s="107">
        <v>6.0</v>
      </c>
      <c r="BV120" s="108">
        <f t="shared" si="2"/>
        <v>46211</v>
      </c>
      <c r="BW120" s="108">
        <f t="shared" si="8"/>
        <v>46212</v>
      </c>
      <c r="BX120" s="102" t="str">
        <f t="shared" si="4"/>
        <v>14</v>
      </c>
      <c r="BY120" s="107">
        <f t="shared" si="5"/>
        <v>5</v>
      </c>
      <c r="BZ120" s="107">
        <f t="array" ref="BZ120">IF($A120&lt;&gt;"",INDEX(LISTA!$M$2:$N$27,MATCH($BC120,LISTA!$N$2:$N$27,0),1),"")</f>
        <v>15</v>
      </c>
      <c r="CA120" s="67">
        <f t="shared" si="6"/>
        <v>7</v>
      </c>
      <c r="CB120" s="114">
        <f t="shared" si="7"/>
        <v>7</v>
      </c>
      <c r="CC120" s="67">
        <v>5.807582E7</v>
      </c>
    </row>
    <row r="121" ht="15.0" hidden="1" customHeight="1" outlineLevel="1">
      <c r="A121" s="59">
        <v>46211.576524606484</v>
      </c>
      <c r="B121" s="115" t="s">
        <v>105</v>
      </c>
      <c r="C121" s="54" t="s">
        <v>100</v>
      </c>
      <c r="D121" s="56" t="s">
        <v>101</v>
      </c>
      <c r="E121" s="69">
        <v>46212.666666666664</v>
      </c>
      <c r="F121" s="73" t="s">
        <v>103</v>
      </c>
      <c r="G121" s="60" t="s">
        <v>2012</v>
      </c>
      <c r="H121" s="60" t="s">
        <v>2013</v>
      </c>
      <c r="I121" s="67" t="s">
        <v>293</v>
      </c>
      <c r="J121" s="79" t="s">
        <v>2014</v>
      </c>
      <c r="K121" s="67" t="s">
        <v>109</v>
      </c>
      <c r="L121" s="79" t="s">
        <v>676</v>
      </c>
      <c r="M121" s="83" t="s">
        <v>677</v>
      </c>
      <c r="N121" s="78">
        <v>34032.0</v>
      </c>
      <c r="O121" s="80" t="s">
        <v>48</v>
      </c>
      <c r="P121" s="70">
        <v>200901.0</v>
      </c>
      <c r="Q121" s="54"/>
      <c r="R121" s="84"/>
      <c r="S121" s="84"/>
      <c r="T121" s="54" t="s">
        <v>122</v>
      </c>
      <c r="U121" s="86"/>
      <c r="V121" s="54"/>
      <c r="W121" s="86"/>
      <c r="X121" s="54"/>
      <c r="Y121" s="78"/>
      <c r="Z121" s="54"/>
      <c r="AA121" s="70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54" t="s">
        <v>2015</v>
      </c>
      <c r="AR121" s="83" t="s">
        <v>2016</v>
      </c>
      <c r="AS121" s="83" t="s">
        <v>2017</v>
      </c>
      <c r="AT121" s="93" t="s">
        <v>2014</v>
      </c>
      <c r="AU121" s="93" t="s">
        <v>2014</v>
      </c>
      <c r="AV121" s="93" t="s">
        <v>2014</v>
      </c>
      <c r="AW121" s="83" t="s">
        <v>2018</v>
      </c>
      <c r="AX121" s="83">
        <v>2.0</v>
      </c>
      <c r="AY121" s="83" t="s">
        <v>2019</v>
      </c>
      <c r="AZ121" s="83" t="s">
        <v>2020</v>
      </c>
      <c r="BA121" s="83" t="s">
        <v>2021</v>
      </c>
      <c r="BB121" s="83" t="s">
        <v>2022</v>
      </c>
      <c r="BC121" s="54" t="s">
        <v>27</v>
      </c>
      <c r="BD121" s="54" t="str">
        <f t="shared" si="1"/>
        <v>Arequipa</v>
      </c>
      <c r="BE121" s="67" t="s">
        <v>140</v>
      </c>
      <c r="BF121" s="67" t="s">
        <v>141</v>
      </c>
      <c r="BG121" s="67" t="s">
        <v>142</v>
      </c>
      <c r="BH121" s="67"/>
      <c r="BI121" s="67"/>
      <c r="BJ121" s="67"/>
      <c r="BK121" s="67"/>
      <c r="BL121" s="67" t="s">
        <v>147</v>
      </c>
      <c r="BM121" s="67" t="s">
        <v>146</v>
      </c>
      <c r="BN121" s="100">
        <v>69.0</v>
      </c>
      <c r="BO121" s="102" t="s">
        <v>615</v>
      </c>
      <c r="BP121" s="67" t="s">
        <v>141</v>
      </c>
      <c r="BQ121" s="79" t="s">
        <v>141</v>
      </c>
      <c r="BR121" s="67" t="s">
        <v>149</v>
      </c>
      <c r="BS121" s="102" t="s">
        <v>149</v>
      </c>
      <c r="BT121" s="106">
        <v>46212.0</v>
      </c>
      <c r="BU121" s="107">
        <v>7.0</v>
      </c>
      <c r="BV121" s="108">
        <f t="shared" si="2"/>
        <v>46211</v>
      </c>
      <c r="BW121" s="108">
        <f t="shared" si="8"/>
        <v>46212</v>
      </c>
      <c r="BX121" s="102" t="str">
        <f t="shared" si="4"/>
        <v>16</v>
      </c>
      <c r="BY121" s="107">
        <f t="shared" si="5"/>
        <v>5</v>
      </c>
      <c r="BZ121" s="107">
        <f t="array" ref="BZ121">IF($A121&lt;&gt;"",INDEX(LISTA!$M$2:$N$27,MATCH($BC121,LISTA!$N$2:$N$27,0),1),"")</f>
        <v>7</v>
      </c>
      <c r="CA121" s="67">
        <f t="shared" si="6"/>
        <v>7</v>
      </c>
      <c r="CB121" s="114">
        <f t="shared" si="7"/>
        <v>7</v>
      </c>
      <c r="CC121" s="67">
        <v>5.8076917E7</v>
      </c>
    </row>
    <row r="122" ht="15.0" hidden="1" customHeight="1" outlineLevel="1">
      <c r="A122" s="59">
        <v>46211.48318502315</v>
      </c>
      <c r="B122" s="115" t="s">
        <v>105</v>
      </c>
      <c r="C122" s="54" t="s">
        <v>100</v>
      </c>
      <c r="D122" s="56" t="s">
        <v>101</v>
      </c>
      <c r="E122" s="69">
        <v>46212.666666666664</v>
      </c>
      <c r="F122" s="73" t="s">
        <v>103</v>
      </c>
      <c r="G122" s="60" t="s">
        <v>2023</v>
      </c>
      <c r="H122" s="60" t="s">
        <v>2024</v>
      </c>
      <c r="I122" s="67" t="s">
        <v>363</v>
      </c>
      <c r="J122" s="79" t="s">
        <v>2025</v>
      </c>
      <c r="K122" s="67" t="s">
        <v>109</v>
      </c>
      <c r="L122" s="79" t="s">
        <v>672</v>
      </c>
      <c r="M122" s="83" t="s">
        <v>673</v>
      </c>
      <c r="N122" s="78">
        <v>23859.0</v>
      </c>
      <c r="O122" s="80" t="s">
        <v>27</v>
      </c>
      <c r="P122" s="156" t="s">
        <v>2026</v>
      </c>
      <c r="Q122" s="54"/>
      <c r="R122" s="84"/>
      <c r="S122" s="84"/>
      <c r="T122" s="54" t="s">
        <v>122</v>
      </c>
      <c r="U122" s="86"/>
      <c r="V122" s="54"/>
      <c r="W122" s="86"/>
      <c r="X122" s="54"/>
      <c r="Y122" s="78"/>
      <c r="Z122" s="54"/>
      <c r="AA122" s="70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54" t="s">
        <v>2027</v>
      </c>
      <c r="AR122" s="83" t="s">
        <v>2028</v>
      </c>
      <c r="AS122" s="83" t="s">
        <v>2029</v>
      </c>
      <c r="AT122" s="93" t="s">
        <v>2025</v>
      </c>
      <c r="AU122" s="93" t="s">
        <v>2025</v>
      </c>
      <c r="AV122" s="93" t="s">
        <v>2025</v>
      </c>
      <c r="AW122" s="83" t="s">
        <v>2030</v>
      </c>
      <c r="AX122" s="83">
        <v>1.0</v>
      </c>
      <c r="AY122" s="83">
        <v>1.0</v>
      </c>
      <c r="AZ122" s="83" t="s">
        <v>2031</v>
      </c>
      <c r="BA122" s="83" t="s">
        <v>2032</v>
      </c>
      <c r="BB122" s="83" t="s">
        <v>2033</v>
      </c>
      <c r="BC122" s="54" t="s">
        <v>27</v>
      </c>
      <c r="BD122" s="54" t="str">
        <f t="shared" si="1"/>
        <v>Arequipa</v>
      </c>
      <c r="BE122" s="67" t="s">
        <v>140</v>
      </c>
      <c r="BF122" s="67" t="s">
        <v>141</v>
      </c>
      <c r="BG122" s="67" t="s">
        <v>142</v>
      </c>
      <c r="BH122" s="67"/>
      <c r="BI122" s="67"/>
      <c r="BJ122" s="67"/>
      <c r="BK122" s="67"/>
      <c r="BL122" s="67" t="s">
        <v>283</v>
      </c>
      <c r="BM122" s="67" t="s">
        <v>146</v>
      </c>
      <c r="BN122" s="100">
        <v>94.0</v>
      </c>
      <c r="BO122" s="102" t="s">
        <v>148</v>
      </c>
      <c r="BP122" s="67" t="s">
        <v>141</v>
      </c>
      <c r="BQ122" s="79" t="s">
        <v>144</v>
      </c>
      <c r="BR122" s="67" t="s">
        <v>149</v>
      </c>
      <c r="BS122" s="102" t="s">
        <v>149</v>
      </c>
      <c r="BT122" s="106">
        <v>46212.0</v>
      </c>
      <c r="BU122" s="107">
        <v>8.0</v>
      </c>
      <c r="BV122" s="108">
        <f t="shared" si="2"/>
        <v>46211</v>
      </c>
      <c r="BW122" s="108">
        <f t="shared" si="8"/>
        <v>46212</v>
      </c>
      <c r="BX122" s="102" t="str">
        <f t="shared" si="4"/>
        <v>16</v>
      </c>
      <c r="BY122" s="107">
        <f t="shared" si="5"/>
        <v>5</v>
      </c>
      <c r="BZ122" s="107">
        <f t="array" ref="BZ122">IF($A122&lt;&gt;"",INDEX(LISTA!$M$2:$N$27,MATCH($BC122,LISTA!$N$2:$N$27,0),1),"")</f>
        <v>7</v>
      </c>
      <c r="CA122" s="67">
        <f t="shared" si="6"/>
        <v>7</v>
      </c>
      <c r="CB122" s="114">
        <f t="shared" si="7"/>
        <v>7</v>
      </c>
      <c r="CC122" s="67">
        <v>5.8076207E7</v>
      </c>
    </row>
    <row r="123" ht="15.0" hidden="1" customHeight="1" outlineLevel="1">
      <c r="A123" s="59">
        <v>46212.41956548611</v>
      </c>
      <c r="B123" s="115" t="s">
        <v>105</v>
      </c>
      <c r="C123" s="54" t="s">
        <v>100</v>
      </c>
      <c r="D123" s="56" t="s">
        <v>101</v>
      </c>
      <c r="E123" s="69">
        <v>46212.666666666664</v>
      </c>
      <c r="F123" s="73" t="s">
        <v>2034</v>
      </c>
      <c r="G123" s="60" t="s">
        <v>2035</v>
      </c>
      <c r="H123" s="60" t="s">
        <v>2036</v>
      </c>
      <c r="I123" s="67" t="s">
        <v>350</v>
      </c>
      <c r="J123" s="79" t="s">
        <v>2037</v>
      </c>
      <c r="K123" s="67" t="s">
        <v>109</v>
      </c>
      <c r="L123" s="79" t="s">
        <v>682</v>
      </c>
      <c r="M123" s="83" t="s">
        <v>2038</v>
      </c>
      <c r="N123" s="78">
        <v>27912.0</v>
      </c>
      <c r="O123" s="80" t="s">
        <v>50</v>
      </c>
      <c r="P123" s="70">
        <v>230101.0</v>
      </c>
      <c r="Q123" s="54"/>
      <c r="R123" s="84"/>
      <c r="S123" s="84"/>
      <c r="T123" s="54"/>
      <c r="U123" s="86"/>
      <c r="V123" s="54"/>
      <c r="W123" s="86"/>
      <c r="X123" s="54"/>
      <c r="Y123" s="78"/>
      <c r="Z123" s="54"/>
      <c r="AA123" s="70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 t="s">
        <v>1926</v>
      </c>
      <c r="AQ123" s="54" t="s">
        <v>716</v>
      </c>
      <c r="AR123" s="83" t="s">
        <v>2040</v>
      </c>
      <c r="AS123" s="83" t="s">
        <v>2041</v>
      </c>
      <c r="AT123" s="93" t="s">
        <v>2037</v>
      </c>
      <c r="AU123" s="93" t="s">
        <v>2037</v>
      </c>
      <c r="AV123" s="93" t="s">
        <v>2037</v>
      </c>
      <c r="AW123" s="83" t="s">
        <v>2042</v>
      </c>
      <c r="AX123" s="83">
        <v>1.0</v>
      </c>
      <c r="AY123" s="83">
        <v>0.0</v>
      </c>
      <c r="AZ123" s="83" t="s">
        <v>2043</v>
      </c>
      <c r="BA123" s="83" t="s">
        <v>2044</v>
      </c>
      <c r="BB123" s="83" t="s">
        <v>2045</v>
      </c>
      <c r="BC123" s="54" t="s">
        <v>52</v>
      </c>
      <c r="BD123" s="54" t="str">
        <f t="shared" si="1"/>
        <v>Coronel Portillo</v>
      </c>
      <c r="BE123" s="67" t="s">
        <v>140</v>
      </c>
      <c r="BF123" s="67" t="s">
        <v>144</v>
      </c>
      <c r="BG123" s="67" t="s">
        <v>142</v>
      </c>
      <c r="BH123" s="67"/>
      <c r="BI123" s="67"/>
      <c r="BJ123" s="67"/>
      <c r="BK123" s="67"/>
      <c r="BL123" s="67" t="s">
        <v>147</v>
      </c>
      <c r="BM123" s="67" t="s">
        <v>247</v>
      </c>
      <c r="BN123" s="100">
        <v>89.0</v>
      </c>
      <c r="BO123" s="102" t="s">
        <v>148</v>
      </c>
      <c r="BP123" s="67" t="s">
        <v>144</v>
      </c>
      <c r="BQ123" s="79" t="s">
        <v>141</v>
      </c>
      <c r="BR123" s="67" t="s">
        <v>149</v>
      </c>
      <c r="BS123" s="102">
        <v>1.0</v>
      </c>
      <c r="BT123" s="106">
        <v>46212.0</v>
      </c>
      <c r="BU123" s="107">
        <v>9.0</v>
      </c>
      <c r="BV123" s="108">
        <f t="shared" si="2"/>
        <v>46212</v>
      </c>
      <c r="BW123" s="108">
        <f t="shared" si="8"/>
        <v>46212</v>
      </c>
      <c r="BX123" s="102" t="str">
        <f t="shared" si="4"/>
        <v>16</v>
      </c>
      <c r="BY123" s="107">
        <f t="shared" si="5"/>
        <v>5</v>
      </c>
      <c r="BZ123" s="107">
        <f t="array" ref="BZ123">IF($A123&lt;&gt;"",INDEX(LISTA!$M$2:$N$27,MATCH($BC123,LISTA!$N$2:$N$27,0),1),"")</f>
        <v>26</v>
      </c>
      <c r="CA123" s="67">
        <f t="shared" si="6"/>
        <v>7</v>
      </c>
      <c r="CB123" s="114">
        <f t="shared" si="7"/>
        <v>7</v>
      </c>
      <c r="CC123" s="67">
        <v>5.8082839E7</v>
      </c>
    </row>
    <row r="124" ht="15.0" hidden="1" customHeight="1" outlineLevel="1">
      <c r="A124" s="59">
        <v>46212.59682107639</v>
      </c>
      <c r="B124" s="115" t="s">
        <v>105</v>
      </c>
      <c r="C124" s="54" t="s">
        <v>100</v>
      </c>
      <c r="D124" s="56" t="s">
        <v>101</v>
      </c>
      <c r="E124" s="69">
        <v>46212.666666666664</v>
      </c>
      <c r="F124" s="73"/>
      <c r="G124" s="60" t="s">
        <v>2046</v>
      </c>
      <c r="H124" s="60" t="s">
        <v>2047</v>
      </c>
      <c r="I124" s="67" t="s">
        <v>360</v>
      </c>
      <c r="J124" s="79" t="s">
        <v>2048</v>
      </c>
      <c r="K124" s="67" t="s">
        <v>109</v>
      </c>
      <c r="L124" s="79" t="s">
        <v>684</v>
      </c>
      <c r="M124" s="83" t="s">
        <v>685</v>
      </c>
      <c r="N124" s="78">
        <v>35127.0</v>
      </c>
      <c r="O124" s="80" t="s">
        <v>36</v>
      </c>
      <c r="P124" s="70">
        <v>120000.0</v>
      </c>
      <c r="Q124" s="54"/>
      <c r="R124" s="84"/>
      <c r="S124" s="84"/>
      <c r="T124" s="54"/>
      <c r="U124" s="86"/>
      <c r="V124" s="54"/>
      <c r="W124" s="86"/>
      <c r="X124" s="54"/>
      <c r="Y124" s="78"/>
      <c r="Z124" s="54"/>
      <c r="AA124" s="70"/>
      <c r="AB124" s="83" t="s">
        <v>766</v>
      </c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54" t="s">
        <v>2049</v>
      </c>
      <c r="AR124" s="83" t="s">
        <v>2050</v>
      </c>
      <c r="AS124" s="83" t="s">
        <v>2051</v>
      </c>
      <c r="AT124" s="93" t="s">
        <v>2052</v>
      </c>
      <c r="AU124" s="93" t="s">
        <v>2052</v>
      </c>
      <c r="AV124" s="93" t="s">
        <v>2052</v>
      </c>
      <c r="AW124" s="83" t="s">
        <v>2053</v>
      </c>
      <c r="AX124" s="83">
        <v>1.0</v>
      </c>
      <c r="AY124" s="83" t="s">
        <v>822</v>
      </c>
      <c r="AZ124" s="83" t="s">
        <v>2054</v>
      </c>
      <c r="BA124" s="83" t="s">
        <v>2055</v>
      </c>
      <c r="BB124" s="83" t="s">
        <v>2056</v>
      </c>
      <c r="BC124" s="54" t="s">
        <v>36</v>
      </c>
      <c r="BD124" s="54" t="str">
        <f t="shared" si="1"/>
        <v>Huancayo</v>
      </c>
      <c r="BE124" s="67" t="s">
        <v>140</v>
      </c>
      <c r="BF124" s="67" t="s">
        <v>144</v>
      </c>
      <c r="BG124" s="67" t="s">
        <v>142</v>
      </c>
      <c r="BH124" s="67"/>
      <c r="BI124" s="67"/>
      <c r="BJ124" s="67"/>
      <c r="BK124" s="67"/>
      <c r="BL124" s="67" t="s">
        <v>147</v>
      </c>
      <c r="BM124" s="67" t="s">
        <v>247</v>
      </c>
      <c r="BN124" s="100">
        <v>89.0</v>
      </c>
      <c r="BO124" s="102" t="s">
        <v>148</v>
      </c>
      <c r="BP124" s="67" t="s">
        <v>141</v>
      </c>
      <c r="BQ124" s="79" t="s">
        <v>141</v>
      </c>
      <c r="BR124" s="67" t="s">
        <v>149</v>
      </c>
      <c r="BS124" s="102" t="s">
        <v>149</v>
      </c>
      <c r="BT124" s="106">
        <v>46212.0</v>
      </c>
      <c r="BU124" s="107">
        <v>10.0</v>
      </c>
      <c r="BV124" s="108">
        <f t="shared" si="2"/>
        <v>46212</v>
      </c>
      <c r="BW124" s="108">
        <f t="shared" si="8"/>
        <v>46212</v>
      </c>
      <c r="BX124" s="102" t="str">
        <f t="shared" si="4"/>
        <v>16</v>
      </c>
      <c r="BY124" s="107">
        <f t="shared" si="5"/>
        <v>5</v>
      </c>
      <c r="BZ124" s="107">
        <f t="array" ref="BZ124">IF($A124&lt;&gt;"",INDEX(LISTA!$M$2:$N$27,MATCH($BC124,LISTA!$N$2:$N$27,0),1),"")</f>
        <v>14</v>
      </c>
      <c r="CA124" s="67">
        <f t="shared" si="6"/>
        <v>7</v>
      </c>
      <c r="CB124" s="114">
        <f t="shared" si="7"/>
        <v>7</v>
      </c>
      <c r="CC124" s="67">
        <v>5.8085564E7</v>
      </c>
    </row>
    <row r="125" ht="15.0" hidden="1" customHeight="1" outlineLevel="1">
      <c r="A125" s="59">
        <v>46211.5760459375</v>
      </c>
      <c r="B125" s="115" t="s">
        <v>105</v>
      </c>
      <c r="C125" s="54" t="s">
        <v>100</v>
      </c>
      <c r="D125" s="56" t="s">
        <v>346</v>
      </c>
      <c r="E125" s="69">
        <v>46212.583333333336</v>
      </c>
      <c r="F125" s="73"/>
      <c r="G125" s="60" t="s">
        <v>2057</v>
      </c>
      <c r="H125" s="60" t="s">
        <v>2058</v>
      </c>
      <c r="I125" s="67" t="s">
        <v>360</v>
      </c>
      <c r="J125" s="79" t="s">
        <v>2059</v>
      </c>
      <c r="K125" s="67" t="s">
        <v>109</v>
      </c>
      <c r="L125" s="79" t="s">
        <v>680</v>
      </c>
      <c r="M125" s="83" t="s">
        <v>681</v>
      </c>
      <c r="N125" s="78">
        <v>33434.0</v>
      </c>
      <c r="O125" s="80" t="s">
        <v>37</v>
      </c>
      <c r="P125" s="70">
        <v>150600.0</v>
      </c>
      <c r="Q125" s="54"/>
      <c r="R125" s="84"/>
      <c r="S125" s="84"/>
      <c r="T125" s="54"/>
      <c r="U125" s="86"/>
      <c r="V125" s="54"/>
      <c r="W125" s="86"/>
      <c r="X125" s="54"/>
      <c r="Y125" s="78"/>
      <c r="Z125" s="54"/>
      <c r="AA125" s="70"/>
      <c r="AB125" s="83"/>
      <c r="AC125" s="83"/>
      <c r="AD125" s="83"/>
      <c r="AE125" s="83" t="s">
        <v>2060</v>
      </c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54" t="s">
        <v>2061</v>
      </c>
      <c r="AR125" s="83" t="s">
        <v>2062</v>
      </c>
      <c r="AS125" s="83" t="s">
        <v>2063</v>
      </c>
      <c r="AT125" s="93" t="s">
        <v>2059</v>
      </c>
      <c r="AU125" s="93" t="s">
        <v>2059</v>
      </c>
      <c r="AV125" s="93" t="s">
        <v>2059</v>
      </c>
      <c r="AW125" s="83" t="s">
        <v>2064</v>
      </c>
      <c r="AX125" s="83">
        <v>2.0</v>
      </c>
      <c r="AY125" s="83" t="s">
        <v>1345</v>
      </c>
      <c r="AZ125" s="83" t="s">
        <v>2065</v>
      </c>
      <c r="BA125" s="83" t="s">
        <v>2066</v>
      </c>
      <c r="BB125" s="83" t="s">
        <v>2067</v>
      </c>
      <c r="BC125" s="54" t="s">
        <v>37</v>
      </c>
      <c r="BD125" s="54" t="str">
        <f t="shared" si="1"/>
        <v>Huaral</v>
      </c>
      <c r="BE125" s="67" t="s">
        <v>140</v>
      </c>
      <c r="BF125" s="67" t="s">
        <v>141</v>
      </c>
      <c r="BG125" s="67" t="s">
        <v>142</v>
      </c>
      <c r="BH125" s="67"/>
      <c r="BI125" s="67"/>
      <c r="BJ125" s="67"/>
      <c r="BK125" s="67"/>
      <c r="BL125" s="67" t="s">
        <v>1444</v>
      </c>
      <c r="BM125" s="67" t="s">
        <v>146</v>
      </c>
      <c r="BN125" s="100">
        <v>170.0</v>
      </c>
      <c r="BO125" s="102" t="s">
        <v>148</v>
      </c>
      <c r="BP125" s="67" t="s">
        <v>144</v>
      </c>
      <c r="BQ125" s="79" t="s">
        <v>141</v>
      </c>
      <c r="BR125" s="67" t="s">
        <v>149</v>
      </c>
      <c r="BS125" s="102" t="s">
        <v>149</v>
      </c>
      <c r="BT125" s="106">
        <v>46212.0</v>
      </c>
      <c r="BU125" s="107">
        <v>11.0</v>
      </c>
      <c r="BV125" s="108">
        <f t="shared" si="2"/>
        <v>46211</v>
      </c>
      <c r="BW125" s="108">
        <f t="shared" si="8"/>
        <v>46212</v>
      </c>
      <c r="BX125" s="102" t="str">
        <f t="shared" si="4"/>
        <v>14</v>
      </c>
      <c r="BY125" s="107">
        <f t="shared" si="5"/>
        <v>5</v>
      </c>
      <c r="BZ125" s="107">
        <f t="array" ref="BZ125">IF($A125&lt;&gt;"",INDEX(LISTA!$M$2:$N$27,MATCH($BC125,LISTA!$N$2:$N$27,0),1),"")</f>
        <v>3</v>
      </c>
      <c r="CA125" s="67">
        <f t="shared" si="6"/>
        <v>7</v>
      </c>
      <c r="CB125" s="114">
        <f t="shared" si="7"/>
        <v>7</v>
      </c>
      <c r="CC125" s="67">
        <v>5.8080017E7</v>
      </c>
    </row>
    <row r="126" ht="15.0" hidden="1" customHeight="1" outlineLevel="1">
      <c r="A126" s="59">
        <v>46212.56330447917</v>
      </c>
      <c r="B126" s="115" t="s">
        <v>105</v>
      </c>
      <c r="C126" s="54" t="s">
        <v>100</v>
      </c>
      <c r="D126" s="56" t="s">
        <v>319</v>
      </c>
      <c r="E126" s="69">
        <v>46213.375</v>
      </c>
      <c r="F126" s="73" t="s">
        <v>2068</v>
      </c>
      <c r="G126" s="60" t="s">
        <v>2069</v>
      </c>
      <c r="H126" s="60" t="s">
        <v>2070</v>
      </c>
      <c r="I126" s="67" t="s">
        <v>293</v>
      </c>
      <c r="J126" s="79" t="s">
        <v>2071</v>
      </c>
      <c r="K126" s="67" t="s">
        <v>109</v>
      </c>
      <c r="L126" s="79" t="s">
        <v>2072</v>
      </c>
      <c r="M126" s="83" t="s">
        <v>2073</v>
      </c>
      <c r="N126" s="78">
        <v>28306.0</v>
      </c>
      <c r="O126" s="80" t="s">
        <v>27</v>
      </c>
      <c r="P126" s="156" t="s">
        <v>1576</v>
      </c>
      <c r="Q126" s="54"/>
      <c r="R126" s="84"/>
      <c r="S126" s="84"/>
      <c r="T126" s="54" t="s">
        <v>122</v>
      </c>
      <c r="U126" s="86"/>
      <c r="V126" s="54"/>
      <c r="W126" s="86"/>
      <c r="X126" s="54"/>
      <c r="Y126" s="78"/>
      <c r="Z126" s="54"/>
      <c r="AA126" s="70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54" t="s">
        <v>315</v>
      </c>
      <c r="AR126" s="83" t="s">
        <v>2074</v>
      </c>
      <c r="AS126" s="83" t="s">
        <v>2075</v>
      </c>
      <c r="AT126" s="93" t="s">
        <v>2071</v>
      </c>
      <c r="AU126" s="93" t="s">
        <v>2071</v>
      </c>
      <c r="AV126" s="93" t="s">
        <v>2071</v>
      </c>
      <c r="AW126" s="83" t="s">
        <v>2076</v>
      </c>
      <c r="AX126" s="83">
        <v>1.0</v>
      </c>
      <c r="AY126" s="83">
        <v>0.0</v>
      </c>
      <c r="AZ126" s="83" t="s">
        <v>2077</v>
      </c>
      <c r="BA126" s="83" t="s">
        <v>2078</v>
      </c>
      <c r="BB126" s="83" t="s">
        <v>2079</v>
      </c>
      <c r="BC126" s="54" t="s">
        <v>27</v>
      </c>
      <c r="BD126" s="54" t="str">
        <f t="shared" si="1"/>
        <v>Arequipa</v>
      </c>
      <c r="BE126" s="67" t="s">
        <v>140</v>
      </c>
      <c r="BF126" s="67" t="s">
        <v>144</v>
      </c>
      <c r="BG126" s="67" t="s">
        <v>142</v>
      </c>
      <c r="BH126" s="67"/>
      <c r="BI126" s="67"/>
      <c r="BJ126" s="67"/>
      <c r="BK126" s="67"/>
      <c r="BL126" s="67" t="s">
        <v>147</v>
      </c>
      <c r="BM126" s="67" t="s">
        <v>146</v>
      </c>
      <c r="BN126" s="100">
        <v>69.0</v>
      </c>
      <c r="BO126" s="102" t="s">
        <v>615</v>
      </c>
      <c r="BP126" s="67" t="s">
        <v>141</v>
      </c>
      <c r="BQ126" s="79" t="s">
        <v>141</v>
      </c>
      <c r="BR126" s="67" t="s">
        <v>149</v>
      </c>
      <c r="BS126" s="102" t="s">
        <v>149</v>
      </c>
      <c r="BT126" s="106">
        <v>46213.0</v>
      </c>
      <c r="BU126" s="107">
        <v>1.0</v>
      </c>
      <c r="BV126" s="108">
        <f t="shared" si="2"/>
        <v>46212</v>
      </c>
      <c r="BW126" s="108">
        <f t="shared" si="8"/>
        <v>46213</v>
      </c>
      <c r="BX126" s="102" t="str">
        <f t="shared" si="4"/>
        <v>09</v>
      </c>
      <c r="BY126" s="107">
        <f t="shared" si="5"/>
        <v>5</v>
      </c>
      <c r="BZ126" s="107">
        <f t="array" ref="BZ126">IF($A126&lt;&gt;"",INDEX(LISTA!$M$2:$N$27,MATCH($BC126,LISTA!$N$2:$N$27,0),1),"")</f>
        <v>7</v>
      </c>
      <c r="CA126" s="67">
        <f t="shared" si="6"/>
        <v>7</v>
      </c>
      <c r="CB126" s="114">
        <f t="shared" si="7"/>
        <v>7</v>
      </c>
      <c r="CC126" s="67">
        <v>5.8085494E7</v>
      </c>
    </row>
    <row r="127" ht="15.0" hidden="1" customHeight="1" outlineLevel="1">
      <c r="A127" s="59">
        <v>46213.40099188658</v>
      </c>
      <c r="B127" s="115" t="s">
        <v>105</v>
      </c>
      <c r="C127" s="54" t="s">
        <v>100</v>
      </c>
      <c r="D127" s="56" t="s">
        <v>101</v>
      </c>
      <c r="E127" s="69">
        <v>46214.375</v>
      </c>
      <c r="F127" s="73"/>
      <c r="G127" s="60" t="s">
        <v>2080</v>
      </c>
      <c r="H127" s="60" t="s">
        <v>2081</v>
      </c>
      <c r="I127" s="67" t="s">
        <v>350</v>
      </c>
      <c r="J127" s="79" t="s">
        <v>2082</v>
      </c>
      <c r="K127" s="67" t="s">
        <v>109</v>
      </c>
      <c r="L127" s="79" t="s">
        <v>2083</v>
      </c>
      <c r="M127" s="83" t="s">
        <v>2084</v>
      </c>
      <c r="N127" s="78">
        <v>37201.0</v>
      </c>
      <c r="O127" s="80" t="s">
        <v>40</v>
      </c>
      <c r="P127" s="70">
        <v>140101.0</v>
      </c>
      <c r="Q127" s="54"/>
      <c r="R127" s="84"/>
      <c r="S127" s="84"/>
      <c r="T127" s="54"/>
      <c r="U127" s="86"/>
      <c r="V127" s="54"/>
      <c r="W127" s="86"/>
      <c r="X127" s="54"/>
      <c r="Y127" s="78"/>
      <c r="Z127" s="54"/>
      <c r="AA127" s="70"/>
      <c r="AB127" s="83"/>
      <c r="AC127" s="83"/>
      <c r="AD127" s="83" t="s">
        <v>805</v>
      </c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54" t="s">
        <v>1640</v>
      </c>
      <c r="AR127" s="83" t="s">
        <v>1165</v>
      </c>
      <c r="AS127" s="83" t="s">
        <v>2085</v>
      </c>
      <c r="AT127" s="93" t="s">
        <v>2082</v>
      </c>
      <c r="AU127" s="93" t="s">
        <v>2082</v>
      </c>
      <c r="AV127" s="93" t="s">
        <v>2082</v>
      </c>
      <c r="AW127" s="83" t="s">
        <v>2086</v>
      </c>
      <c r="AX127" s="83">
        <v>5.0</v>
      </c>
      <c r="AY127" s="83">
        <v>1.0</v>
      </c>
      <c r="AZ127" s="83" t="s">
        <v>2087</v>
      </c>
      <c r="BA127" s="83" t="s">
        <v>2088</v>
      </c>
      <c r="BB127" s="83" t="s">
        <v>2089</v>
      </c>
      <c r="BC127" s="54" t="s">
        <v>40</v>
      </c>
      <c r="BD127" s="54" t="str">
        <f t="shared" si="1"/>
        <v>Chiclayo</v>
      </c>
      <c r="BE127" s="67" t="s">
        <v>140</v>
      </c>
      <c r="BF127" s="67" t="s">
        <v>141</v>
      </c>
      <c r="BG127" s="67" t="s">
        <v>142</v>
      </c>
      <c r="BH127" s="67"/>
      <c r="BI127" s="67"/>
      <c r="BJ127" s="67"/>
      <c r="BK127" s="67"/>
      <c r="BL127" s="67" t="s">
        <v>147</v>
      </c>
      <c r="BM127" s="67" t="s">
        <v>247</v>
      </c>
      <c r="BN127" s="100">
        <v>89.0</v>
      </c>
      <c r="BO127" s="102" t="s">
        <v>148</v>
      </c>
      <c r="BP127" s="67" t="s">
        <v>141</v>
      </c>
      <c r="BQ127" s="79" t="s">
        <v>141</v>
      </c>
      <c r="BR127" s="67" t="s">
        <v>149</v>
      </c>
      <c r="BS127" s="102">
        <v>1.0</v>
      </c>
      <c r="BT127" s="106">
        <v>46213.0</v>
      </c>
      <c r="BU127" s="107">
        <v>2.0</v>
      </c>
      <c r="BV127" s="108">
        <f t="shared" si="2"/>
        <v>46213</v>
      </c>
      <c r="BW127" s="108">
        <f t="shared" si="8"/>
        <v>46214</v>
      </c>
      <c r="BX127" s="102" t="str">
        <f t="shared" si="4"/>
        <v>09</v>
      </c>
      <c r="BY127" s="107">
        <f t="shared" si="5"/>
        <v>5</v>
      </c>
      <c r="BZ127" s="107">
        <f t="array" ref="BZ127">IF($A127&lt;&gt;"",INDEX(LISTA!$M$2:$N$27,MATCH($BC127,LISTA!$N$2:$N$27,0),1),"")</f>
        <v>16</v>
      </c>
      <c r="CA127" s="67">
        <f t="shared" si="6"/>
        <v>7</v>
      </c>
      <c r="CB127" s="114">
        <f t="shared" si="7"/>
        <v>7</v>
      </c>
      <c r="CC127" s="67">
        <v>5.8090036E7</v>
      </c>
    </row>
    <row r="128" ht="15.0" hidden="1" customHeight="1" outlineLevel="1">
      <c r="A128" s="59">
        <v>46212.48303841436</v>
      </c>
      <c r="B128" s="115" t="s">
        <v>105</v>
      </c>
      <c r="C128" s="54" t="s">
        <v>100</v>
      </c>
      <c r="D128" s="56" t="s">
        <v>101</v>
      </c>
      <c r="E128" s="69">
        <v>46213.583333333336</v>
      </c>
      <c r="F128" s="73" t="s">
        <v>2090</v>
      </c>
      <c r="G128" s="60" t="s">
        <v>2091</v>
      </c>
      <c r="H128" s="60" t="s">
        <v>2092</v>
      </c>
      <c r="I128" s="67" t="s">
        <v>293</v>
      </c>
      <c r="J128" s="79" t="s">
        <v>2093</v>
      </c>
      <c r="K128" s="67" t="s">
        <v>109</v>
      </c>
      <c r="L128" s="79" t="s">
        <v>2094</v>
      </c>
      <c r="M128" s="83" t="s">
        <v>2095</v>
      </c>
      <c r="N128" s="78">
        <v>36708.0</v>
      </c>
      <c r="O128" s="80" t="s">
        <v>29</v>
      </c>
      <c r="P128" s="156" t="s">
        <v>2096</v>
      </c>
      <c r="Q128" s="54"/>
      <c r="R128" s="84"/>
      <c r="S128" s="84"/>
      <c r="T128" s="54"/>
      <c r="U128" s="86"/>
      <c r="V128" s="54" t="s">
        <v>1727</v>
      </c>
      <c r="W128" s="86"/>
      <c r="X128" s="54"/>
      <c r="Y128" s="78"/>
      <c r="Z128" s="54"/>
      <c r="AA128" s="70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54" t="s">
        <v>2097</v>
      </c>
      <c r="AR128" s="83" t="s">
        <v>2098</v>
      </c>
      <c r="AS128" s="83" t="s">
        <v>2099</v>
      </c>
      <c r="AT128" s="93" t="s">
        <v>2093</v>
      </c>
      <c r="AU128" s="93" t="s">
        <v>2093</v>
      </c>
      <c r="AV128" s="93" t="s">
        <v>2093</v>
      </c>
      <c r="AW128" s="83" t="s">
        <v>2100</v>
      </c>
      <c r="AX128" s="83">
        <v>2.0</v>
      </c>
      <c r="AY128" s="83">
        <v>1.0</v>
      </c>
      <c r="AZ128" s="83" t="s">
        <v>2101</v>
      </c>
      <c r="BA128" s="83" t="s">
        <v>2102</v>
      </c>
      <c r="BB128" s="83" t="s">
        <v>2103</v>
      </c>
      <c r="BC128" s="54" t="s">
        <v>29</v>
      </c>
      <c r="BD128" s="54" t="str">
        <f t="shared" si="1"/>
        <v>Cajamarca</v>
      </c>
      <c r="BE128" s="67" t="s">
        <v>140</v>
      </c>
      <c r="BF128" s="67" t="s">
        <v>141</v>
      </c>
      <c r="BG128" s="67" t="s">
        <v>142</v>
      </c>
      <c r="BH128" s="67"/>
      <c r="BI128" s="67"/>
      <c r="BJ128" s="67"/>
      <c r="BK128" s="67"/>
      <c r="BL128" s="67" t="s">
        <v>147</v>
      </c>
      <c r="BM128" s="67" t="s">
        <v>247</v>
      </c>
      <c r="BN128" s="100">
        <v>89.0</v>
      </c>
      <c r="BO128" s="102" t="s">
        <v>148</v>
      </c>
      <c r="BP128" s="67" t="s">
        <v>141</v>
      </c>
      <c r="BQ128" s="79" t="s">
        <v>141</v>
      </c>
      <c r="BR128" s="67" t="s">
        <v>149</v>
      </c>
      <c r="BS128" s="102">
        <v>1.0</v>
      </c>
      <c r="BT128" s="106">
        <v>46213.0</v>
      </c>
      <c r="BU128" s="107">
        <v>3.0</v>
      </c>
      <c r="BV128" s="108">
        <f t="shared" si="2"/>
        <v>46212</v>
      </c>
      <c r="BW128" s="108">
        <f t="shared" si="8"/>
        <v>46213</v>
      </c>
      <c r="BX128" s="102" t="str">
        <f t="shared" si="4"/>
        <v>14</v>
      </c>
      <c r="BY128" s="107">
        <f t="shared" si="5"/>
        <v>5</v>
      </c>
      <c r="BZ128" s="107">
        <f t="array" ref="BZ128">IF($A128&lt;&gt;"",INDEX(LISTA!$M$2:$N$27,MATCH($BC128,LISTA!$N$2:$N$27,0),1),"")</f>
        <v>9</v>
      </c>
      <c r="CA128" s="67">
        <f t="shared" si="6"/>
        <v>7</v>
      </c>
      <c r="CB128" s="114">
        <f t="shared" si="7"/>
        <v>7</v>
      </c>
      <c r="CC128" s="67">
        <v>5.808382E7</v>
      </c>
    </row>
    <row r="129" ht="15.0" hidden="1" customHeight="1" outlineLevel="1">
      <c r="A129" s="59">
        <v>46212.47640347222</v>
      </c>
      <c r="B129" s="115" t="s">
        <v>105</v>
      </c>
      <c r="C129" s="54" t="s">
        <v>100</v>
      </c>
      <c r="D129" s="56" t="s">
        <v>101</v>
      </c>
      <c r="E129" s="69">
        <v>46213.583333333336</v>
      </c>
      <c r="F129" s="73"/>
      <c r="G129" s="60" t="s">
        <v>2104</v>
      </c>
      <c r="H129" s="60" t="s">
        <v>2105</v>
      </c>
      <c r="I129" s="67" t="s">
        <v>107</v>
      </c>
      <c r="J129" s="79" t="s">
        <v>2106</v>
      </c>
      <c r="K129" s="67" t="s">
        <v>109</v>
      </c>
      <c r="L129" s="79" t="s">
        <v>2107</v>
      </c>
      <c r="M129" s="83" t="s">
        <v>2108</v>
      </c>
      <c r="N129" s="78">
        <v>30419.0</v>
      </c>
      <c r="O129" s="80" t="s">
        <v>41</v>
      </c>
      <c r="P129" s="70">
        <v>150121.0</v>
      </c>
      <c r="Q129" s="54"/>
      <c r="R129" s="84"/>
      <c r="S129" s="84"/>
      <c r="T129" s="54"/>
      <c r="U129" s="86"/>
      <c r="V129" s="54"/>
      <c r="W129" s="86"/>
      <c r="X129" s="54"/>
      <c r="Y129" s="78"/>
      <c r="Z129" s="54"/>
      <c r="AA129" s="70"/>
      <c r="AB129" s="83"/>
      <c r="AC129" s="83"/>
      <c r="AD129" s="83"/>
      <c r="AE129" s="83"/>
      <c r="AF129" s="83" t="s">
        <v>268</v>
      </c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54" t="s">
        <v>1341</v>
      </c>
      <c r="AR129" s="83" t="s">
        <v>2109</v>
      </c>
      <c r="AS129" s="83" t="s">
        <v>2110</v>
      </c>
      <c r="AT129" s="93" t="s">
        <v>2106</v>
      </c>
      <c r="AU129" s="93" t="s">
        <v>2106</v>
      </c>
      <c r="AV129" s="93" t="s">
        <v>2106</v>
      </c>
      <c r="AW129" s="83" t="s">
        <v>2111</v>
      </c>
      <c r="AX129" s="83">
        <v>2.0</v>
      </c>
      <c r="AY129" s="83">
        <v>0.0</v>
      </c>
      <c r="AZ129" s="83" t="s">
        <v>2112</v>
      </c>
      <c r="BA129" s="83" t="s">
        <v>2113</v>
      </c>
      <c r="BB129" s="83" t="s">
        <v>2114</v>
      </c>
      <c r="BC129" s="54" t="s">
        <v>41</v>
      </c>
      <c r="BD129" s="54" t="str">
        <f t="shared" si="1"/>
        <v>Lince</v>
      </c>
      <c r="BE129" s="67" t="s">
        <v>140</v>
      </c>
      <c r="BF129" s="67" t="s">
        <v>141</v>
      </c>
      <c r="BG129" s="67" t="s">
        <v>142</v>
      </c>
      <c r="BH129" s="67"/>
      <c r="BI129" s="67"/>
      <c r="BJ129" s="67"/>
      <c r="BK129" s="67"/>
      <c r="BL129" s="67" t="s">
        <v>147</v>
      </c>
      <c r="BM129" s="67" t="s">
        <v>247</v>
      </c>
      <c r="BN129" s="100">
        <v>89.0</v>
      </c>
      <c r="BO129" s="102" t="s">
        <v>148</v>
      </c>
      <c r="BP129" s="67" t="s">
        <v>141</v>
      </c>
      <c r="BQ129" s="79" t="s">
        <v>141</v>
      </c>
      <c r="BR129" s="67" t="s">
        <v>149</v>
      </c>
      <c r="BS129" s="102" t="s">
        <v>149</v>
      </c>
      <c r="BT129" s="106">
        <v>46213.0</v>
      </c>
      <c r="BU129" s="107">
        <v>4.0</v>
      </c>
      <c r="BV129" s="108">
        <f t="shared" si="2"/>
        <v>46212</v>
      </c>
      <c r="BW129" s="108">
        <f t="shared" si="8"/>
        <v>46213</v>
      </c>
      <c r="BX129" s="102" t="str">
        <f t="shared" si="4"/>
        <v>14</v>
      </c>
      <c r="BY129" s="107">
        <f t="shared" si="5"/>
        <v>5</v>
      </c>
      <c r="BZ129" s="107">
        <f t="array" ref="BZ129">IF($A129&lt;&gt;"",INDEX(LISTA!$M$2:$N$27,MATCH($BC129,LISTA!$N$2:$N$27,0),1),"")</f>
        <v>1</v>
      </c>
      <c r="CA129" s="67">
        <f t="shared" si="6"/>
        <v>7</v>
      </c>
      <c r="CB129" s="114">
        <f t="shared" si="7"/>
        <v>7</v>
      </c>
      <c r="CC129" s="67">
        <v>5.8083275E7</v>
      </c>
    </row>
    <row r="130" ht="15.0" hidden="1" customHeight="1" outlineLevel="1">
      <c r="A130" s="59">
        <v>46212.42871814815</v>
      </c>
      <c r="B130" s="115" t="s">
        <v>105</v>
      </c>
      <c r="C130" s="54" t="s">
        <v>100</v>
      </c>
      <c r="D130" s="56" t="s">
        <v>101</v>
      </c>
      <c r="E130" s="69">
        <v>46213.583333333336</v>
      </c>
      <c r="F130" s="73"/>
      <c r="G130" s="60" t="s">
        <v>2115</v>
      </c>
      <c r="H130" s="60" t="s">
        <v>2116</v>
      </c>
      <c r="I130" s="67" t="s">
        <v>293</v>
      </c>
      <c r="J130" s="79" t="s">
        <v>2117</v>
      </c>
      <c r="K130" s="67" t="s">
        <v>109</v>
      </c>
      <c r="L130" s="79" t="s">
        <v>2118</v>
      </c>
      <c r="M130" s="83" t="s">
        <v>2119</v>
      </c>
      <c r="N130" s="78">
        <v>35964.0</v>
      </c>
      <c r="O130" s="80" t="s">
        <v>24</v>
      </c>
      <c r="P130" s="156" t="s">
        <v>1283</v>
      </c>
      <c r="Q130" s="54"/>
      <c r="R130" s="84" t="s">
        <v>1284</v>
      </c>
      <c r="S130" s="84"/>
      <c r="T130" s="54"/>
      <c r="U130" s="86"/>
      <c r="V130" s="54"/>
      <c r="W130" s="86"/>
      <c r="X130" s="54"/>
      <c r="Y130" s="78"/>
      <c r="Z130" s="54"/>
      <c r="AA130" s="70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54" t="s">
        <v>2120</v>
      </c>
      <c r="AR130" s="83" t="s">
        <v>2121</v>
      </c>
      <c r="AS130" s="83" t="s">
        <v>2122</v>
      </c>
      <c r="AT130" s="93" t="s">
        <v>2117</v>
      </c>
      <c r="AU130" s="93" t="s">
        <v>2117</v>
      </c>
      <c r="AV130" s="93" t="s">
        <v>2117</v>
      </c>
      <c r="AW130" s="83" t="s">
        <v>2123</v>
      </c>
      <c r="AX130" s="83">
        <v>2.0</v>
      </c>
      <c r="AY130" s="83">
        <v>0.0</v>
      </c>
      <c r="AZ130" s="83" t="s">
        <v>2124</v>
      </c>
      <c r="BA130" s="83" t="s">
        <v>2125</v>
      </c>
      <c r="BB130" s="83" t="s">
        <v>2126</v>
      </c>
      <c r="BC130" s="54" t="s">
        <v>24</v>
      </c>
      <c r="BD130" s="54" t="str">
        <f t="shared" si="1"/>
        <v>Santa</v>
      </c>
      <c r="BE130" s="67" t="s">
        <v>140</v>
      </c>
      <c r="BF130" s="67" t="s">
        <v>144</v>
      </c>
      <c r="BG130" s="67" t="s">
        <v>142</v>
      </c>
      <c r="BH130" s="67"/>
      <c r="BI130" s="67"/>
      <c r="BJ130" s="67"/>
      <c r="BK130" s="67"/>
      <c r="BL130" s="67" t="s">
        <v>147</v>
      </c>
      <c r="BM130" s="67" t="s">
        <v>247</v>
      </c>
      <c r="BN130" s="100">
        <v>89.0</v>
      </c>
      <c r="BO130" s="102" t="s">
        <v>148</v>
      </c>
      <c r="BP130" s="67" t="s">
        <v>141</v>
      </c>
      <c r="BQ130" s="79" t="s">
        <v>141</v>
      </c>
      <c r="BR130" s="67" t="s">
        <v>149</v>
      </c>
      <c r="BS130" s="102">
        <v>1.0</v>
      </c>
      <c r="BT130" s="106">
        <v>46213.0</v>
      </c>
      <c r="BU130" s="107">
        <v>5.0</v>
      </c>
      <c r="BV130" s="108">
        <f t="shared" si="2"/>
        <v>46212</v>
      </c>
      <c r="BW130" s="108">
        <f t="shared" si="8"/>
        <v>46213</v>
      </c>
      <c r="BX130" s="102" t="str">
        <f t="shared" si="4"/>
        <v>14</v>
      </c>
      <c r="BY130" s="107">
        <f t="shared" si="5"/>
        <v>5</v>
      </c>
      <c r="BZ130" s="107">
        <f t="array" ref="BZ130">IF($A130&lt;&gt;"",INDEX(LISTA!$M$2:$N$27,MATCH($BC130,LISTA!$N$2:$N$27,0),1),"")</f>
        <v>5</v>
      </c>
      <c r="CA130" s="67">
        <f t="shared" si="6"/>
        <v>7</v>
      </c>
      <c r="CB130" s="114">
        <f t="shared" si="7"/>
        <v>7</v>
      </c>
      <c r="CC130" s="67">
        <v>5.8082479E7</v>
      </c>
    </row>
    <row r="131" ht="15.0" hidden="1" customHeight="1" outlineLevel="1">
      <c r="A131" s="59">
        <v>46211.475254375</v>
      </c>
      <c r="B131" s="115" t="s">
        <v>105</v>
      </c>
      <c r="C131" s="54" t="s">
        <v>100</v>
      </c>
      <c r="D131" s="56" t="s">
        <v>101</v>
      </c>
      <c r="E131" s="69">
        <v>46214.375</v>
      </c>
      <c r="F131" s="73" t="s">
        <v>2127</v>
      </c>
      <c r="G131" s="60" t="s">
        <v>2128</v>
      </c>
      <c r="H131" s="60" t="s">
        <v>2129</v>
      </c>
      <c r="I131" s="67" t="s">
        <v>293</v>
      </c>
      <c r="J131" s="79" t="s">
        <v>2130</v>
      </c>
      <c r="K131" s="67" t="s">
        <v>109</v>
      </c>
      <c r="L131" s="79" t="s">
        <v>2131</v>
      </c>
      <c r="M131" s="83" t="s">
        <v>2132</v>
      </c>
      <c r="N131" s="78">
        <v>35150.0</v>
      </c>
      <c r="O131" s="80" t="s">
        <v>40</v>
      </c>
      <c r="P131" s="70">
        <v>130106.0</v>
      </c>
      <c r="Q131" s="54"/>
      <c r="R131" s="84"/>
      <c r="S131" s="84"/>
      <c r="T131" s="54"/>
      <c r="U131" s="86"/>
      <c r="V131" s="54"/>
      <c r="W131" s="86"/>
      <c r="X131" s="54"/>
      <c r="Y131" s="78"/>
      <c r="Z131" s="54"/>
      <c r="AA131" s="70"/>
      <c r="AB131" s="83"/>
      <c r="AC131" s="83"/>
      <c r="AD131" s="83" t="s">
        <v>805</v>
      </c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54" t="s">
        <v>2133</v>
      </c>
      <c r="AR131" s="83" t="s">
        <v>2134</v>
      </c>
      <c r="AS131" s="83" t="s">
        <v>2135</v>
      </c>
      <c r="AT131" s="93" t="s">
        <v>2130</v>
      </c>
      <c r="AU131" s="93" t="s">
        <v>2130</v>
      </c>
      <c r="AV131" s="93" t="s">
        <v>2130</v>
      </c>
      <c r="AW131" s="83" t="s">
        <v>2136</v>
      </c>
      <c r="AX131" s="83">
        <v>1.0</v>
      </c>
      <c r="AY131" s="83">
        <v>0.0</v>
      </c>
      <c r="AZ131" s="83" t="s">
        <v>2137</v>
      </c>
      <c r="BA131" s="83" t="s">
        <v>2138</v>
      </c>
      <c r="BB131" s="83" t="s">
        <v>2139</v>
      </c>
      <c r="BC131" s="54" t="s">
        <v>40</v>
      </c>
      <c r="BD131" s="54" t="str">
        <f t="shared" si="1"/>
        <v>Chiclayo</v>
      </c>
      <c r="BE131" s="67" t="s">
        <v>140</v>
      </c>
      <c r="BF131" s="67" t="s">
        <v>144</v>
      </c>
      <c r="BG131" s="67" t="s">
        <v>142</v>
      </c>
      <c r="BH131" s="67"/>
      <c r="BI131" s="67"/>
      <c r="BJ131" s="67"/>
      <c r="BK131" s="67"/>
      <c r="BL131" s="67" t="s">
        <v>147</v>
      </c>
      <c r="BM131" s="67" t="s">
        <v>247</v>
      </c>
      <c r="BN131" s="100">
        <v>89.0</v>
      </c>
      <c r="BO131" s="102" t="s">
        <v>148</v>
      </c>
      <c r="BP131" s="67" t="s">
        <v>141</v>
      </c>
      <c r="BQ131" s="79" t="s">
        <v>141</v>
      </c>
      <c r="BR131" s="67" t="s">
        <v>149</v>
      </c>
      <c r="BS131" s="102">
        <v>1.0</v>
      </c>
      <c r="BT131" s="106">
        <v>46214.0</v>
      </c>
      <c r="BU131" s="107">
        <v>1.0</v>
      </c>
      <c r="BV131" s="108">
        <f t="shared" si="2"/>
        <v>46211</v>
      </c>
      <c r="BW131" s="108">
        <f t="shared" si="8"/>
        <v>46214</v>
      </c>
      <c r="BX131" s="102" t="str">
        <f t="shared" si="4"/>
        <v>09</v>
      </c>
      <c r="BY131" s="107">
        <f t="shared" si="5"/>
        <v>5</v>
      </c>
      <c r="BZ131" s="107">
        <f t="array" ref="BZ131">IF($A131&lt;&gt;"",INDEX(LISTA!$M$2:$N$27,MATCH($BC131,LISTA!$N$2:$N$27,0),1),"")</f>
        <v>16</v>
      </c>
      <c r="CA131" s="67">
        <f t="shared" si="6"/>
        <v>7</v>
      </c>
      <c r="CB131" s="114">
        <f t="shared" si="7"/>
        <v>7</v>
      </c>
      <c r="CC131" s="67">
        <v>5.8076029E7</v>
      </c>
    </row>
    <row r="132" ht="15.0" hidden="1" customHeight="1" outlineLevel="1">
      <c r="A132" s="59">
        <v>46213.66978243056</v>
      </c>
      <c r="B132" s="115" t="s">
        <v>105</v>
      </c>
      <c r="C132" s="54" t="s">
        <v>100</v>
      </c>
      <c r="D132" s="56" t="s">
        <v>101</v>
      </c>
      <c r="E132" s="69">
        <v>46214.666666666664</v>
      </c>
      <c r="F132" s="73" t="s">
        <v>2140</v>
      </c>
      <c r="G132" s="60" t="s">
        <v>2141</v>
      </c>
      <c r="H132" s="60" t="s">
        <v>2142</v>
      </c>
      <c r="I132" s="67" t="s">
        <v>355</v>
      </c>
      <c r="J132" s="79" t="s">
        <v>2143</v>
      </c>
      <c r="K132" s="67" t="s">
        <v>109</v>
      </c>
      <c r="L132" s="79" t="s">
        <v>2144</v>
      </c>
      <c r="M132" s="83" t="s">
        <v>2145</v>
      </c>
      <c r="N132" s="78">
        <v>25377.0</v>
      </c>
      <c r="O132" s="80" t="s">
        <v>46</v>
      </c>
      <c r="P132" s="70">
        <v>200601.0</v>
      </c>
      <c r="Q132" s="54"/>
      <c r="R132" s="84"/>
      <c r="S132" s="84"/>
      <c r="T132" s="54"/>
      <c r="U132" s="86"/>
      <c r="V132" s="54"/>
      <c r="W132" s="86"/>
      <c r="X132" s="54"/>
      <c r="Y132" s="78"/>
      <c r="Z132" s="54"/>
      <c r="AA132" s="70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 t="s">
        <v>1232</v>
      </c>
      <c r="AL132" s="83"/>
      <c r="AM132" s="83"/>
      <c r="AN132" s="83"/>
      <c r="AO132" s="83"/>
      <c r="AP132" s="83"/>
      <c r="AQ132" s="54" t="s">
        <v>2146</v>
      </c>
      <c r="AR132" s="83" t="s">
        <v>2147</v>
      </c>
      <c r="AS132" s="83" t="s">
        <v>2148</v>
      </c>
      <c r="AT132" s="93" t="s">
        <v>2143</v>
      </c>
      <c r="AU132" s="93" t="s">
        <v>2143</v>
      </c>
      <c r="AV132" s="93" t="s">
        <v>2143</v>
      </c>
      <c r="AW132" s="83" t="s">
        <v>2149</v>
      </c>
      <c r="AX132" s="83">
        <v>1.0</v>
      </c>
      <c r="AY132" s="83" t="s">
        <v>2150</v>
      </c>
      <c r="AZ132" s="83" t="s">
        <v>2151</v>
      </c>
      <c r="BA132" s="83" t="s">
        <v>2152</v>
      </c>
      <c r="BB132" s="83" t="s">
        <v>2153</v>
      </c>
      <c r="BC132" s="54" t="s">
        <v>46</v>
      </c>
      <c r="BD132" s="54" t="str">
        <f t="shared" si="1"/>
        <v>Sullana</v>
      </c>
      <c r="BE132" s="67" t="s">
        <v>143</v>
      </c>
      <c r="BF132" s="67" t="s">
        <v>144</v>
      </c>
      <c r="BG132" s="67" t="s">
        <v>142</v>
      </c>
      <c r="BH132" s="67"/>
      <c r="BI132" s="67"/>
      <c r="BJ132" s="67"/>
      <c r="BK132" s="67"/>
      <c r="BL132" s="67" t="s">
        <v>147</v>
      </c>
      <c r="BM132" s="67" t="s">
        <v>247</v>
      </c>
      <c r="BN132" s="100">
        <v>89.0</v>
      </c>
      <c r="BO132" s="102" t="s">
        <v>148</v>
      </c>
      <c r="BP132" s="67" t="s">
        <v>141</v>
      </c>
      <c r="BQ132" s="79" t="s">
        <v>141</v>
      </c>
      <c r="BR132" s="67" t="s">
        <v>149</v>
      </c>
      <c r="BS132" s="102" t="s">
        <v>149</v>
      </c>
      <c r="BT132" s="106">
        <v>46214.0</v>
      </c>
      <c r="BU132" s="107">
        <v>2.0</v>
      </c>
      <c r="BV132" s="108">
        <f t="shared" si="2"/>
        <v>46213</v>
      </c>
      <c r="BW132" s="108">
        <f t="shared" si="8"/>
        <v>46214</v>
      </c>
      <c r="BX132" s="102" t="str">
        <f t="shared" si="4"/>
        <v>16</v>
      </c>
      <c r="BY132" s="107">
        <f t="shared" si="5"/>
        <v>5</v>
      </c>
      <c r="BZ132" s="107">
        <f t="array" ref="BZ132">IF($A132&lt;&gt;"",INDEX(LISTA!$M$2:$N$27,MATCH($BC132,LISTA!$N$2:$N$27,0),1),"")</f>
        <v>21</v>
      </c>
      <c r="CA132" s="67">
        <f t="shared" si="6"/>
        <v>7</v>
      </c>
      <c r="CB132" s="114">
        <f t="shared" si="7"/>
        <v>7</v>
      </c>
      <c r="CC132" s="67">
        <v>5.8094322E7</v>
      </c>
    </row>
    <row r="133" ht="15.0" hidden="1" customHeight="1" outlineLevel="1">
      <c r="A133" s="59">
        <v>46209.48170887731</v>
      </c>
      <c r="B133" s="115" t="s">
        <v>105</v>
      </c>
      <c r="C133" s="54" t="s">
        <v>100</v>
      </c>
      <c r="D133" s="56" t="s">
        <v>101</v>
      </c>
      <c r="E133" s="69">
        <v>46214.375</v>
      </c>
      <c r="F133" s="73" t="s">
        <v>2154</v>
      </c>
      <c r="G133" s="60" t="s">
        <v>2155</v>
      </c>
      <c r="H133" s="60" t="s">
        <v>2156</v>
      </c>
      <c r="I133" s="67" t="s">
        <v>369</v>
      </c>
      <c r="J133" s="79" t="s">
        <v>2157</v>
      </c>
      <c r="K133" s="67" t="s">
        <v>1151</v>
      </c>
      <c r="L133" s="79" t="s">
        <v>2158</v>
      </c>
      <c r="M133" s="83" t="s">
        <v>2159</v>
      </c>
      <c r="N133" s="78">
        <v>32357.0</v>
      </c>
      <c r="O133" s="80" t="s">
        <v>52</v>
      </c>
      <c r="P133" s="70">
        <v>250101.0</v>
      </c>
      <c r="Q133" s="54"/>
      <c r="R133" s="84"/>
      <c r="S133" s="84"/>
      <c r="T133" s="54"/>
      <c r="U133" s="86"/>
      <c r="V133" s="54"/>
      <c r="W133" s="86"/>
      <c r="X133" s="54"/>
      <c r="Y133" s="78"/>
      <c r="Z133" s="54"/>
      <c r="AA133" s="70"/>
      <c r="AB133" s="83"/>
      <c r="AC133" s="83"/>
      <c r="AD133" s="83"/>
      <c r="AE133" s="83"/>
      <c r="AF133" s="83" t="s">
        <v>1355</v>
      </c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54" t="s">
        <v>2160</v>
      </c>
      <c r="AR133" s="83" t="s">
        <v>2161</v>
      </c>
      <c r="AS133" s="83" t="s">
        <v>2162</v>
      </c>
      <c r="AT133" s="93" t="s">
        <v>2157</v>
      </c>
      <c r="AU133" s="93" t="s">
        <v>2157</v>
      </c>
      <c r="AV133" s="93" t="s">
        <v>2157</v>
      </c>
      <c r="AW133" s="83" t="s">
        <v>2163</v>
      </c>
      <c r="AX133" s="83">
        <v>2.0</v>
      </c>
      <c r="AY133" s="83" t="s">
        <v>1767</v>
      </c>
      <c r="AZ133" s="83" t="s">
        <v>2164</v>
      </c>
      <c r="BA133" s="83" t="s">
        <v>1767</v>
      </c>
      <c r="BB133" s="83" t="s">
        <v>2165</v>
      </c>
      <c r="BC133" s="54" t="s">
        <v>41</v>
      </c>
      <c r="BD133" s="54" t="str">
        <f t="shared" si="1"/>
        <v>Villa María del Triunfo</v>
      </c>
      <c r="BE133" s="67" t="s">
        <v>140</v>
      </c>
      <c r="BF133" s="67" t="s">
        <v>144</v>
      </c>
      <c r="BG133" s="67" t="s">
        <v>142</v>
      </c>
      <c r="BH133" s="67"/>
      <c r="BI133" s="67"/>
      <c r="BJ133" s="67"/>
      <c r="BK133" s="67"/>
      <c r="BL133" s="67" t="s">
        <v>1444</v>
      </c>
      <c r="BM133" s="67" t="s">
        <v>146</v>
      </c>
      <c r="BN133" s="100">
        <v>170.0</v>
      </c>
      <c r="BO133" s="102" t="s">
        <v>148</v>
      </c>
      <c r="BP133" s="67" t="s">
        <v>144</v>
      </c>
      <c r="BQ133" s="79" t="s">
        <v>141</v>
      </c>
      <c r="BR133" s="67">
        <v>2.0</v>
      </c>
      <c r="BS133" s="102">
        <v>1.0</v>
      </c>
      <c r="BT133" s="106">
        <v>46214.0</v>
      </c>
      <c r="BU133" s="107">
        <v>3.0</v>
      </c>
      <c r="BV133" s="108">
        <f t="shared" si="2"/>
        <v>46209</v>
      </c>
      <c r="BW133" s="108">
        <f t="shared" si="8"/>
        <v>46214</v>
      </c>
      <c r="BX133" s="102" t="str">
        <f t="shared" si="4"/>
        <v>09</v>
      </c>
      <c r="BY133" s="107">
        <f t="shared" si="5"/>
        <v>5</v>
      </c>
      <c r="BZ133" s="107">
        <f t="array" ref="BZ133">IF($A133&lt;&gt;"",INDEX(LISTA!$M$2:$N$27,MATCH($BC133,LISTA!$N$2:$N$27,0),1),"")</f>
        <v>1</v>
      </c>
      <c r="CA133" s="67">
        <f t="shared" si="6"/>
        <v>7</v>
      </c>
      <c r="CB133" s="114">
        <f t="shared" si="7"/>
        <v>7</v>
      </c>
      <c r="CC133" s="67">
        <v>5.8062879E7</v>
      </c>
    </row>
    <row r="134" ht="15.0" hidden="1" customHeight="1" outlineLevel="1">
      <c r="A134" s="59">
        <v>46210.77609971065</v>
      </c>
      <c r="B134" s="115" t="s">
        <v>105</v>
      </c>
      <c r="C134" s="54" t="s">
        <v>100</v>
      </c>
      <c r="D134" s="56" t="s">
        <v>101</v>
      </c>
      <c r="E134" s="69">
        <v>46214.458333333336</v>
      </c>
      <c r="F134" s="73" t="s">
        <v>949</v>
      </c>
      <c r="G134" s="60" t="s">
        <v>2166</v>
      </c>
      <c r="H134" s="60" t="s">
        <v>2167</v>
      </c>
      <c r="I134" s="67" t="s">
        <v>107</v>
      </c>
      <c r="J134" s="79" t="s">
        <v>2168</v>
      </c>
      <c r="K134" s="67" t="s">
        <v>109</v>
      </c>
      <c r="L134" s="79" t="s">
        <v>2169</v>
      </c>
      <c r="M134" s="83" t="s">
        <v>2170</v>
      </c>
      <c r="N134" s="78">
        <v>22287.0</v>
      </c>
      <c r="O134" s="80" t="s">
        <v>27</v>
      </c>
      <c r="P134" s="156" t="s">
        <v>2171</v>
      </c>
      <c r="Q134" s="54"/>
      <c r="R134" s="84"/>
      <c r="S134" s="84"/>
      <c r="T134" s="54" t="s">
        <v>2172</v>
      </c>
      <c r="U134" s="86"/>
      <c r="V134" s="54"/>
      <c r="W134" s="86"/>
      <c r="X134" s="54"/>
      <c r="Y134" s="78"/>
      <c r="Z134" s="54"/>
      <c r="AA134" s="70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54" t="s">
        <v>2173</v>
      </c>
      <c r="AR134" s="83" t="s">
        <v>125</v>
      </c>
      <c r="AS134" s="83" t="s">
        <v>2174</v>
      </c>
      <c r="AT134" s="93" t="s">
        <v>2168</v>
      </c>
      <c r="AU134" s="93" t="s">
        <v>2168</v>
      </c>
      <c r="AV134" s="93" t="s">
        <v>2168</v>
      </c>
      <c r="AW134" s="83" t="s">
        <v>2175</v>
      </c>
      <c r="AX134" s="83">
        <v>2.0</v>
      </c>
      <c r="AY134" s="83">
        <v>1.0</v>
      </c>
      <c r="AZ134" s="83" t="s">
        <v>2176</v>
      </c>
      <c r="BA134" s="83" t="s">
        <v>2177</v>
      </c>
      <c r="BB134" s="83" t="s">
        <v>2178</v>
      </c>
      <c r="BC134" s="54" t="s">
        <v>27</v>
      </c>
      <c r="BD134" s="54" t="str">
        <f t="shared" si="1"/>
        <v>Camaná</v>
      </c>
      <c r="BE134" s="67" t="s">
        <v>140</v>
      </c>
      <c r="BF134" s="67" t="s">
        <v>141</v>
      </c>
      <c r="BG134" s="67" t="s">
        <v>142</v>
      </c>
      <c r="BH134" s="67"/>
      <c r="BI134" s="67"/>
      <c r="BJ134" s="67"/>
      <c r="BK134" s="67"/>
      <c r="BL134" s="67" t="s">
        <v>147</v>
      </c>
      <c r="BM134" s="67" t="s">
        <v>247</v>
      </c>
      <c r="BN134" s="100">
        <v>89.0</v>
      </c>
      <c r="BO134" s="102" t="s">
        <v>148</v>
      </c>
      <c r="BP134" s="67" t="s">
        <v>141</v>
      </c>
      <c r="BQ134" s="79" t="s">
        <v>141</v>
      </c>
      <c r="BR134" s="67" t="s">
        <v>149</v>
      </c>
      <c r="BS134" s="102">
        <v>1.0</v>
      </c>
      <c r="BT134" s="106">
        <v>46214.0</v>
      </c>
      <c r="BU134" s="107">
        <v>4.0</v>
      </c>
      <c r="BV134" s="108">
        <f t="shared" si="2"/>
        <v>46210</v>
      </c>
      <c r="BW134" s="108">
        <f t="shared" si="8"/>
        <v>46214</v>
      </c>
      <c r="BX134" s="102" t="str">
        <f t="shared" si="4"/>
        <v>11</v>
      </c>
      <c r="BY134" s="107">
        <f t="shared" si="5"/>
        <v>5</v>
      </c>
      <c r="BZ134" s="107">
        <f t="array" ref="BZ134">IF($A134&lt;&gt;"",INDEX(LISTA!$M$2:$N$27,MATCH($BC134,LISTA!$N$2:$N$27,0),1),"")</f>
        <v>7</v>
      </c>
      <c r="CA134" s="67">
        <f t="shared" si="6"/>
        <v>7</v>
      </c>
      <c r="CB134" s="114">
        <f t="shared" si="7"/>
        <v>7</v>
      </c>
      <c r="CC134" s="160">
        <v>5.8072311E7</v>
      </c>
    </row>
    <row r="135" ht="15.0" hidden="1" customHeight="1" outlineLevel="1">
      <c r="A135" s="59">
        <v>46213.61361202547</v>
      </c>
      <c r="B135" s="115" t="s">
        <v>105</v>
      </c>
      <c r="C135" s="54" t="s">
        <v>100</v>
      </c>
      <c r="D135" s="56" t="s">
        <v>101</v>
      </c>
      <c r="E135" s="69">
        <v>46214.666666666664</v>
      </c>
      <c r="F135" s="73" t="s">
        <v>2179</v>
      </c>
      <c r="G135" s="60" t="s">
        <v>2180</v>
      </c>
      <c r="H135" s="60" t="s">
        <v>2181</v>
      </c>
      <c r="I135" s="67" t="s">
        <v>107</v>
      </c>
      <c r="J135" s="79" t="s">
        <v>2182</v>
      </c>
      <c r="K135" s="67" t="s">
        <v>109</v>
      </c>
      <c r="L135" s="79" t="s">
        <v>2183</v>
      </c>
      <c r="M135" s="83" t="s">
        <v>2184</v>
      </c>
      <c r="N135" s="78">
        <v>31558.0</v>
      </c>
      <c r="O135" s="80" t="s">
        <v>31</v>
      </c>
      <c r="P135" s="156" t="s">
        <v>703</v>
      </c>
      <c r="Q135" s="54"/>
      <c r="R135" s="84"/>
      <c r="S135" s="84"/>
      <c r="T135" s="54"/>
      <c r="U135" s="86"/>
      <c r="V135" s="54"/>
      <c r="W135" s="86"/>
      <c r="X135" s="54" t="s">
        <v>1012</v>
      </c>
      <c r="Y135" s="78"/>
      <c r="Z135" s="54"/>
      <c r="AA135" s="70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54" t="s">
        <v>918</v>
      </c>
      <c r="AR135" s="83" t="s">
        <v>2185</v>
      </c>
      <c r="AS135" s="83" t="s">
        <v>2186</v>
      </c>
      <c r="AT135" s="93" t="s">
        <v>2182</v>
      </c>
      <c r="AU135" s="93" t="s">
        <v>2182</v>
      </c>
      <c r="AV135" s="93" t="s">
        <v>2187</v>
      </c>
      <c r="AW135" s="83" t="s">
        <v>2188</v>
      </c>
      <c r="AX135" s="83">
        <v>2.0</v>
      </c>
      <c r="AY135" s="83">
        <v>1.0</v>
      </c>
      <c r="AZ135" s="83" t="s">
        <v>2189</v>
      </c>
      <c r="BA135" s="83" t="s">
        <v>2190</v>
      </c>
      <c r="BB135" s="83" t="s">
        <v>2191</v>
      </c>
      <c r="BC135" s="54" t="s">
        <v>31</v>
      </c>
      <c r="BD135" s="54" t="str">
        <f t="shared" si="1"/>
        <v>Cusco</v>
      </c>
      <c r="BE135" s="67" t="s">
        <v>140</v>
      </c>
      <c r="BF135" s="67" t="s">
        <v>144</v>
      </c>
      <c r="BG135" s="67" t="s">
        <v>142</v>
      </c>
      <c r="BH135" s="67"/>
      <c r="BI135" s="67"/>
      <c r="BJ135" s="67"/>
      <c r="BK135" s="67"/>
      <c r="BL135" s="67" t="s">
        <v>147</v>
      </c>
      <c r="BM135" s="67" t="s">
        <v>247</v>
      </c>
      <c r="BN135" s="100">
        <v>89.0</v>
      </c>
      <c r="BO135" s="102" t="s">
        <v>148</v>
      </c>
      <c r="BP135" s="67" t="s">
        <v>141</v>
      </c>
      <c r="BQ135" s="79" t="s">
        <v>141</v>
      </c>
      <c r="BR135" s="67" t="s">
        <v>149</v>
      </c>
      <c r="BS135" s="102">
        <v>1.0</v>
      </c>
      <c r="BT135" s="106">
        <v>46214.0</v>
      </c>
      <c r="BU135" s="107">
        <v>5.0</v>
      </c>
      <c r="BV135" s="108">
        <f t="shared" si="2"/>
        <v>46213</v>
      </c>
      <c r="BW135" s="108">
        <f t="shared" si="8"/>
        <v>46214</v>
      </c>
      <c r="BX135" s="102" t="str">
        <f t="shared" si="4"/>
        <v>16</v>
      </c>
      <c r="BY135" s="107">
        <f t="shared" si="5"/>
        <v>5</v>
      </c>
      <c r="BZ135" s="107">
        <f t="array" ref="BZ135">IF($A135&lt;&gt;"",INDEX(LISTA!$M$2:$N$27,MATCH($BC135,LISTA!$N$2:$N$27,0),1),"")</f>
        <v>10</v>
      </c>
      <c r="CA135" s="67">
        <f t="shared" si="6"/>
        <v>7</v>
      </c>
      <c r="CB135" s="114">
        <f t="shared" si="7"/>
        <v>7</v>
      </c>
      <c r="CC135" s="160">
        <v>5.8093958E7</v>
      </c>
    </row>
    <row r="136" ht="15.0" hidden="1" customHeight="1" outlineLevel="1">
      <c r="A136" s="59">
        <v>46213.43359954861</v>
      </c>
      <c r="B136" s="115" t="s">
        <v>105</v>
      </c>
      <c r="C136" s="54" t="s">
        <v>100</v>
      </c>
      <c r="D136" s="56" t="s">
        <v>101</v>
      </c>
      <c r="E136" s="69">
        <v>46214.375</v>
      </c>
      <c r="F136" s="73"/>
      <c r="G136" s="60" t="s">
        <v>2192</v>
      </c>
      <c r="H136" s="60" t="s">
        <v>2193</v>
      </c>
      <c r="I136" s="67" t="s">
        <v>363</v>
      </c>
      <c r="J136" s="79" t="s">
        <v>2194</v>
      </c>
      <c r="K136" s="67" t="s">
        <v>109</v>
      </c>
      <c r="L136" s="79" t="s">
        <v>2195</v>
      </c>
      <c r="M136" s="83" t="s">
        <v>2196</v>
      </c>
      <c r="N136" s="78">
        <v>30496.0</v>
      </c>
      <c r="O136" s="80" t="s">
        <v>37</v>
      </c>
      <c r="P136" s="70">
        <v>150000.0</v>
      </c>
      <c r="Q136" s="54"/>
      <c r="R136" s="84"/>
      <c r="S136" s="84"/>
      <c r="T136" s="54"/>
      <c r="U136" s="86"/>
      <c r="V136" s="54"/>
      <c r="W136" s="86"/>
      <c r="X136" s="54"/>
      <c r="Y136" s="78"/>
      <c r="Z136" s="54"/>
      <c r="AA136" s="70"/>
      <c r="AB136" s="83"/>
      <c r="AC136" s="83"/>
      <c r="AD136" s="83"/>
      <c r="AE136" s="83"/>
      <c r="AF136" s="83" t="s">
        <v>2197</v>
      </c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54" t="s">
        <v>1254</v>
      </c>
      <c r="AR136" s="83" t="s">
        <v>2198</v>
      </c>
      <c r="AS136" s="83" t="s">
        <v>2199</v>
      </c>
      <c r="AT136" s="93" t="s">
        <v>2194</v>
      </c>
      <c r="AU136" s="93" t="s">
        <v>2194</v>
      </c>
      <c r="AV136" s="93" t="s">
        <v>2194</v>
      </c>
      <c r="AW136" s="83" t="s">
        <v>2200</v>
      </c>
      <c r="AX136" s="83">
        <v>3.0</v>
      </c>
      <c r="AY136" s="83">
        <v>1.0</v>
      </c>
      <c r="AZ136" s="83" t="s">
        <v>2201</v>
      </c>
      <c r="BA136" s="83" t="s">
        <v>2202</v>
      </c>
      <c r="BB136" s="83" t="s">
        <v>2203</v>
      </c>
      <c r="BC136" s="54" t="s">
        <v>41</v>
      </c>
      <c r="BD136" s="54" t="str">
        <f t="shared" si="1"/>
        <v>El Agustino</v>
      </c>
      <c r="BE136" s="67" t="s">
        <v>140</v>
      </c>
      <c r="BF136" s="67" t="s">
        <v>144</v>
      </c>
      <c r="BG136" s="67" t="s">
        <v>142</v>
      </c>
      <c r="BH136" s="67"/>
      <c r="BI136" s="67"/>
      <c r="BJ136" s="67"/>
      <c r="BK136" s="67"/>
      <c r="BL136" s="67" t="s">
        <v>283</v>
      </c>
      <c r="BM136" s="67" t="s">
        <v>146</v>
      </c>
      <c r="BN136" s="100">
        <v>94.0</v>
      </c>
      <c r="BO136" s="102" t="s">
        <v>148</v>
      </c>
      <c r="BP136" s="67" t="s">
        <v>141</v>
      </c>
      <c r="BQ136" s="79" t="s">
        <v>144</v>
      </c>
      <c r="BR136" s="67" t="s">
        <v>149</v>
      </c>
      <c r="BS136" s="102" t="s">
        <v>149</v>
      </c>
      <c r="BT136" s="106">
        <v>46214.0</v>
      </c>
      <c r="BU136" s="107">
        <v>6.0</v>
      </c>
      <c r="BV136" s="108">
        <f t="shared" si="2"/>
        <v>46213</v>
      </c>
      <c r="BW136" s="108">
        <f t="shared" si="8"/>
        <v>46214</v>
      </c>
      <c r="BX136" s="102" t="str">
        <f t="shared" si="4"/>
        <v>09</v>
      </c>
      <c r="BY136" s="107">
        <f t="shared" si="5"/>
        <v>5</v>
      </c>
      <c r="BZ136" s="107">
        <f t="array" ref="BZ136">IF($A136&lt;&gt;"",INDEX(LISTA!$M$2:$N$27,MATCH($BC136,LISTA!$N$2:$N$27,0),1),"")</f>
        <v>1</v>
      </c>
      <c r="CA136" s="67">
        <f t="shared" si="6"/>
        <v>7</v>
      </c>
      <c r="CB136" s="114">
        <f t="shared" si="7"/>
        <v>7</v>
      </c>
      <c r="CC136" s="160">
        <v>5.809047E7</v>
      </c>
    </row>
    <row r="137" ht="15.0" hidden="1" customHeight="1" outlineLevel="1">
      <c r="A137" s="59">
        <v>46213.55629732639</v>
      </c>
      <c r="B137" s="115" t="s">
        <v>105</v>
      </c>
      <c r="C137" s="54" t="s">
        <v>100</v>
      </c>
      <c r="D137" s="56" t="s">
        <v>101</v>
      </c>
      <c r="E137" s="69">
        <v>46215.291666666664</v>
      </c>
      <c r="F137" s="73" t="s">
        <v>2204</v>
      </c>
      <c r="G137" s="60" t="s">
        <v>2205</v>
      </c>
      <c r="H137" s="60" t="s">
        <v>2206</v>
      </c>
      <c r="I137" s="67" t="s">
        <v>293</v>
      </c>
      <c r="J137" s="79" t="s">
        <v>2207</v>
      </c>
      <c r="K137" s="67" t="s">
        <v>109</v>
      </c>
      <c r="L137" s="79" t="s">
        <v>2208</v>
      </c>
      <c r="M137" s="83" t="s">
        <v>2209</v>
      </c>
      <c r="N137" s="78">
        <v>25448.0</v>
      </c>
      <c r="O137" s="80" t="s">
        <v>48</v>
      </c>
      <c r="P137" s="70">
        <v>200901.0</v>
      </c>
      <c r="Q137" s="54"/>
      <c r="R137" s="84"/>
      <c r="S137" s="84"/>
      <c r="T137" s="54"/>
      <c r="U137" s="86"/>
      <c r="V137" s="54"/>
      <c r="W137" s="86"/>
      <c r="X137" s="54"/>
      <c r="Y137" s="78"/>
      <c r="Z137" s="54"/>
      <c r="AA137" s="70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 t="s">
        <v>892</v>
      </c>
      <c r="AM137" s="83"/>
      <c r="AN137" s="83"/>
      <c r="AO137" s="83"/>
      <c r="AP137" s="83"/>
      <c r="AQ137" s="54" t="s">
        <v>2210</v>
      </c>
      <c r="AR137" s="83" t="s">
        <v>2211</v>
      </c>
      <c r="AS137" s="83" t="s">
        <v>2212</v>
      </c>
      <c r="AT137" s="93" t="s">
        <v>2207</v>
      </c>
      <c r="AU137" s="93" t="s">
        <v>2207</v>
      </c>
      <c r="AV137" s="93" t="s">
        <v>2207</v>
      </c>
      <c r="AW137" s="83" t="s">
        <v>2213</v>
      </c>
      <c r="AX137" s="83">
        <v>2.0</v>
      </c>
      <c r="AY137" s="83">
        <v>0.0</v>
      </c>
      <c r="AZ137" s="83" t="s">
        <v>2214</v>
      </c>
      <c r="BA137" s="83" t="s">
        <v>2215</v>
      </c>
      <c r="BB137" s="83" t="s">
        <v>2216</v>
      </c>
      <c r="BC137" s="54" t="s">
        <v>48</v>
      </c>
      <c r="BD137" s="54" t="str">
        <f t="shared" si="1"/>
        <v>San Román</v>
      </c>
      <c r="BE137" s="67" t="s">
        <v>140</v>
      </c>
      <c r="BF137" s="67" t="s">
        <v>144</v>
      </c>
      <c r="BG137" s="67" t="s">
        <v>142</v>
      </c>
      <c r="BH137" s="67"/>
      <c r="BI137" s="67"/>
      <c r="BJ137" s="67"/>
      <c r="BK137" s="67"/>
      <c r="BL137" s="67" t="s">
        <v>147</v>
      </c>
      <c r="BM137" s="67" t="s">
        <v>247</v>
      </c>
      <c r="BN137" s="100">
        <v>89.0</v>
      </c>
      <c r="BO137" s="102" t="s">
        <v>148</v>
      </c>
      <c r="BP137" s="67" t="s">
        <v>141</v>
      </c>
      <c r="BQ137" s="79" t="s">
        <v>141</v>
      </c>
      <c r="BR137" s="67" t="s">
        <v>149</v>
      </c>
      <c r="BS137" s="102">
        <v>1.0</v>
      </c>
      <c r="BT137" s="106">
        <v>46215.0</v>
      </c>
      <c r="BU137" s="107">
        <v>1.0</v>
      </c>
      <c r="BV137" s="108">
        <f t="shared" si="2"/>
        <v>46213</v>
      </c>
      <c r="BW137" s="108">
        <f t="shared" si="8"/>
        <v>46215</v>
      </c>
      <c r="BX137" s="102" t="str">
        <f t="shared" si="4"/>
        <v>07</v>
      </c>
      <c r="BY137" s="107">
        <f t="shared" si="5"/>
        <v>5</v>
      </c>
      <c r="BZ137" s="107">
        <f t="array" ref="BZ137">IF($A137&lt;&gt;"",INDEX(LISTA!$M$2:$N$27,MATCH($BC137,LISTA!$N$2:$N$27,0),1),"")</f>
        <v>22</v>
      </c>
      <c r="CA137" s="67">
        <f t="shared" si="6"/>
        <v>7</v>
      </c>
      <c r="CB137" s="114">
        <f t="shared" si="7"/>
        <v>7</v>
      </c>
      <c r="CC137" s="160">
        <v>5.8092489E7</v>
      </c>
    </row>
    <row r="138" ht="15.0" hidden="1" customHeight="1" outlineLevel="1">
      <c r="A138" s="59">
        <v>46214.37582829861</v>
      </c>
      <c r="B138" s="115" t="s">
        <v>105</v>
      </c>
      <c r="C138" s="54" t="s">
        <v>100</v>
      </c>
      <c r="D138" s="56" t="s">
        <v>319</v>
      </c>
      <c r="E138" s="69">
        <v>46215.458333333336</v>
      </c>
      <c r="F138" s="73" t="s">
        <v>103</v>
      </c>
      <c r="G138" s="60" t="s">
        <v>2217</v>
      </c>
      <c r="H138" s="60" t="s">
        <v>2218</v>
      </c>
      <c r="I138" s="67" t="s">
        <v>355</v>
      </c>
      <c r="J138" s="79" t="s">
        <v>2219</v>
      </c>
      <c r="K138" s="67" t="s">
        <v>109</v>
      </c>
      <c r="L138" s="79" t="s">
        <v>2220</v>
      </c>
      <c r="M138" s="83" t="s">
        <v>2221</v>
      </c>
      <c r="N138" s="78">
        <v>24603.0</v>
      </c>
      <c r="O138" s="80" t="s">
        <v>37</v>
      </c>
      <c r="P138" s="70">
        <v>150101.0</v>
      </c>
      <c r="Q138" s="54"/>
      <c r="R138" s="84"/>
      <c r="S138" s="84"/>
      <c r="T138" s="54"/>
      <c r="U138" s="86"/>
      <c r="V138" s="54"/>
      <c r="W138" s="86"/>
      <c r="X138" s="54"/>
      <c r="Y138" s="78"/>
      <c r="Z138" s="54"/>
      <c r="AA138" s="70"/>
      <c r="AB138" s="83"/>
      <c r="AC138" s="83"/>
      <c r="AD138" s="83"/>
      <c r="AE138" s="83"/>
      <c r="AF138" s="83" t="s">
        <v>165</v>
      </c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54" t="s">
        <v>2222</v>
      </c>
      <c r="AR138" s="83" t="s">
        <v>2223</v>
      </c>
      <c r="AS138" s="83" t="s">
        <v>2224</v>
      </c>
      <c r="AT138" s="93" t="s">
        <v>2219</v>
      </c>
      <c r="AU138" s="93" t="s">
        <v>2225</v>
      </c>
      <c r="AV138" s="93" t="s">
        <v>2219</v>
      </c>
      <c r="AW138" s="83" t="s">
        <v>2226</v>
      </c>
      <c r="AX138" s="83">
        <v>4.0</v>
      </c>
      <c r="AY138" s="83">
        <v>404.0</v>
      </c>
      <c r="AZ138" s="83" t="s">
        <v>2227</v>
      </c>
      <c r="BA138" s="83" t="s">
        <v>2228</v>
      </c>
      <c r="BB138" s="83" t="s">
        <v>2229</v>
      </c>
      <c r="BC138" s="54" t="s">
        <v>41</v>
      </c>
      <c r="BD138" s="54" t="str">
        <f t="shared" si="1"/>
        <v>San Martín de Porres</v>
      </c>
      <c r="BE138" s="67" t="s">
        <v>140</v>
      </c>
      <c r="BF138" s="67" t="s">
        <v>144</v>
      </c>
      <c r="BG138" s="67" t="s">
        <v>142</v>
      </c>
      <c r="BH138" s="67"/>
      <c r="BI138" s="67"/>
      <c r="BJ138" s="67"/>
      <c r="BK138" s="67"/>
      <c r="BL138" s="67" t="s">
        <v>147</v>
      </c>
      <c r="BM138" s="67" t="s">
        <v>146</v>
      </c>
      <c r="BN138" s="100">
        <v>69.0</v>
      </c>
      <c r="BO138" s="102" t="s">
        <v>615</v>
      </c>
      <c r="BP138" s="67" t="s">
        <v>141</v>
      </c>
      <c r="BQ138" s="79" t="s">
        <v>141</v>
      </c>
      <c r="BR138" s="67" t="s">
        <v>149</v>
      </c>
      <c r="BS138" s="102" t="s">
        <v>149</v>
      </c>
      <c r="BT138" s="106">
        <v>46215.0</v>
      </c>
      <c r="BU138" s="107">
        <v>2.0</v>
      </c>
      <c r="BV138" s="108">
        <f t="shared" si="2"/>
        <v>46214</v>
      </c>
      <c r="BW138" s="108">
        <f t="shared" si="8"/>
        <v>46215</v>
      </c>
      <c r="BX138" s="102" t="str">
        <f t="shared" si="4"/>
        <v>11</v>
      </c>
      <c r="BY138" s="107">
        <f t="shared" si="5"/>
        <v>5</v>
      </c>
      <c r="BZ138" s="107">
        <f t="array" ref="BZ138">IF($A138&lt;&gt;"",INDEX(LISTA!$M$2:$N$27,MATCH($BC138,LISTA!$N$2:$N$27,0),1),"")</f>
        <v>1</v>
      </c>
      <c r="CA138" s="67">
        <f t="shared" si="6"/>
        <v>7</v>
      </c>
      <c r="CB138" s="114">
        <f t="shared" si="7"/>
        <v>7</v>
      </c>
      <c r="CC138" s="160">
        <v>5.8097857E7</v>
      </c>
    </row>
    <row r="139" ht="15.0" hidden="1" customHeight="1" outlineLevel="1">
      <c r="A139" s="59">
        <v>46214.457441782404</v>
      </c>
      <c r="B139" s="115" t="s">
        <v>105</v>
      </c>
      <c r="C139" s="54" t="s">
        <v>100</v>
      </c>
      <c r="D139" s="56" t="s">
        <v>319</v>
      </c>
      <c r="E139" s="69">
        <v>46215.458333333336</v>
      </c>
      <c r="F139" s="73" t="s">
        <v>2230</v>
      </c>
      <c r="G139" s="60" t="s">
        <v>2231</v>
      </c>
      <c r="H139" s="60" t="s">
        <v>2232</v>
      </c>
      <c r="I139" s="67" t="s">
        <v>355</v>
      </c>
      <c r="J139" s="79" t="s">
        <v>2233</v>
      </c>
      <c r="K139" s="67" t="s">
        <v>1117</v>
      </c>
      <c r="L139" s="79" t="s">
        <v>2234</v>
      </c>
      <c r="M139" s="83" t="s">
        <v>2235</v>
      </c>
      <c r="N139" s="78">
        <v>31094.0</v>
      </c>
      <c r="O139" s="80" t="s">
        <v>1120</v>
      </c>
      <c r="P139" s="70" t="s">
        <v>346</v>
      </c>
      <c r="Q139" s="54"/>
      <c r="R139" s="84"/>
      <c r="S139" s="84"/>
      <c r="T139" s="54"/>
      <c r="U139" s="86"/>
      <c r="V139" s="54"/>
      <c r="W139" s="86"/>
      <c r="X139" s="54"/>
      <c r="Y139" s="78"/>
      <c r="Z139" s="54"/>
      <c r="AA139" s="70"/>
      <c r="AB139" s="83"/>
      <c r="AC139" s="83"/>
      <c r="AD139" s="83"/>
      <c r="AE139" s="83"/>
      <c r="AF139" s="83" t="s">
        <v>165</v>
      </c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54" t="s">
        <v>2146</v>
      </c>
      <c r="AR139" s="83" t="s">
        <v>125</v>
      </c>
      <c r="AS139" s="83" t="s">
        <v>2236</v>
      </c>
      <c r="AT139" s="93" t="s">
        <v>2233</v>
      </c>
      <c r="AU139" s="93" t="s">
        <v>2233</v>
      </c>
      <c r="AV139" s="93" t="s">
        <v>2233</v>
      </c>
      <c r="AW139" s="83" t="s">
        <v>2237</v>
      </c>
      <c r="AX139" s="83">
        <v>3.0</v>
      </c>
      <c r="AY139" s="83">
        <v>303.0</v>
      </c>
      <c r="AZ139" s="83" t="s">
        <v>2238</v>
      </c>
      <c r="BA139" s="83" t="s">
        <v>2239</v>
      </c>
      <c r="BB139" s="83" t="s">
        <v>2240</v>
      </c>
      <c r="BC139" s="54" t="s">
        <v>41</v>
      </c>
      <c r="BD139" s="54" t="str">
        <f t="shared" si="1"/>
        <v>San Martín de Porres</v>
      </c>
      <c r="BE139" s="67" t="s">
        <v>140</v>
      </c>
      <c r="BF139" s="67" t="s">
        <v>144</v>
      </c>
      <c r="BG139" s="67" t="s">
        <v>142</v>
      </c>
      <c r="BH139" s="67"/>
      <c r="BI139" s="67"/>
      <c r="BJ139" s="67"/>
      <c r="BK139" s="67"/>
      <c r="BL139" s="67" t="s">
        <v>147</v>
      </c>
      <c r="BM139" s="67" t="s">
        <v>146</v>
      </c>
      <c r="BN139" s="100">
        <v>69.0</v>
      </c>
      <c r="BO139" s="102" t="s">
        <v>615</v>
      </c>
      <c r="BP139" s="67" t="s">
        <v>141</v>
      </c>
      <c r="BQ139" s="79" t="s">
        <v>141</v>
      </c>
      <c r="BR139" s="67" t="s">
        <v>149</v>
      </c>
      <c r="BS139" s="102" t="s">
        <v>149</v>
      </c>
      <c r="BT139" s="106">
        <v>46215.0</v>
      </c>
      <c r="BU139" s="107">
        <v>3.0</v>
      </c>
      <c r="BV139" s="108">
        <f t="shared" si="2"/>
        <v>46214</v>
      </c>
      <c r="BW139" s="108">
        <f t="shared" si="8"/>
        <v>46215</v>
      </c>
      <c r="BX139" s="102" t="str">
        <f t="shared" si="4"/>
        <v>11</v>
      </c>
      <c r="BY139" s="107">
        <f t="shared" si="5"/>
        <v>5</v>
      </c>
      <c r="BZ139" s="107">
        <f t="array" ref="BZ139">IF($A139&lt;&gt;"",INDEX(LISTA!$M$2:$N$27,MATCH($BC139,LISTA!$N$2:$N$27,0),1),"")</f>
        <v>1</v>
      </c>
      <c r="CA139" s="67">
        <f t="shared" si="6"/>
        <v>7</v>
      </c>
      <c r="CB139" s="114">
        <f t="shared" si="7"/>
        <v>7</v>
      </c>
      <c r="CC139" s="160">
        <v>5.8098449E7</v>
      </c>
    </row>
    <row r="140" ht="15.0" hidden="1" customHeight="1" outlineLevel="1">
      <c r="A140" s="59">
        <v>46214.6492252662</v>
      </c>
      <c r="B140" s="115" t="s">
        <v>105</v>
      </c>
      <c r="C140" s="54" t="s">
        <v>100</v>
      </c>
      <c r="D140" s="56" t="s">
        <v>101</v>
      </c>
      <c r="E140" s="69">
        <v>46215.666666666664</v>
      </c>
      <c r="F140" s="73" t="s">
        <v>2140</v>
      </c>
      <c r="G140" s="60" t="s">
        <v>2241</v>
      </c>
      <c r="H140" s="60" t="s">
        <v>2242</v>
      </c>
      <c r="I140" s="67" t="s">
        <v>107</v>
      </c>
      <c r="J140" s="79" t="s">
        <v>2243</v>
      </c>
      <c r="K140" s="67" t="s">
        <v>109</v>
      </c>
      <c r="L140" s="79" t="s">
        <v>2244</v>
      </c>
      <c r="M140" s="83" t="s">
        <v>2245</v>
      </c>
      <c r="N140" s="78">
        <v>29453.0</v>
      </c>
      <c r="O140" s="80" t="s">
        <v>41</v>
      </c>
      <c r="P140" s="70">
        <v>110902.0</v>
      </c>
      <c r="Q140" s="54"/>
      <c r="R140" s="84"/>
      <c r="S140" s="84"/>
      <c r="T140" s="54"/>
      <c r="U140" s="86"/>
      <c r="V140" s="54"/>
      <c r="W140" s="86"/>
      <c r="X140" s="54"/>
      <c r="Y140" s="78"/>
      <c r="Z140" s="54"/>
      <c r="AA140" s="70"/>
      <c r="AB140" s="83"/>
      <c r="AC140" s="83"/>
      <c r="AD140" s="83"/>
      <c r="AE140" s="83"/>
      <c r="AF140" s="83" t="s">
        <v>691</v>
      </c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54" t="s">
        <v>2246</v>
      </c>
      <c r="AR140" s="83" t="s">
        <v>2247</v>
      </c>
      <c r="AS140" s="83" t="s">
        <v>2248</v>
      </c>
      <c r="AT140" s="93" t="s">
        <v>2243</v>
      </c>
      <c r="AU140" s="93" t="s">
        <v>2243</v>
      </c>
      <c r="AV140" s="93" t="s">
        <v>2244</v>
      </c>
      <c r="AW140" s="83" t="s">
        <v>2249</v>
      </c>
      <c r="AX140" s="83">
        <v>2.0</v>
      </c>
      <c r="AY140" s="83">
        <v>1.0</v>
      </c>
      <c r="AZ140" s="83" t="s">
        <v>2250</v>
      </c>
      <c r="BA140" s="83" t="s">
        <v>2251</v>
      </c>
      <c r="BB140" s="83" t="s">
        <v>2252</v>
      </c>
      <c r="BC140" s="54" t="s">
        <v>41</v>
      </c>
      <c r="BD140" s="54" t="str">
        <f t="shared" si="1"/>
        <v>Comas</v>
      </c>
      <c r="BE140" s="67" t="s">
        <v>140</v>
      </c>
      <c r="BF140" s="67" t="s">
        <v>144</v>
      </c>
      <c r="BG140" s="67" t="s">
        <v>142</v>
      </c>
      <c r="BH140" s="67"/>
      <c r="BI140" s="67"/>
      <c r="BJ140" s="67"/>
      <c r="BK140" s="67"/>
      <c r="BL140" s="67" t="s">
        <v>147</v>
      </c>
      <c r="BM140" s="67" t="s">
        <v>247</v>
      </c>
      <c r="BN140" s="100">
        <v>89.0</v>
      </c>
      <c r="BO140" s="102" t="s">
        <v>148</v>
      </c>
      <c r="BP140" s="67" t="s">
        <v>141</v>
      </c>
      <c r="BQ140" s="79" t="s">
        <v>141</v>
      </c>
      <c r="BR140" s="67" t="s">
        <v>149</v>
      </c>
      <c r="BS140" s="102">
        <v>1.0</v>
      </c>
      <c r="BT140" s="106">
        <v>46215.0</v>
      </c>
      <c r="BU140" s="107">
        <v>4.0</v>
      </c>
      <c r="BV140" s="108">
        <f t="shared" si="2"/>
        <v>46214</v>
      </c>
      <c r="BW140" s="108">
        <f t="shared" si="8"/>
        <v>46215</v>
      </c>
      <c r="BX140" s="102" t="str">
        <f t="shared" si="4"/>
        <v>16</v>
      </c>
      <c r="BY140" s="107">
        <f t="shared" si="5"/>
        <v>5</v>
      </c>
      <c r="BZ140" s="107">
        <f t="array" ref="BZ140">IF($A140&lt;&gt;"",INDEX(LISTA!$M$2:$N$27,MATCH($BC140,LISTA!$N$2:$N$27,0),1),"")</f>
        <v>1</v>
      </c>
      <c r="CA140" s="67">
        <f t="shared" si="6"/>
        <v>7</v>
      </c>
      <c r="CB140" s="114">
        <f t="shared" si="7"/>
        <v>7</v>
      </c>
      <c r="CC140" s="160">
        <v>5.8100101E7</v>
      </c>
    </row>
    <row r="141" ht="15.0" hidden="1" customHeight="1" outlineLevel="1">
      <c r="A141" s="59">
        <v>46213.51700486111</v>
      </c>
      <c r="B141" s="115" t="s">
        <v>105</v>
      </c>
      <c r="C141" s="54" t="s">
        <v>100</v>
      </c>
      <c r="D141" s="56" t="s">
        <v>319</v>
      </c>
      <c r="E141" s="69">
        <v>46216.458333333336</v>
      </c>
      <c r="F141" s="73" t="s">
        <v>2253</v>
      </c>
      <c r="G141" s="60" t="s">
        <v>2254</v>
      </c>
      <c r="H141" s="60" t="s">
        <v>2255</v>
      </c>
      <c r="I141" s="67" t="s">
        <v>350</v>
      </c>
      <c r="J141" s="79" t="s">
        <v>2256</v>
      </c>
      <c r="K141" s="67" t="s">
        <v>109</v>
      </c>
      <c r="L141" s="79" t="s">
        <v>2257</v>
      </c>
      <c r="M141" s="83" t="s">
        <v>2258</v>
      </c>
      <c r="N141" s="78">
        <v>31803.0</v>
      </c>
      <c r="O141" s="80" t="s">
        <v>41</v>
      </c>
      <c r="P141" s="70">
        <v>150115.0</v>
      </c>
      <c r="Q141" s="54"/>
      <c r="R141" s="84"/>
      <c r="S141" s="84"/>
      <c r="T141" s="54"/>
      <c r="U141" s="86"/>
      <c r="V141" s="54"/>
      <c r="W141" s="86"/>
      <c r="X141" s="54"/>
      <c r="Y141" s="78"/>
      <c r="Z141" s="54"/>
      <c r="AA141" s="70"/>
      <c r="AB141" s="83"/>
      <c r="AC141" s="83"/>
      <c r="AD141" s="83"/>
      <c r="AE141" s="83"/>
      <c r="AF141" s="83" t="s">
        <v>2259</v>
      </c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54" t="s">
        <v>1299</v>
      </c>
      <c r="AR141" s="83" t="s">
        <v>2260</v>
      </c>
      <c r="AS141" s="83" t="s">
        <v>2261</v>
      </c>
      <c r="AT141" s="93" t="s">
        <v>2256</v>
      </c>
      <c r="AU141" s="93" t="s">
        <v>2256</v>
      </c>
      <c r="AV141" s="93" t="s">
        <v>2256</v>
      </c>
      <c r="AW141" s="83" t="s">
        <v>2262</v>
      </c>
      <c r="AX141" s="83">
        <v>3.0</v>
      </c>
      <c r="AY141" s="83">
        <v>0.0</v>
      </c>
      <c r="AZ141" s="83" t="s">
        <v>2263</v>
      </c>
      <c r="BA141" s="83" t="s">
        <v>2264</v>
      </c>
      <c r="BB141" s="83" t="s">
        <v>2265</v>
      </c>
      <c r="BC141" s="54" t="s">
        <v>41</v>
      </c>
      <c r="BD141" s="54" t="str">
        <f t="shared" si="1"/>
        <v>Lurigancho-Chosica</v>
      </c>
      <c r="BE141" s="67" t="s">
        <v>140</v>
      </c>
      <c r="BF141" s="67" t="s">
        <v>141</v>
      </c>
      <c r="BG141" s="67" t="s">
        <v>142</v>
      </c>
      <c r="BH141" s="67"/>
      <c r="BI141" s="67"/>
      <c r="BJ141" s="67"/>
      <c r="BK141" s="67"/>
      <c r="BL141" s="67" t="s">
        <v>147</v>
      </c>
      <c r="BM141" s="67" t="s">
        <v>1142</v>
      </c>
      <c r="BN141" s="100">
        <v>89.0</v>
      </c>
      <c r="BO141" s="102" t="s">
        <v>148</v>
      </c>
      <c r="BP141" s="67" t="s">
        <v>141</v>
      </c>
      <c r="BQ141" s="79" t="s">
        <v>141</v>
      </c>
      <c r="BR141" s="67" t="s">
        <v>149</v>
      </c>
      <c r="BS141" s="102" t="s">
        <v>149</v>
      </c>
      <c r="BT141" s="106">
        <v>46216.0</v>
      </c>
      <c r="BU141" s="107">
        <v>1.0</v>
      </c>
      <c r="BV141" s="108">
        <f t="shared" si="2"/>
        <v>46213</v>
      </c>
      <c r="BW141" s="108">
        <f t="shared" si="8"/>
        <v>46216</v>
      </c>
      <c r="BX141" s="102" t="str">
        <f t="shared" si="4"/>
        <v>11</v>
      </c>
      <c r="BY141" s="107">
        <f t="shared" si="5"/>
        <v>5</v>
      </c>
      <c r="BZ141" s="107">
        <f t="array" ref="BZ141">IF($A141&lt;&gt;"",INDEX(LISTA!$M$2:$N$27,MATCH($BC141,LISTA!$N$2:$N$27,0),1),"")</f>
        <v>1</v>
      </c>
      <c r="CA141" s="67">
        <f t="shared" si="6"/>
        <v>7</v>
      </c>
      <c r="CB141" s="114">
        <f t="shared" si="7"/>
        <v>7</v>
      </c>
      <c r="CC141" s="160">
        <v>5.809411E7</v>
      </c>
    </row>
    <row r="142" ht="15.0" hidden="1" customHeight="1" outlineLevel="1">
      <c r="A142" s="59">
        <v>46214.750175925925</v>
      </c>
      <c r="B142" s="115" t="s">
        <v>105</v>
      </c>
      <c r="C142" s="54" t="s">
        <v>100</v>
      </c>
      <c r="D142" s="56" t="s">
        <v>101</v>
      </c>
      <c r="E142" s="69">
        <v>46216.666666666664</v>
      </c>
      <c r="F142" s="73"/>
      <c r="G142" s="60" t="s">
        <v>2266</v>
      </c>
      <c r="H142" s="60" t="s">
        <v>2267</v>
      </c>
      <c r="I142" s="67" t="s">
        <v>350</v>
      </c>
      <c r="J142" s="79" t="s">
        <v>2268</v>
      </c>
      <c r="K142" s="67" t="s">
        <v>109</v>
      </c>
      <c r="L142" s="79" t="s">
        <v>2269</v>
      </c>
      <c r="M142" s="83" t="s">
        <v>2270</v>
      </c>
      <c r="N142" s="78">
        <v>33367.0</v>
      </c>
      <c r="O142" s="80" t="s">
        <v>33</v>
      </c>
      <c r="P142" s="70">
        <v>100208.0</v>
      </c>
      <c r="Q142" s="54"/>
      <c r="R142" s="84"/>
      <c r="S142" s="84"/>
      <c r="T142" s="54"/>
      <c r="U142" s="86"/>
      <c r="V142" s="54"/>
      <c r="W142" s="86"/>
      <c r="X142" s="54"/>
      <c r="Y142" s="78"/>
      <c r="Z142" s="54" t="s">
        <v>267</v>
      </c>
      <c r="AA142" s="70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54" t="s">
        <v>2271</v>
      </c>
      <c r="AR142" s="83" t="s">
        <v>2272</v>
      </c>
      <c r="AS142" s="83" t="s">
        <v>2273</v>
      </c>
      <c r="AT142" s="93" t="s">
        <v>2268</v>
      </c>
      <c r="AU142" s="93" t="s">
        <v>2268</v>
      </c>
      <c r="AV142" s="93" t="s">
        <v>2268</v>
      </c>
      <c r="AW142" s="83" t="s">
        <v>2274</v>
      </c>
      <c r="AX142" s="83">
        <v>2.0</v>
      </c>
      <c r="AY142" s="83">
        <v>0.0</v>
      </c>
      <c r="AZ142" s="83" t="s">
        <v>2275</v>
      </c>
      <c r="BA142" s="83" t="s">
        <v>2276</v>
      </c>
      <c r="BB142" s="83" t="s">
        <v>2277</v>
      </c>
      <c r="BC142" s="54" t="s">
        <v>33</v>
      </c>
      <c r="BD142" s="54" t="str">
        <f t="shared" si="1"/>
        <v>Huánuco</v>
      </c>
      <c r="BE142" s="67" t="s">
        <v>140</v>
      </c>
      <c r="BF142" s="67" t="s">
        <v>141</v>
      </c>
      <c r="BG142" s="67" t="s">
        <v>142</v>
      </c>
      <c r="BH142" s="67"/>
      <c r="BI142" s="67"/>
      <c r="BJ142" s="67"/>
      <c r="BK142" s="67"/>
      <c r="BL142" s="67" t="s">
        <v>147</v>
      </c>
      <c r="BM142" s="67" t="s">
        <v>247</v>
      </c>
      <c r="BN142" s="100">
        <v>89.0</v>
      </c>
      <c r="BO142" s="102" t="s">
        <v>148</v>
      </c>
      <c r="BP142" s="67" t="s">
        <v>141</v>
      </c>
      <c r="BQ142" s="79" t="s">
        <v>141</v>
      </c>
      <c r="BR142" s="67" t="s">
        <v>149</v>
      </c>
      <c r="BS142" s="102">
        <v>1.0</v>
      </c>
      <c r="BT142" s="106">
        <v>46216.0</v>
      </c>
      <c r="BU142" s="107">
        <v>2.0</v>
      </c>
      <c r="BV142" s="108">
        <f t="shared" si="2"/>
        <v>46214</v>
      </c>
      <c r="BW142" s="108">
        <f t="shared" si="8"/>
        <v>46216</v>
      </c>
      <c r="BX142" s="102" t="str">
        <f t="shared" si="4"/>
        <v>16</v>
      </c>
      <c r="BY142" s="107">
        <f t="shared" si="5"/>
        <v>5</v>
      </c>
      <c r="BZ142" s="107">
        <f t="array" ref="BZ142">IF($A142&lt;&gt;"",INDEX(LISTA!$M$2:$N$27,MATCH($BC142,LISTA!$N$2:$N$27,0),1),"")</f>
        <v>12</v>
      </c>
      <c r="CA142" s="67">
        <f t="shared" si="6"/>
        <v>7</v>
      </c>
      <c r="CB142" s="114">
        <f t="shared" si="7"/>
        <v>7</v>
      </c>
      <c r="CC142" s="160">
        <v>5.8101076E7</v>
      </c>
    </row>
    <row r="143" ht="15.0" hidden="1" customHeight="1" outlineLevel="1">
      <c r="A143" s="59">
        <v>46210.662237129625</v>
      </c>
      <c r="B143" s="115" t="s">
        <v>105</v>
      </c>
      <c r="C143" s="54" t="s">
        <v>100</v>
      </c>
      <c r="D143" s="56" t="s">
        <v>101</v>
      </c>
      <c r="E143" s="69">
        <v>46216.666666666664</v>
      </c>
      <c r="F143" s="73" t="s">
        <v>2278</v>
      </c>
      <c r="G143" s="60" t="s">
        <v>2279</v>
      </c>
      <c r="H143" s="60" t="s">
        <v>2280</v>
      </c>
      <c r="I143" s="67" t="s">
        <v>107</v>
      </c>
      <c r="J143" s="79" t="s">
        <v>2281</v>
      </c>
      <c r="K143" s="67" t="s">
        <v>1117</v>
      </c>
      <c r="L143" s="79" t="s">
        <v>2282</v>
      </c>
      <c r="M143" s="83" t="s">
        <v>2283</v>
      </c>
      <c r="N143" s="78">
        <v>33344.0</v>
      </c>
      <c r="O143" s="80" t="s">
        <v>1120</v>
      </c>
      <c r="P143" s="70" t="s">
        <v>1657</v>
      </c>
      <c r="Q143" s="54"/>
      <c r="R143" s="84"/>
      <c r="S143" s="84"/>
      <c r="T143" s="54"/>
      <c r="U143" s="86"/>
      <c r="V143" s="54"/>
      <c r="W143" s="86"/>
      <c r="X143" s="54"/>
      <c r="Y143" s="78"/>
      <c r="Z143" s="54"/>
      <c r="AA143" s="70"/>
      <c r="AB143" s="83"/>
      <c r="AC143" s="83"/>
      <c r="AD143" s="83"/>
      <c r="AE143" s="83"/>
      <c r="AF143" s="83" t="s">
        <v>2284</v>
      </c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54" t="s">
        <v>2285</v>
      </c>
      <c r="AR143" s="83" t="s">
        <v>717</v>
      </c>
      <c r="AS143" s="83" t="s">
        <v>2286</v>
      </c>
      <c r="AT143" s="93" t="s">
        <v>2281</v>
      </c>
      <c r="AU143" s="93" t="s">
        <v>2281</v>
      </c>
      <c r="AV143" s="93" t="s">
        <v>2281</v>
      </c>
      <c r="AW143" s="83" t="s">
        <v>2287</v>
      </c>
      <c r="AX143" s="83">
        <v>3.0</v>
      </c>
      <c r="AY143" s="83">
        <v>1.0</v>
      </c>
      <c r="AZ143" s="83" t="s">
        <v>2288</v>
      </c>
      <c r="BA143" s="83" t="s">
        <v>2289</v>
      </c>
      <c r="BB143" s="83" t="s">
        <v>2290</v>
      </c>
      <c r="BC143" s="54" t="s">
        <v>41</v>
      </c>
      <c r="BD143" s="54" t="str">
        <f t="shared" si="1"/>
        <v>Chorrillos</v>
      </c>
      <c r="BE143" s="67" t="s">
        <v>140</v>
      </c>
      <c r="BF143" s="67" t="s">
        <v>141</v>
      </c>
      <c r="BG143" s="67" t="s">
        <v>142</v>
      </c>
      <c r="BH143" s="67"/>
      <c r="BI143" s="67"/>
      <c r="BJ143" s="67"/>
      <c r="BK143" s="67"/>
      <c r="BL143" s="67" t="s">
        <v>283</v>
      </c>
      <c r="BM143" s="67" t="s">
        <v>146</v>
      </c>
      <c r="BN143" s="100">
        <v>94.0</v>
      </c>
      <c r="BO143" s="102" t="s">
        <v>148</v>
      </c>
      <c r="BP143" s="67" t="s">
        <v>141</v>
      </c>
      <c r="BQ143" s="79" t="s">
        <v>144</v>
      </c>
      <c r="BR143" s="67" t="s">
        <v>149</v>
      </c>
      <c r="BS143" s="102">
        <v>1.0</v>
      </c>
      <c r="BT143" s="106">
        <v>46216.0</v>
      </c>
      <c r="BU143" s="107">
        <v>3.0</v>
      </c>
      <c r="BV143" s="108">
        <f t="shared" si="2"/>
        <v>46210</v>
      </c>
      <c r="BW143" s="108">
        <f t="shared" si="8"/>
        <v>46216</v>
      </c>
      <c r="BX143" s="102" t="str">
        <f t="shared" si="4"/>
        <v>16</v>
      </c>
      <c r="BY143" s="107">
        <f t="shared" si="5"/>
        <v>5</v>
      </c>
      <c r="BZ143" s="107">
        <f t="array" ref="BZ143">IF($A143&lt;&gt;"",INDEX(LISTA!$M$2:$N$27,MATCH($BC143,LISTA!$N$2:$N$27,0),1),"")</f>
        <v>1</v>
      </c>
      <c r="CA143" s="67">
        <f t="shared" si="6"/>
        <v>7</v>
      </c>
      <c r="CB143" s="114">
        <f t="shared" si="7"/>
        <v>7</v>
      </c>
      <c r="CC143" s="160">
        <v>5.8079799E7</v>
      </c>
    </row>
    <row r="144" ht="15.0" hidden="1" customHeight="1" outlineLevel="1">
      <c r="A144" s="59">
        <v>46214.50520458333</v>
      </c>
      <c r="B144" s="115" t="s">
        <v>105</v>
      </c>
      <c r="C144" s="54" t="s">
        <v>100</v>
      </c>
      <c r="D144" s="56" t="s">
        <v>319</v>
      </c>
      <c r="E144" s="69">
        <v>46216.583333333336</v>
      </c>
      <c r="F144" s="73"/>
      <c r="G144" s="60" t="s">
        <v>2291</v>
      </c>
      <c r="H144" s="60" t="s">
        <v>2292</v>
      </c>
      <c r="I144" s="67" t="s">
        <v>234</v>
      </c>
      <c r="J144" s="79" t="s">
        <v>2293</v>
      </c>
      <c r="K144" s="67" t="s">
        <v>109</v>
      </c>
      <c r="L144" s="79" t="s">
        <v>2294</v>
      </c>
      <c r="M144" s="83" t="s">
        <v>2295</v>
      </c>
      <c r="N144" s="78">
        <v>32959.0</v>
      </c>
      <c r="O144" s="80" t="s">
        <v>34</v>
      </c>
      <c r="P144" s="70">
        <v>110501.0</v>
      </c>
      <c r="Q144" s="54"/>
      <c r="R144" s="84"/>
      <c r="S144" s="84"/>
      <c r="T144" s="54"/>
      <c r="U144" s="86"/>
      <c r="V144" s="54"/>
      <c r="W144" s="86"/>
      <c r="X144" s="54"/>
      <c r="Y144" s="78"/>
      <c r="Z144" s="54"/>
      <c r="AA144" s="70" t="s">
        <v>2296</v>
      </c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54" t="s">
        <v>2297</v>
      </c>
      <c r="AR144" s="83" t="s">
        <v>2298</v>
      </c>
      <c r="AS144" s="83" t="s">
        <v>2299</v>
      </c>
      <c r="AT144" s="93" t="s">
        <v>2300</v>
      </c>
      <c r="AU144" s="93" t="s">
        <v>2300</v>
      </c>
      <c r="AV144" s="93" t="s">
        <v>2300</v>
      </c>
      <c r="AW144" s="83" t="s">
        <v>2301</v>
      </c>
      <c r="AX144" s="83">
        <v>2.0</v>
      </c>
      <c r="AY144" s="83" t="s">
        <v>174</v>
      </c>
      <c r="AZ144" s="83" t="s">
        <v>2302</v>
      </c>
      <c r="BA144" s="83" t="s">
        <v>2303</v>
      </c>
      <c r="BB144" s="83" t="s">
        <v>2304</v>
      </c>
      <c r="BC144" s="54" t="s">
        <v>34</v>
      </c>
      <c r="BD144" s="70" t="str">
        <f t="shared" si="1"/>
        <v>Nazca</v>
      </c>
      <c r="BE144" s="67" t="s">
        <v>140</v>
      </c>
      <c r="BF144" s="67" t="s">
        <v>144</v>
      </c>
      <c r="BG144" s="67" t="s">
        <v>142</v>
      </c>
      <c r="BH144" s="67"/>
      <c r="BI144" s="67"/>
      <c r="BJ144" s="67"/>
      <c r="BK144" s="67"/>
      <c r="BL144" s="67" t="s">
        <v>147</v>
      </c>
      <c r="BM144" s="67" t="s">
        <v>146</v>
      </c>
      <c r="BN144" s="100">
        <v>79.0</v>
      </c>
      <c r="BO144" s="102" t="s">
        <v>2305</v>
      </c>
      <c r="BP144" s="67" t="s">
        <v>141</v>
      </c>
      <c r="BQ144" s="79" t="s">
        <v>141</v>
      </c>
      <c r="BR144" s="67" t="s">
        <v>149</v>
      </c>
      <c r="BS144" s="102" t="s">
        <v>149</v>
      </c>
      <c r="BT144" s="106">
        <v>46216.0</v>
      </c>
      <c r="BU144" s="107">
        <v>4.0</v>
      </c>
      <c r="BV144" s="108">
        <f t="shared" si="2"/>
        <v>46214</v>
      </c>
      <c r="BW144" s="108">
        <f t="shared" si="8"/>
        <v>46216</v>
      </c>
      <c r="BX144" s="102" t="str">
        <f t="shared" si="4"/>
        <v>14</v>
      </c>
      <c r="BY144" s="107">
        <f t="shared" si="5"/>
        <v>5</v>
      </c>
      <c r="BZ144" s="107">
        <f t="array" ref="BZ144">IF($A144&lt;&gt;"",INDEX(LISTA!$M$2:$N$27,MATCH($BC144,LISTA!$N$2:$N$27,0),1),"")</f>
        <v>13</v>
      </c>
      <c r="CA144" s="67">
        <f t="shared" si="6"/>
        <v>7</v>
      </c>
      <c r="CB144" s="114">
        <f t="shared" si="7"/>
        <v>7</v>
      </c>
      <c r="CC144" s="160">
        <v>5.8099428E7</v>
      </c>
    </row>
    <row r="145" ht="15.0" hidden="1" customHeight="1" outlineLevel="1">
      <c r="A145" s="59">
        <v>46211.68530118055</v>
      </c>
      <c r="B145" s="115" t="s">
        <v>105</v>
      </c>
      <c r="C145" s="54" t="s">
        <v>100</v>
      </c>
      <c r="D145" s="56" t="s">
        <v>101</v>
      </c>
      <c r="E145" s="69">
        <v>46217.458333333336</v>
      </c>
      <c r="F145" s="73" t="s">
        <v>2306</v>
      </c>
      <c r="G145" s="60" t="s">
        <v>2307</v>
      </c>
      <c r="H145" s="60" t="s">
        <v>2308</v>
      </c>
      <c r="I145" s="67" t="s">
        <v>367</v>
      </c>
      <c r="J145" s="79" t="s">
        <v>2309</v>
      </c>
      <c r="K145" s="67" t="s">
        <v>109</v>
      </c>
      <c r="L145" s="79" t="s">
        <v>2310</v>
      </c>
      <c r="M145" s="83" t="s">
        <v>2311</v>
      </c>
      <c r="N145" s="78">
        <v>37811.0</v>
      </c>
      <c r="O145" s="80" t="s">
        <v>25</v>
      </c>
      <c r="P145" s="156" t="s">
        <v>2312</v>
      </c>
      <c r="Q145" s="54"/>
      <c r="R145" s="84"/>
      <c r="S145" s="84" t="s">
        <v>2313</v>
      </c>
      <c r="T145" s="54"/>
      <c r="U145" s="86"/>
      <c r="V145" s="54"/>
      <c r="W145" s="86"/>
      <c r="X145" s="54"/>
      <c r="Y145" s="78"/>
      <c r="Z145" s="54"/>
      <c r="AA145" s="70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54" t="s">
        <v>2314</v>
      </c>
      <c r="AR145" s="83" t="s">
        <v>2315</v>
      </c>
      <c r="AS145" s="83" t="s">
        <v>2316</v>
      </c>
      <c r="AT145" s="93" t="s">
        <v>2309</v>
      </c>
      <c r="AU145" s="93" t="s">
        <v>2309</v>
      </c>
      <c r="AV145" s="93" t="s">
        <v>2309</v>
      </c>
      <c r="AW145" s="83" t="s">
        <v>2317</v>
      </c>
      <c r="AX145" s="83">
        <v>2.0</v>
      </c>
      <c r="AY145" s="83" t="s">
        <v>1767</v>
      </c>
      <c r="AZ145" s="83" t="s">
        <v>2318</v>
      </c>
      <c r="BA145" s="83" t="s">
        <v>2319</v>
      </c>
      <c r="BB145" s="83" t="s">
        <v>2320</v>
      </c>
      <c r="BC145" s="54" t="s">
        <v>25</v>
      </c>
      <c r="BD145" s="54" t="str">
        <f t="shared" si="1"/>
        <v>Cotabambas</v>
      </c>
      <c r="BE145" s="67" t="s">
        <v>140</v>
      </c>
      <c r="BF145" s="67" t="s">
        <v>144</v>
      </c>
      <c r="BG145" s="67" t="s">
        <v>142</v>
      </c>
      <c r="BH145" s="67"/>
      <c r="BI145" s="67"/>
      <c r="BJ145" s="67"/>
      <c r="BK145" s="67"/>
      <c r="BL145" s="67" t="s">
        <v>283</v>
      </c>
      <c r="BM145" s="67" t="s">
        <v>146</v>
      </c>
      <c r="BN145" s="100">
        <v>94.0</v>
      </c>
      <c r="BO145" s="102" t="s">
        <v>148</v>
      </c>
      <c r="BP145" s="67" t="s">
        <v>141</v>
      </c>
      <c r="BQ145" s="79" t="s">
        <v>144</v>
      </c>
      <c r="BR145" s="67" t="s">
        <v>149</v>
      </c>
      <c r="BS145" s="102">
        <v>1.0</v>
      </c>
      <c r="BT145" s="106">
        <v>46217.0</v>
      </c>
      <c r="BU145" s="107">
        <v>1.0</v>
      </c>
      <c r="BV145" s="108">
        <f t="shared" si="2"/>
        <v>46211</v>
      </c>
      <c r="BW145" s="108">
        <f t="shared" si="8"/>
        <v>46217</v>
      </c>
      <c r="BX145" s="102" t="str">
        <f t="shared" si="4"/>
        <v>11</v>
      </c>
      <c r="BY145" s="107">
        <f t="shared" si="5"/>
        <v>5</v>
      </c>
      <c r="BZ145" s="107">
        <f t="array" ref="BZ145">IF($A145&lt;&gt;"",INDEX(LISTA!$M$2:$N$27,MATCH($BC145,LISTA!$N$2:$N$27,0),1),"")</f>
        <v>6</v>
      </c>
      <c r="CA145" s="67">
        <f t="shared" si="6"/>
        <v>7</v>
      </c>
      <c r="CB145" s="114">
        <f t="shared" si="7"/>
        <v>7</v>
      </c>
      <c r="CC145" s="160">
        <v>5.8086212E7</v>
      </c>
    </row>
    <row r="146" ht="15.0" hidden="1" customHeight="1" outlineLevel="1">
      <c r="A146" s="59">
        <v>46216.59952040509</v>
      </c>
      <c r="B146" s="115" t="s">
        <v>105</v>
      </c>
      <c r="C146" s="54" t="s">
        <v>100</v>
      </c>
      <c r="D146" s="56" t="s">
        <v>319</v>
      </c>
      <c r="E146" s="69">
        <v>46217.375</v>
      </c>
      <c r="F146" s="73"/>
      <c r="G146" s="60" t="s">
        <v>2321</v>
      </c>
      <c r="H146" s="60" t="s">
        <v>2322</v>
      </c>
      <c r="I146" s="67" t="s">
        <v>360</v>
      </c>
      <c r="J146" s="79" t="s">
        <v>2323</v>
      </c>
      <c r="K146" s="67" t="s">
        <v>109</v>
      </c>
      <c r="L146" s="79" t="s">
        <v>2324</v>
      </c>
      <c r="M146" s="83" t="s">
        <v>2325</v>
      </c>
      <c r="N146" s="78">
        <v>27193.0</v>
      </c>
      <c r="O146" s="80" t="s">
        <v>48</v>
      </c>
      <c r="P146" s="70">
        <v>211101.0</v>
      </c>
      <c r="Q146" s="54"/>
      <c r="R146" s="84"/>
      <c r="S146" s="84"/>
      <c r="T146" s="54" t="s">
        <v>122</v>
      </c>
      <c r="U146" s="86"/>
      <c r="V146" s="54"/>
      <c r="W146" s="86"/>
      <c r="X146" s="54"/>
      <c r="Y146" s="78"/>
      <c r="Z146" s="54"/>
      <c r="AA146" s="70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54" t="s">
        <v>2326</v>
      </c>
      <c r="AR146" s="83" t="s">
        <v>957</v>
      </c>
      <c r="AS146" s="83" t="s">
        <v>2327</v>
      </c>
      <c r="AT146" s="93" t="s">
        <v>2328</v>
      </c>
      <c r="AU146" s="93" t="s">
        <v>2329</v>
      </c>
      <c r="AV146" s="93" t="s">
        <v>2328</v>
      </c>
      <c r="AW146" s="83" t="s">
        <v>2330</v>
      </c>
      <c r="AX146" s="83">
        <v>1.0</v>
      </c>
      <c r="AY146" s="83" t="s">
        <v>822</v>
      </c>
      <c r="AZ146" s="83" t="s">
        <v>2331</v>
      </c>
      <c r="BA146" s="83" t="s">
        <v>2332</v>
      </c>
      <c r="BB146" s="83" t="s">
        <v>2333</v>
      </c>
      <c r="BC146" s="54" t="s">
        <v>27</v>
      </c>
      <c r="BD146" s="54" t="str">
        <f t="shared" si="1"/>
        <v>Arequipa</v>
      </c>
      <c r="BE146" s="67" t="s">
        <v>140</v>
      </c>
      <c r="BF146" s="67" t="s">
        <v>144</v>
      </c>
      <c r="BG146" s="67" t="s">
        <v>142</v>
      </c>
      <c r="BH146" s="67"/>
      <c r="BI146" s="67"/>
      <c r="BJ146" s="67"/>
      <c r="BK146" s="67"/>
      <c r="BL146" s="67" t="s">
        <v>283</v>
      </c>
      <c r="BM146" s="67" t="s">
        <v>146</v>
      </c>
      <c r="BN146" s="100">
        <v>94.0</v>
      </c>
      <c r="BO146" s="102" t="s">
        <v>148</v>
      </c>
      <c r="BP146" s="67" t="s">
        <v>141</v>
      </c>
      <c r="BQ146" s="79" t="s">
        <v>144</v>
      </c>
      <c r="BR146" s="67" t="s">
        <v>149</v>
      </c>
      <c r="BS146" s="102" t="s">
        <v>149</v>
      </c>
      <c r="BT146" s="106">
        <v>46217.0</v>
      </c>
      <c r="BU146" s="107">
        <v>2.0</v>
      </c>
      <c r="BV146" s="108">
        <f t="shared" si="2"/>
        <v>46216</v>
      </c>
      <c r="BW146" s="108">
        <f t="shared" si="8"/>
        <v>46217</v>
      </c>
      <c r="BX146" s="102" t="str">
        <f t="shared" si="4"/>
        <v>09</v>
      </c>
      <c r="BY146" s="107">
        <f t="shared" si="5"/>
        <v>5</v>
      </c>
      <c r="BZ146" s="107">
        <f t="array" ref="BZ146">IF($A146&lt;&gt;"",INDEX(LISTA!$M$2:$N$27,MATCH($BC146,LISTA!$N$2:$N$27,0),1),"")</f>
        <v>7</v>
      </c>
      <c r="CA146" s="67">
        <f t="shared" si="6"/>
        <v>7</v>
      </c>
      <c r="CB146" s="114">
        <f t="shared" si="7"/>
        <v>7</v>
      </c>
      <c r="CC146" s="67">
        <v>5.8109904E7</v>
      </c>
    </row>
    <row r="147" ht="15.0" hidden="1" customHeight="1" outlineLevel="1">
      <c r="A147" s="59">
        <v>46216.50953265047</v>
      </c>
      <c r="B147" s="115" t="s">
        <v>105</v>
      </c>
      <c r="C147" s="54" t="s">
        <v>100</v>
      </c>
      <c r="D147" s="56" t="s">
        <v>319</v>
      </c>
      <c r="E147" s="69">
        <v>46217.583333333336</v>
      </c>
      <c r="F147" s="73"/>
      <c r="G147" s="60" t="s">
        <v>2334</v>
      </c>
      <c r="H147" s="60" t="s">
        <v>2335</v>
      </c>
      <c r="I147" s="67" t="s">
        <v>360</v>
      </c>
      <c r="J147" s="79" t="s">
        <v>2336</v>
      </c>
      <c r="K147" s="67" t="s">
        <v>109</v>
      </c>
      <c r="L147" s="79" t="s">
        <v>2337</v>
      </c>
      <c r="M147" s="83" t="s">
        <v>2338</v>
      </c>
      <c r="N147" s="78">
        <v>32238.0</v>
      </c>
      <c r="O147" s="80" t="s">
        <v>36</v>
      </c>
      <c r="P147" s="70">
        <v>120201.0</v>
      </c>
      <c r="Q147" s="54"/>
      <c r="R147" s="84"/>
      <c r="S147" s="84"/>
      <c r="T147" s="54"/>
      <c r="U147" s="86"/>
      <c r="V147" s="54"/>
      <c r="W147" s="86"/>
      <c r="X147" s="54"/>
      <c r="Y147" s="78"/>
      <c r="Z147" s="54"/>
      <c r="AA147" s="70"/>
      <c r="AB147" s="83"/>
      <c r="AC147" s="83"/>
      <c r="AD147" s="83"/>
      <c r="AE147" s="83"/>
      <c r="AF147" s="83" t="s">
        <v>2339</v>
      </c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54" t="s">
        <v>127</v>
      </c>
      <c r="AR147" s="83" t="s">
        <v>2340</v>
      </c>
      <c r="AS147" s="83" t="s">
        <v>2341</v>
      </c>
      <c r="AT147" s="93" t="s">
        <v>2342</v>
      </c>
      <c r="AU147" s="93" t="s">
        <v>2343</v>
      </c>
      <c r="AV147" s="93" t="s">
        <v>2342</v>
      </c>
      <c r="AW147" s="83" t="s">
        <v>2344</v>
      </c>
      <c r="AX147" s="83">
        <v>2.0</v>
      </c>
      <c r="AY147" s="83">
        <v>222.0</v>
      </c>
      <c r="AZ147" s="83" t="s">
        <v>2345</v>
      </c>
      <c r="BA147" s="83" t="s">
        <v>2346</v>
      </c>
      <c r="BB147" s="83" t="s">
        <v>2347</v>
      </c>
      <c r="BC147" s="54" t="s">
        <v>41</v>
      </c>
      <c r="BD147" s="54" t="str">
        <f t="shared" si="1"/>
        <v>San Bartolo</v>
      </c>
      <c r="BE147" s="67" t="s">
        <v>140</v>
      </c>
      <c r="BF147" s="67" t="s">
        <v>144</v>
      </c>
      <c r="BG147" s="67" t="s">
        <v>142</v>
      </c>
      <c r="BH147" s="67"/>
      <c r="BI147" s="67"/>
      <c r="BJ147" s="67"/>
      <c r="BK147" s="67"/>
      <c r="BL147" s="67" t="s">
        <v>283</v>
      </c>
      <c r="BM147" s="67" t="s">
        <v>146</v>
      </c>
      <c r="BN147" s="100">
        <v>94.0</v>
      </c>
      <c r="BO147" s="102" t="s">
        <v>148</v>
      </c>
      <c r="BP147" s="67" t="s">
        <v>141</v>
      </c>
      <c r="BQ147" s="79" t="s">
        <v>144</v>
      </c>
      <c r="BR147" s="67" t="s">
        <v>149</v>
      </c>
      <c r="BS147" s="102" t="s">
        <v>149</v>
      </c>
      <c r="BT147" s="106">
        <v>46217.0</v>
      </c>
      <c r="BU147" s="107">
        <v>3.0</v>
      </c>
      <c r="BV147" s="108">
        <f t="shared" si="2"/>
        <v>46216</v>
      </c>
      <c r="BW147" s="108">
        <f t="shared" si="8"/>
        <v>46217</v>
      </c>
      <c r="BX147" s="102" t="str">
        <f t="shared" si="4"/>
        <v>14</v>
      </c>
      <c r="BY147" s="107">
        <f t="shared" si="5"/>
        <v>5</v>
      </c>
      <c r="BZ147" s="107">
        <f t="array" ref="BZ147">IF($A147&lt;&gt;"",INDEX(LISTA!$M$2:$N$27,MATCH($BC147,LISTA!$N$2:$N$27,0),1),"")</f>
        <v>1</v>
      </c>
      <c r="CA147" s="67">
        <f t="shared" si="6"/>
        <v>7</v>
      </c>
      <c r="CB147" s="114">
        <f t="shared" si="7"/>
        <v>7</v>
      </c>
      <c r="CC147" s="67">
        <v>5.8108374E7</v>
      </c>
    </row>
    <row r="148" ht="15.0" hidden="1" customHeight="1" outlineLevel="1">
      <c r="A148" s="59">
        <v>46216.45145037037</v>
      </c>
      <c r="B148" s="115" t="s">
        <v>105</v>
      </c>
      <c r="C148" s="54" t="s">
        <v>100</v>
      </c>
      <c r="D148" s="56" t="s">
        <v>346</v>
      </c>
      <c r="E148" s="69">
        <v>46217.375</v>
      </c>
      <c r="F148" s="73" t="s">
        <v>2348</v>
      </c>
      <c r="G148" s="60" t="s">
        <v>2349</v>
      </c>
      <c r="H148" s="60" t="s">
        <v>2350</v>
      </c>
      <c r="I148" s="67" t="s">
        <v>156</v>
      </c>
      <c r="J148" s="79" t="s">
        <v>2351</v>
      </c>
      <c r="K148" s="67" t="s">
        <v>109</v>
      </c>
      <c r="L148" s="79" t="s">
        <v>2352</v>
      </c>
      <c r="M148" s="83" t="s">
        <v>2353</v>
      </c>
      <c r="N148" s="78">
        <v>32836.0</v>
      </c>
      <c r="O148" s="80" t="s">
        <v>40</v>
      </c>
      <c r="P148" s="70">
        <v>130102.0</v>
      </c>
      <c r="Q148" s="54"/>
      <c r="R148" s="84"/>
      <c r="S148" s="84"/>
      <c r="T148" s="54"/>
      <c r="U148" s="86"/>
      <c r="V148" s="54"/>
      <c r="W148" s="86"/>
      <c r="X148" s="54"/>
      <c r="Y148" s="78"/>
      <c r="Z148" s="54"/>
      <c r="AA148" s="70"/>
      <c r="AB148" s="83"/>
      <c r="AC148" s="83"/>
      <c r="AD148" s="83"/>
      <c r="AE148" s="83"/>
      <c r="AF148" s="83" t="s">
        <v>2354</v>
      </c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54" t="s">
        <v>1627</v>
      </c>
      <c r="AR148" s="83" t="s">
        <v>2355</v>
      </c>
      <c r="AS148" s="83" t="s">
        <v>2356</v>
      </c>
      <c r="AT148" s="93" t="s">
        <v>2351</v>
      </c>
      <c r="AU148" s="93" t="s">
        <v>2351</v>
      </c>
      <c r="AV148" s="93" t="s">
        <v>2351</v>
      </c>
      <c r="AW148" s="83" t="s">
        <v>2357</v>
      </c>
      <c r="AX148" s="83">
        <v>2.0</v>
      </c>
      <c r="AY148" s="83" t="s">
        <v>2150</v>
      </c>
      <c r="AZ148" s="83" t="s">
        <v>2358</v>
      </c>
      <c r="BA148" s="83" t="s">
        <v>2359</v>
      </c>
      <c r="BB148" s="83" t="s">
        <v>2360</v>
      </c>
      <c r="BC148" s="54" t="s">
        <v>41</v>
      </c>
      <c r="BD148" s="54" t="str">
        <f t="shared" si="1"/>
        <v>San Luis</v>
      </c>
      <c r="BE148" s="67" t="s">
        <v>140</v>
      </c>
      <c r="BF148" s="67" t="s">
        <v>141</v>
      </c>
      <c r="BG148" s="67" t="s">
        <v>142</v>
      </c>
      <c r="BH148" s="67"/>
      <c r="BI148" s="67"/>
      <c r="BJ148" s="67"/>
      <c r="BK148" s="67"/>
      <c r="BL148" s="67" t="s">
        <v>147</v>
      </c>
      <c r="BM148" s="67" t="s">
        <v>146</v>
      </c>
      <c r="BN148" s="100">
        <v>89.0</v>
      </c>
      <c r="BO148" s="102" t="s">
        <v>148</v>
      </c>
      <c r="BP148" s="67" t="s">
        <v>141</v>
      </c>
      <c r="BQ148" s="79" t="s">
        <v>141</v>
      </c>
      <c r="BR148" s="67" t="s">
        <v>149</v>
      </c>
      <c r="BS148" s="102">
        <v>1.0</v>
      </c>
      <c r="BT148" s="106">
        <v>46217.0</v>
      </c>
      <c r="BU148" s="107">
        <v>4.0</v>
      </c>
      <c r="BV148" s="108">
        <f t="shared" si="2"/>
        <v>46216</v>
      </c>
      <c r="BW148" s="108">
        <f t="shared" si="8"/>
        <v>46217</v>
      </c>
      <c r="BX148" s="102" t="str">
        <f t="shared" si="4"/>
        <v>09</v>
      </c>
      <c r="BY148" s="107">
        <f t="shared" si="5"/>
        <v>5</v>
      </c>
      <c r="BZ148" s="107">
        <f t="array" ref="BZ148">IF($A148&lt;&gt;"",INDEX(LISTA!$M$2:$N$27,MATCH($BC148,LISTA!$N$2:$N$27,0),1),"")</f>
        <v>1</v>
      </c>
      <c r="CA148" s="67">
        <f t="shared" si="6"/>
        <v>7</v>
      </c>
      <c r="CB148" s="114">
        <f t="shared" si="7"/>
        <v>7</v>
      </c>
      <c r="CC148" s="67">
        <v>5.7404024E7</v>
      </c>
    </row>
    <row r="149" ht="15.0" hidden="1" customHeight="1" outlineLevel="1">
      <c r="A149" s="59">
        <v>46216.59309546296</v>
      </c>
      <c r="B149" s="115" t="s">
        <v>105</v>
      </c>
      <c r="C149" s="54" t="s">
        <v>100</v>
      </c>
      <c r="D149" s="56" t="s">
        <v>101</v>
      </c>
      <c r="E149" s="69">
        <v>46217.583333333336</v>
      </c>
      <c r="F149" s="73"/>
      <c r="G149" s="60" t="s">
        <v>2361</v>
      </c>
      <c r="H149" s="60" t="s">
        <v>2362</v>
      </c>
      <c r="I149" s="67" t="s">
        <v>372</v>
      </c>
      <c r="J149" s="79" t="s">
        <v>2363</v>
      </c>
      <c r="K149" s="67" t="s">
        <v>109</v>
      </c>
      <c r="L149" s="79" t="s">
        <v>2364</v>
      </c>
      <c r="M149" s="83" t="s">
        <v>2365</v>
      </c>
      <c r="N149" s="78">
        <v>24460.0</v>
      </c>
      <c r="O149" s="80" t="s">
        <v>37</v>
      </c>
      <c r="P149" s="70">
        <v>140304.0</v>
      </c>
      <c r="Q149" s="54"/>
      <c r="R149" s="84"/>
      <c r="S149" s="84"/>
      <c r="T149" s="54"/>
      <c r="U149" s="86"/>
      <c r="V149" s="54"/>
      <c r="W149" s="86"/>
      <c r="X149" s="54"/>
      <c r="Y149" s="78"/>
      <c r="Z149" s="54"/>
      <c r="AA149" s="70"/>
      <c r="AB149" s="83"/>
      <c r="AC149" s="83"/>
      <c r="AD149" s="83"/>
      <c r="AE149" s="83"/>
      <c r="AF149" s="83" t="s">
        <v>2354</v>
      </c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54" t="s">
        <v>1254</v>
      </c>
      <c r="AR149" s="83" t="s">
        <v>2366</v>
      </c>
      <c r="AS149" s="83" t="s">
        <v>2367</v>
      </c>
      <c r="AT149" s="93" t="s">
        <v>2363</v>
      </c>
      <c r="AU149" s="93" t="s">
        <v>2363</v>
      </c>
      <c r="AV149" s="93" t="s">
        <v>2363</v>
      </c>
      <c r="AW149" s="83" t="s">
        <v>2368</v>
      </c>
      <c r="AX149" s="83">
        <v>4.0</v>
      </c>
      <c r="AY149" s="83" t="s">
        <v>2369</v>
      </c>
      <c r="AZ149" s="83" t="s">
        <v>2370</v>
      </c>
      <c r="BA149" s="83" t="s">
        <v>2371</v>
      </c>
      <c r="BB149" s="83" t="s">
        <v>2372</v>
      </c>
      <c r="BC149" s="54" t="s">
        <v>41</v>
      </c>
      <c r="BD149" s="54" t="str">
        <f t="shared" si="1"/>
        <v>San Luis</v>
      </c>
      <c r="BE149" s="67" t="s">
        <v>140</v>
      </c>
      <c r="BF149" s="67" t="s">
        <v>144</v>
      </c>
      <c r="BG149" s="67" t="s">
        <v>142</v>
      </c>
      <c r="BH149" s="67"/>
      <c r="BI149" s="67"/>
      <c r="BJ149" s="67"/>
      <c r="BK149" s="67"/>
      <c r="BL149" s="67" t="s">
        <v>147</v>
      </c>
      <c r="BM149" s="67" t="s">
        <v>247</v>
      </c>
      <c r="BN149" s="100">
        <v>89.0</v>
      </c>
      <c r="BO149" s="102" t="s">
        <v>148</v>
      </c>
      <c r="BP149" s="67" t="s">
        <v>141</v>
      </c>
      <c r="BQ149" s="79" t="s">
        <v>141</v>
      </c>
      <c r="BR149" s="67" t="s">
        <v>149</v>
      </c>
      <c r="BS149" s="102">
        <v>1.0</v>
      </c>
      <c r="BT149" s="106">
        <v>46217.0</v>
      </c>
      <c r="BU149" s="107">
        <v>5.0</v>
      </c>
      <c r="BV149" s="108">
        <f t="shared" si="2"/>
        <v>46216</v>
      </c>
      <c r="BW149" s="108">
        <f t="shared" si="8"/>
        <v>46217</v>
      </c>
      <c r="BX149" s="102" t="str">
        <f t="shared" si="4"/>
        <v>14</v>
      </c>
      <c r="BY149" s="107">
        <f t="shared" si="5"/>
        <v>5</v>
      </c>
      <c r="BZ149" s="107">
        <f t="array" ref="BZ149">IF($A149&lt;&gt;"",INDEX(LISTA!$M$2:$N$27,MATCH($BC149,LISTA!$N$2:$N$27,0),1),"")</f>
        <v>1</v>
      </c>
      <c r="CA149" s="67">
        <f t="shared" si="6"/>
        <v>7</v>
      </c>
      <c r="CB149" s="114">
        <f t="shared" si="7"/>
        <v>7</v>
      </c>
      <c r="CC149" s="67">
        <v>5.8108502E7</v>
      </c>
    </row>
    <row r="150" ht="15.0" hidden="1" customHeight="1" outlineLevel="1">
      <c r="A150" s="59">
        <v>46212.38369996528</v>
      </c>
      <c r="B150" s="115" t="s">
        <v>105</v>
      </c>
      <c r="C150" s="54" t="s">
        <v>100</v>
      </c>
      <c r="D150" s="56" t="s">
        <v>101</v>
      </c>
      <c r="E150" s="69">
        <v>46217.666666666664</v>
      </c>
      <c r="F150" s="73"/>
      <c r="G150" s="60" t="s">
        <v>2373</v>
      </c>
      <c r="H150" s="60" t="s">
        <v>2374</v>
      </c>
      <c r="I150" s="67" t="s">
        <v>363</v>
      </c>
      <c r="J150" s="79" t="s">
        <v>2375</v>
      </c>
      <c r="K150" s="67" t="s">
        <v>109</v>
      </c>
      <c r="L150" s="79" t="s">
        <v>2376</v>
      </c>
      <c r="M150" s="83" t="s">
        <v>2377</v>
      </c>
      <c r="N150" s="78">
        <v>32582.0</v>
      </c>
      <c r="O150" s="80" t="s">
        <v>33</v>
      </c>
      <c r="P150" s="156" t="s">
        <v>1587</v>
      </c>
      <c r="Q150" s="54"/>
      <c r="R150" s="84"/>
      <c r="S150" s="84"/>
      <c r="T150" s="54"/>
      <c r="U150" s="86"/>
      <c r="V150" s="54"/>
      <c r="W150" s="86"/>
      <c r="X150" s="54"/>
      <c r="Y150" s="78"/>
      <c r="Z150" s="54"/>
      <c r="AA150" s="70"/>
      <c r="AB150" s="83"/>
      <c r="AC150" s="83"/>
      <c r="AD150" s="83"/>
      <c r="AE150" s="83"/>
      <c r="AF150" s="83" t="s">
        <v>2378</v>
      </c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54" t="s">
        <v>2379</v>
      </c>
      <c r="AR150" s="83" t="s">
        <v>2380</v>
      </c>
      <c r="AS150" s="83" t="s">
        <v>2381</v>
      </c>
      <c r="AT150" s="93" t="s">
        <v>2375</v>
      </c>
      <c r="AU150" s="93" t="s">
        <v>2375</v>
      </c>
      <c r="AV150" s="93" t="s">
        <v>2375</v>
      </c>
      <c r="AW150" s="83" t="s">
        <v>2382</v>
      </c>
      <c r="AX150" s="83">
        <v>3.0</v>
      </c>
      <c r="AY150" s="83">
        <v>1.0</v>
      </c>
      <c r="AZ150" s="83" t="s">
        <v>2383</v>
      </c>
      <c r="BA150" s="83" t="s">
        <v>2384</v>
      </c>
      <c r="BB150" s="83" t="s">
        <v>2385</v>
      </c>
      <c r="BC150" s="54" t="s">
        <v>41</v>
      </c>
      <c r="BD150" s="54" t="str">
        <f t="shared" si="1"/>
        <v>Chaclacayo</v>
      </c>
      <c r="BE150" s="67" t="s">
        <v>140</v>
      </c>
      <c r="BF150" s="67" t="s">
        <v>144</v>
      </c>
      <c r="BG150" s="67" t="s">
        <v>142</v>
      </c>
      <c r="BH150" s="67"/>
      <c r="BI150" s="67"/>
      <c r="BJ150" s="67"/>
      <c r="BK150" s="67"/>
      <c r="BL150" s="67" t="s">
        <v>147</v>
      </c>
      <c r="BM150" s="67" t="s">
        <v>247</v>
      </c>
      <c r="BN150" s="100">
        <v>89.0</v>
      </c>
      <c r="BO150" s="102" t="s">
        <v>148</v>
      </c>
      <c r="BP150" s="67" t="s">
        <v>141</v>
      </c>
      <c r="BQ150" s="79" t="s">
        <v>141</v>
      </c>
      <c r="BR150" s="67" t="s">
        <v>149</v>
      </c>
      <c r="BS150" s="102" t="s">
        <v>149</v>
      </c>
      <c r="BT150" s="106">
        <v>46217.0</v>
      </c>
      <c r="BU150" s="107">
        <v>6.0</v>
      </c>
      <c r="BV150" s="108">
        <f t="shared" si="2"/>
        <v>46212</v>
      </c>
      <c r="BW150" s="108">
        <f t="shared" si="8"/>
        <v>46217</v>
      </c>
      <c r="BX150" s="102" t="str">
        <f t="shared" si="4"/>
        <v>16</v>
      </c>
      <c r="BY150" s="107">
        <f t="shared" si="5"/>
        <v>5</v>
      </c>
      <c r="BZ150" s="107">
        <f t="array" ref="BZ150">IF($A150&lt;&gt;"",INDEX(LISTA!$M$2:$N$27,MATCH($BC150,LISTA!$N$2:$N$27,0),1),"")</f>
        <v>1</v>
      </c>
      <c r="CA150" s="67">
        <f t="shared" si="6"/>
        <v>7</v>
      </c>
      <c r="CB150" s="114">
        <f t="shared" si="7"/>
        <v>7</v>
      </c>
      <c r="CC150" s="67">
        <v>5.8111743E7</v>
      </c>
    </row>
    <row r="151" ht="15.0" hidden="1" customHeight="1" outlineLevel="1">
      <c r="A151" s="59">
        <v>46211.43482724537</v>
      </c>
      <c r="B151" s="115" t="s">
        <v>105</v>
      </c>
      <c r="C151" s="54" t="s">
        <v>100</v>
      </c>
      <c r="D151" s="56" t="s">
        <v>101</v>
      </c>
      <c r="E151" s="69">
        <v>46215.666666666664</v>
      </c>
      <c r="F151" s="73" t="s">
        <v>2386</v>
      </c>
      <c r="G151" s="60" t="s">
        <v>2387</v>
      </c>
      <c r="H151" s="60" t="s">
        <v>2388</v>
      </c>
      <c r="I151" s="67" t="s">
        <v>363</v>
      </c>
      <c r="J151" s="79" t="s">
        <v>2389</v>
      </c>
      <c r="K151" s="67" t="s">
        <v>1117</v>
      </c>
      <c r="L151" s="79" t="s">
        <v>2390</v>
      </c>
      <c r="M151" s="83" t="s">
        <v>2391</v>
      </c>
      <c r="N151" s="78">
        <v>33960.0</v>
      </c>
      <c r="O151" s="80" t="s">
        <v>1120</v>
      </c>
      <c r="P151" s="156" t="s">
        <v>2392</v>
      </c>
      <c r="Q151" s="54"/>
      <c r="R151" s="84"/>
      <c r="S151" s="84"/>
      <c r="T151" s="54" t="s">
        <v>122</v>
      </c>
      <c r="U151" s="86"/>
      <c r="V151" s="54"/>
      <c r="W151" s="86"/>
      <c r="X151" s="54"/>
      <c r="Y151" s="78"/>
      <c r="Z151" s="54"/>
      <c r="AA151" s="70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54" t="s">
        <v>2393</v>
      </c>
      <c r="AR151" s="83" t="s">
        <v>2394</v>
      </c>
      <c r="AS151" s="83" t="s">
        <v>2395</v>
      </c>
      <c r="AT151" s="93" t="s">
        <v>2389</v>
      </c>
      <c r="AU151" s="93" t="s">
        <v>2389</v>
      </c>
      <c r="AV151" s="93" t="s">
        <v>2389</v>
      </c>
      <c r="AW151" s="83" t="s">
        <v>2396</v>
      </c>
      <c r="AX151" s="83">
        <v>1.0</v>
      </c>
      <c r="AY151" s="83">
        <v>1.0</v>
      </c>
      <c r="AZ151" s="83" t="s">
        <v>2397</v>
      </c>
      <c r="BA151" s="83" t="s">
        <v>2398</v>
      </c>
      <c r="BB151" s="83" t="s">
        <v>2399</v>
      </c>
      <c r="BC151" s="54" t="s">
        <v>27</v>
      </c>
      <c r="BD151" s="54" t="str">
        <f t="shared" si="1"/>
        <v>Arequipa</v>
      </c>
      <c r="BE151" s="67" t="s">
        <v>143</v>
      </c>
      <c r="BF151" s="67" t="s">
        <v>141</v>
      </c>
      <c r="BG151" s="67" t="s">
        <v>142</v>
      </c>
      <c r="BH151" s="67"/>
      <c r="BI151" s="67"/>
      <c r="BJ151" s="67"/>
      <c r="BK151" s="67"/>
      <c r="BL151" s="67" t="s">
        <v>147</v>
      </c>
      <c r="BM151" s="67" t="s">
        <v>1897</v>
      </c>
      <c r="BN151" s="100">
        <v>44.0</v>
      </c>
      <c r="BO151" s="102" t="s">
        <v>1647</v>
      </c>
      <c r="BP151" s="67" t="s">
        <v>141</v>
      </c>
      <c r="BQ151" s="79" t="s">
        <v>141</v>
      </c>
      <c r="BR151" s="67" t="s">
        <v>149</v>
      </c>
      <c r="BS151" s="102" t="s">
        <v>149</v>
      </c>
      <c r="BT151" s="106">
        <v>46217.0</v>
      </c>
      <c r="BU151" s="107">
        <v>7.0</v>
      </c>
      <c r="BV151" s="108">
        <f t="shared" si="2"/>
        <v>46211</v>
      </c>
      <c r="BW151" s="108">
        <f t="shared" si="8"/>
        <v>46215</v>
      </c>
      <c r="BX151" s="102" t="str">
        <f t="shared" si="4"/>
        <v>16</v>
      </c>
      <c r="BY151" s="107">
        <f t="shared" si="5"/>
        <v>5</v>
      </c>
      <c r="BZ151" s="107">
        <f t="array" ref="BZ151">IF($A151&lt;&gt;"",INDEX(LISTA!$M$2:$N$27,MATCH($BC151,LISTA!$N$2:$N$27,0),1),"")</f>
        <v>7</v>
      </c>
      <c r="CA151" s="67">
        <f t="shared" si="6"/>
        <v>7</v>
      </c>
      <c r="CB151" s="114">
        <f t="shared" si="7"/>
        <v>7</v>
      </c>
      <c r="CC151" s="67">
        <v>5.8082211E7</v>
      </c>
    </row>
    <row r="152" ht="15.0" hidden="1" customHeight="1" outlineLevel="1">
      <c r="A152" s="59">
        <v>46214.6464162037</v>
      </c>
      <c r="B152" s="115" t="s">
        <v>105</v>
      </c>
      <c r="C152" s="54" t="s">
        <v>100</v>
      </c>
      <c r="D152" s="56" t="s">
        <v>101</v>
      </c>
      <c r="E152" s="69">
        <v>46218.375</v>
      </c>
      <c r="F152" s="73"/>
      <c r="G152" s="60" t="s">
        <v>2400</v>
      </c>
      <c r="H152" s="60" t="s">
        <v>2401</v>
      </c>
      <c r="I152" s="67" t="s">
        <v>367</v>
      </c>
      <c r="J152" s="79" t="s">
        <v>2402</v>
      </c>
      <c r="K152" s="67" t="s">
        <v>109</v>
      </c>
      <c r="L152" s="79" t="s">
        <v>2403</v>
      </c>
      <c r="M152" s="83" t="s">
        <v>2404</v>
      </c>
      <c r="N152" s="78">
        <v>31279.0</v>
      </c>
      <c r="O152" s="80" t="s">
        <v>24</v>
      </c>
      <c r="P152" s="156" t="s">
        <v>2405</v>
      </c>
      <c r="Q152" s="54"/>
      <c r="R152" s="84" t="s">
        <v>450</v>
      </c>
      <c r="S152" s="84"/>
      <c r="T152" s="54"/>
      <c r="U152" s="86"/>
      <c r="V152" s="54"/>
      <c r="W152" s="86"/>
      <c r="X152" s="54"/>
      <c r="Y152" s="78"/>
      <c r="Z152" s="54"/>
      <c r="AA152" s="70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54" t="s">
        <v>2406</v>
      </c>
      <c r="AR152" s="83" t="s">
        <v>2407</v>
      </c>
      <c r="AS152" s="83" t="s">
        <v>2408</v>
      </c>
      <c r="AT152" s="93" t="s">
        <v>2402</v>
      </c>
      <c r="AU152" s="93" t="s">
        <v>2402</v>
      </c>
      <c r="AV152" s="93" t="s">
        <v>2402</v>
      </c>
      <c r="AW152" s="83" t="s">
        <v>2409</v>
      </c>
      <c r="AX152" s="83">
        <v>1.0</v>
      </c>
      <c r="AY152" s="83" t="s">
        <v>1767</v>
      </c>
      <c r="AZ152" s="83" t="s">
        <v>2410</v>
      </c>
      <c r="BA152" s="83" t="s">
        <v>2411</v>
      </c>
      <c r="BB152" s="83" t="s">
        <v>2412</v>
      </c>
      <c r="BC152" s="54" t="s">
        <v>24</v>
      </c>
      <c r="BD152" s="54" t="str">
        <f t="shared" si="1"/>
        <v>Huaraz</v>
      </c>
      <c r="BE152" s="67" t="s">
        <v>140</v>
      </c>
      <c r="BF152" s="67" t="s">
        <v>144</v>
      </c>
      <c r="BG152" s="67" t="s">
        <v>142</v>
      </c>
      <c r="BH152" s="67"/>
      <c r="BI152" s="67"/>
      <c r="BJ152" s="67"/>
      <c r="BK152" s="67"/>
      <c r="BL152" s="67" t="s">
        <v>147</v>
      </c>
      <c r="BM152" s="67" t="s">
        <v>247</v>
      </c>
      <c r="BN152" s="100">
        <v>89.0</v>
      </c>
      <c r="BO152" s="102" t="s">
        <v>148</v>
      </c>
      <c r="BP152" s="67" t="s">
        <v>141</v>
      </c>
      <c r="BQ152" s="79" t="s">
        <v>141</v>
      </c>
      <c r="BR152" s="67" t="s">
        <v>149</v>
      </c>
      <c r="BS152" s="102">
        <v>1.0</v>
      </c>
      <c r="BT152" s="106">
        <v>46218.0</v>
      </c>
      <c r="BU152" s="107">
        <v>1.0</v>
      </c>
      <c r="BV152" s="108">
        <f t="shared" si="2"/>
        <v>46214</v>
      </c>
      <c r="BW152" s="108">
        <f t="shared" si="8"/>
        <v>46218</v>
      </c>
      <c r="BX152" s="102" t="str">
        <f t="shared" si="4"/>
        <v>09</v>
      </c>
      <c r="BY152" s="107">
        <f t="shared" si="5"/>
        <v>5</v>
      </c>
      <c r="BZ152" s="107">
        <f t="array" ref="BZ152">IF($A152&lt;&gt;"",INDEX(LISTA!$M$2:$N$27,MATCH($BC152,LISTA!$N$2:$N$27,0),1),"")</f>
        <v>5</v>
      </c>
      <c r="CA152" s="67">
        <f t="shared" si="6"/>
        <v>7</v>
      </c>
      <c r="CB152" s="114">
        <f t="shared" si="7"/>
        <v>7</v>
      </c>
      <c r="CC152" s="67">
        <v>5.8099955E7</v>
      </c>
    </row>
    <row r="153" ht="15.0" hidden="1" customHeight="1" outlineLevel="1">
      <c r="A153" s="59">
        <v>46217.497556689814</v>
      </c>
      <c r="B153" s="115" t="s">
        <v>105</v>
      </c>
      <c r="C153" s="54" t="s">
        <v>100</v>
      </c>
      <c r="D153" s="56" t="s">
        <v>319</v>
      </c>
      <c r="E153" s="69">
        <v>46218.375</v>
      </c>
      <c r="F153" s="73"/>
      <c r="G153" s="60" t="s">
        <v>2413</v>
      </c>
      <c r="H153" s="60" t="s">
        <v>2414</v>
      </c>
      <c r="I153" s="67" t="s">
        <v>360</v>
      </c>
      <c r="J153" s="79" t="s">
        <v>2415</v>
      </c>
      <c r="K153" s="67" t="s">
        <v>109</v>
      </c>
      <c r="L153" s="79" t="s">
        <v>2416</v>
      </c>
      <c r="M153" s="83" t="s">
        <v>2417</v>
      </c>
      <c r="N153" s="78">
        <v>29952.0</v>
      </c>
      <c r="O153" s="80" t="s">
        <v>34</v>
      </c>
      <c r="P153" s="70">
        <v>110100.0</v>
      </c>
      <c r="Q153" s="54"/>
      <c r="R153" s="84"/>
      <c r="S153" s="84"/>
      <c r="T153" s="54"/>
      <c r="U153" s="86"/>
      <c r="V153" s="54"/>
      <c r="W153" s="86"/>
      <c r="X153" s="54"/>
      <c r="Y153" s="78"/>
      <c r="Z153" s="54"/>
      <c r="AA153" s="70"/>
      <c r="AB153" s="83"/>
      <c r="AC153" s="83"/>
      <c r="AD153" s="83"/>
      <c r="AE153" s="83"/>
      <c r="AF153" s="83" t="s">
        <v>2418</v>
      </c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54" t="s">
        <v>2419</v>
      </c>
      <c r="AR153" s="83" t="s">
        <v>2420</v>
      </c>
      <c r="AS153" s="83" t="s">
        <v>2421</v>
      </c>
      <c r="AT153" s="93" t="s">
        <v>2415</v>
      </c>
      <c r="AU153" s="93" t="s">
        <v>2415</v>
      </c>
      <c r="AV153" s="93" t="s">
        <v>2415</v>
      </c>
      <c r="AW153" s="83" t="s">
        <v>2422</v>
      </c>
      <c r="AX153" s="83">
        <v>1.0</v>
      </c>
      <c r="AY153" s="83" t="s">
        <v>842</v>
      </c>
      <c r="AZ153" s="83" t="s">
        <v>2423</v>
      </c>
      <c r="BA153" s="83" t="s">
        <v>2424</v>
      </c>
      <c r="BB153" s="83" t="s">
        <v>2425</v>
      </c>
      <c r="BC153" s="54" t="s">
        <v>41</v>
      </c>
      <c r="BD153" s="54" t="str">
        <f t="shared" si="1"/>
        <v>San Isidro</v>
      </c>
      <c r="BE153" s="67" t="s">
        <v>140</v>
      </c>
      <c r="BF153" s="67" t="s">
        <v>141</v>
      </c>
      <c r="BG153" s="67" t="s">
        <v>142</v>
      </c>
      <c r="BH153" s="67"/>
      <c r="BI153" s="67"/>
      <c r="BJ153" s="67"/>
      <c r="BK153" s="67"/>
      <c r="BL153" s="67" t="s">
        <v>283</v>
      </c>
      <c r="BM153" s="67" t="s">
        <v>146</v>
      </c>
      <c r="BN153" s="100">
        <v>94.0</v>
      </c>
      <c r="BO153" s="102" t="s">
        <v>148</v>
      </c>
      <c r="BP153" s="67" t="s">
        <v>141</v>
      </c>
      <c r="BQ153" s="79" t="s">
        <v>144</v>
      </c>
      <c r="BR153" s="67" t="s">
        <v>149</v>
      </c>
      <c r="BS153" s="102" t="s">
        <v>149</v>
      </c>
      <c r="BT153" s="106">
        <v>46218.0</v>
      </c>
      <c r="BU153" s="107">
        <v>2.0</v>
      </c>
      <c r="BV153" s="108">
        <f t="shared" si="2"/>
        <v>46217</v>
      </c>
      <c r="BW153" s="108">
        <f t="shared" si="8"/>
        <v>46218</v>
      </c>
      <c r="BX153" s="102" t="str">
        <f t="shared" si="4"/>
        <v>09</v>
      </c>
      <c r="BY153" s="107">
        <f t="shared" si="5"/>
        <v>5</v>
      </c>
      <c r="BZ153" s="107">
        <f t="array" ref="BZ153">IF($A153&lt;&gt;"",INDEX(LISTA!$M$2:$N$27,MATCH($BC153,LISTA!$N$2:$N$27,0),1),"")</f>
        <v>1</v>
      </c>
      <c r="CA153" s="67">
        <f t="shared" si="6"/>
        <v>7</v>
      </c>
      <c r="CB153" s="114">
        <f t="shared" si="7"/>
        <v>7</v>
      </c>
      <c r="CC153" s="67">
        <v>5.8115769E7</v>
      </c>
    </row>
    <row r="154" ht="15.0" hidden="1" customHeight="1" outlineLevel="1">
      <c r="A154" s="59">
        <v>46205.51740350694</v>
      </c>
      <c r="B154" s="115" t="s">
        <v>105</v>
      </c>
      <c r="C154" s="54" t="s">
        <v>100</v>
      </c>
      <c r="D154" s="56" t="s">
        <v>101</v>
      </c>
      <c r="E154" s="69">
        <v>46218.666666666664</v>
      </c>
      <c r="F154" s="73"/>
      <c r="G154" s="60" t="s">
        <v>2426</v>
      </c>
      <c r="H154" s="60" t="s">
        <v>2427</v>
      </c>
      <c r="I154" s="67" t="s">
        <v>287</v>
      </c>
      <c r="J154" s="79" t="s">
        <v>2428</v>
      </c>
      <c r="K154" s="67" t="s">
        <v>109</v>
      </c>
      <c r="L154" s="79" t="s">
        <v>2429</v>
      </c>
      <c r="M154" s="83" t="s">
        <v>2430</v>
      </c>
      <c r="N154" s="78">
        <v>38732.0</v>
      </c>
      <c r="O154" s="80" t="s">
        <v>40</v>
      </c>
      <c r="P154" s="70">
        <v>140101.0</v>
      </c>
      <c r="Q154" s="54"/>
      <c r="R154" s="84"/>
      <c r="S154" s="84"/>
      <c r="T154" s="54"/>
      <c r="U154" s="86"/>
      <c r="V154" s="54"/>
      <c r="W154" s="86"/>
      <c r="X154" s="54"/>
      <c r="Y154" s="78"/>
      <c r="Z154" s="54"/>
      <c r="AA154" s="70"/>
      <c r="AB154" s="83"/>
      <c r="AC154" s="83"/>
      <c r="AD154" s="83" t="s">
        <v>805</v>
      </c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54" t="s">
        <v>2431</v>
      </c>
      <c r="AR154" s="83" t="s">
        <v>2432</v>
      </c>
      <c r="AS154" s="83" t="s">
        <v>2433</v>
      </c>
      <c r="AT154" s="93" t="s">
        <v>2428</v>
      </c>
      <c r="AU154" s="93" t="s">
        <v>2428</v>
      </c>
      <c r="AV154" s="93" t="s">
        <v>2428</v>
      </c>
      <c r="AW154" s="83" t="s">
        <v>2434</v>
      </c>
      <c r="AX154" s="83">
        <v>1.0</v>
      </c>
      <c r="AY154" s="83" t="s">
        <v>1813</v>
      </c>
      <c r="AZ154" s="83" t="s">
        <v>2435</v>
      </c>
      <c r="BA154" s="83" t="s">
        <v>2436</v>
      </c>
      <c r="BB154" s="83" t="s">
        <v>2437</v>
      </c>
      <c r="BC154" s="54" t="s">
        <v>40</v>
      </c>
      <c r="BD154" s="54" t="str">
        <f t="shared" si="1"/>
        <v>Chiclayo</v>
      </c>
      <c r="BE154" s="67" t="s">
        <v>140</v>
      </c>
      <c r="BF154" s="67" t="s">
        <v>144</v>
      </c>
      <c r="BG154" s="67" t="s">
        <v>142</v>
      </c>
      <c r="BH154" s="67"/>
      <c r="BI154" s="67"/>
      <c r="BJ154" s="67"/>
      <c r="BK154" s="67"/>
      <c r="BL154" s="67" t="s">
        <v>147</v>
      </c>
      <c r="BM154" s="67" t="s">
        <v>146</v>
      </c>
      <c r="BN154" s="100">
        <v>100.0</v>
      </c>
      <c r="BO154" s="102" t="s">
        <v>330</v>
      </c>
      <c r="BP154" s="67" t="s">
        <v>141</v>
      </c>
      <c r="BQ154" s="79" t="s">
        <v>141</v>
      </c>
      <c r="BR154" s="67" t="s">
        <v>149</v>
      </c>
      <c r="BS154" s="102">
        <v>1.0</v>
      </c>
      <c r="BT154" s="106">
        <v>46218.0</v>
      </c>
      <c r="BU154" s="107">
        <v>3.0</v>
      </c>
      <c r="BV154" s="108">
        <f t="shared" si="2"/>
        <v>46205</v>
      </c>
      <c r="BW154" s="108">
        <f t="shared" si="8"/>
        <v>46218</v>
      </c>
      <c r="BX154" s="102" t="str">
        <f t="shared" si="4"/>
        <v>16</v>
      </c>
      <c r="BY154" s="107">
        <f t="shared" si="5"/>
        <v>5</v>
      </c>
      <c r="BZ154" s="107">
        <f t="array" ref="BZ154">IF($A154&lt;&gt;"",INDEX(LISTA!$M$2:$N$27,MATCH($BC154,LISTA!$N$2:$N$27,0),1),"")</f>
        <v>16</v>
      </c>
      <c r="CA154" s="67">
        <f t="shared" si="6"/>
        <v>7</v>
      </c>
      <c r="CB154" s="114">
        <f t="shared" si="7"/>
        <v>7</v>
      </c>
      <c r="CC154" s="67">
        <v>5.8116514E7</v>
      </c>
    </row>
    <row r="155" ht="15.0" hidden="1" customHeight="1" outlineLevel="1">
      <c r="A155" s="59">
        <v>46214.66509008102</v>
      </c>
      <c r="B155" s="115" t="s">
        <v>105</v>
      </c>
      <c r="C155" s="54" t="s">
        <v>100</v>
      </c>
      <c r="D155" s="56" t="s">
        <v>319</v>
      </c>
      <c r="E155" s="69">
        <v>46219.458333333336</v>
      </c>
      <c r="F155" s="73" t="s">
        <v>2438</v>
      </c>
      <c r="G155" s="60" t="s">
        <v>2439</v>
      </c>
      <c r="H155" s="60" t="s">
        <v>2440</v>
      </c>
      <c r="I155" s="67" t="s">
        <v>350</v>
      </c>
      <c r="J155" s="79" t="s">
        <v>2441</v>
      </c>
      <c r="K155" s="67" t="s">
        <v>109</v>
      </c>
      <c r="L155" s="79" t="s">
        <v>2442</v>
      </c>
      <c r="M155" s="83" t="s">
        <v>2443</v>
      </c>
      <c r="N155" s="78">
        <v>35093.0</v>
      </c>
      <c r="O155" s="80" t="s">
        <v>27</v>
      </c>
      <c r="P155" s="156" t="s">
        <v>2444</v>
      </c>
      <c r="Q155" s="54"/>
      <c r="R155" s="84"/>
      <c r="S155" s="84"/>
      <c r="T155" s="54"/>
      <c r="U155" s="86"/>
      <c r="V155" s="54"/>
      <c r="W155" s="86"/>
      <c r="X155" s="54"/>
      <c r="Y155" s="78"/>
      <c r="Z155" s="54"/>
      <c r="AA155" s="70" t="s">
        <v>2445</v>
      </c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54" t="s">
        <v>2446</v>
      </c>
      <c r="AR155" s="83" t="s">
        <v>2447</v>
      </c>
      <c r="AS155" s="83" t="s">
        <v>2448</v>
      </c>
      <c r="AT155" s="93" t="s">
        <v>2441</v>
      </c>
      <c r="AU155" s="93" t="s">
        <v>2449</v>
      </c>
      <c r="AV155" s="93" t="s">
        <v>2441</v>
      </c>
      <c r="AW155" s="83" t="s">
        <v>2450</v>
      </c>
      <c r="AX155" s="83">
        <v>1.0</v>
      </c>
      <c r="AY155" s="83">
        <v>0.0</v>
      </c>
      <c r="AZ155" s="83" t="s">
        <v>2451</v>
      </c>
      <c r="BA155" s="83" t="s">
        <v>2452</v>
      </c>
      <c r="BB155" s="83" t="s">
        <v>2453</v>
      </c>
      <c r="BC155" s="54" t="s">
        <v>34</v>
      </c>
      <c r="BD155" s="70" t="str">
        <f t="shared" si="1"/>
        <v>Pisco</v>
      </c>
      <c r="BE155" s="67" t="s">
        <v>140</v>
      </c>
      <c r="BF155" s="67" t="s">
        <v>144</v>
      </c>
      <c r="BG155" s="67" t="s">
        <v>142</v>
      </c>
      <c r="BH155" s="67"/>
      <c r="BI155" s="67"/>
      <c r="BJ155" s="67"/>
      <c r="BK155" s="67"/>
      <c r="BL155" s="67" t="s">
        <v>147</v>
      </c>
      <c r="BM155" s="67" t="s">
        <v>247</v>
      </c>
      <c r="BN155" s="100">
        <v>89.0</v>
      </c>
      <c r="BO155" s="102" t="s">
        <v>148</v>
      </c>
      <c r="BP155" s="67" t="s">
        <v>141</v>
      </c>
      <c r="BQ155" s="79" t="s">
        <v>141</v>
      </c>
      <c r="BR155" s="67" t="s">
        <v>149</v>
      </c>
      <c r="BS155" s="102" t="s">
        <v>149</v>
      </c>
      <c r="BT155" s="106">
        <v>46219.0</v>
      </c>
      <c r="BU155" s="107">
        <v>1.0</v>
      </c>
      <c r="BV155" s="108">
        <f t="shared" si="2"/>
        <v>46214</v>
      </c>
      <c r="BW155" s="108">
        <f t="shared" si="8"/>
        <v>46219</v>
      </c>
      <c r="BX155" s="102" t="str">
        <f t="shared" si="4"/>
        <v>11</v>
      </c>
      <c r="BY155" s="107">
        <f t="shared" si="5"/>
        <v>5</v>
      </c>
      <c r="BZ155" s="107">
        <f t="array" ref="BZ155">IF($A155&lt;&gt;"",INDEX(LISTA!$M$2:$N$27,MATCH($BC155,LISTA!$N$2:$N$27,0),1),"")</f>
        <v>13</v>
      </c>
      <c r="CA155" s="67">
        <f t="shared" si="6"/>
        <v>7</v>
      </c>
      <c r="CB155" s="114">
        <f t="shared" si="7"/>
        <v>7</v>
      </c>
      <c r="CC155" s="67">
        <v>5.8100141E7</v>
      </c>
    </row>
    <row r="156" ht="15.0" hidden="1" customHeight="1" outlineLevel="1">
      <c r="A156" s="59">
        <v>46218.37723108796</v>
      </c>
      <c r="B156" s="115" t="s">
        <v>105</v>
      </c>
      <c r="C156" s="54" t="s">
        <v>100</v>
      </c>
      <c r="D156" s="56" t="s">
        <v>319</v>
      </c>
      <c r="E156" s="69">
        <v>46219.375</v>
      </c>
      <c r="F156" s="73"/>
      <c r="G156" s="60" t="s">
        <v>2454</v>
      </c>
      <c r="H156" s="60" t="s">
        <v>2455</v>
      </c>
      <c r="I156" s="67" t="s">
        <v>367</v>
      </c>
      <c r="J156" s="79" t="s">
        <v>2456</v>
      </c>
      <c r="K156" s="67" t="s">
        <v>109</v>
      </c>
      <c r="L156" s="79" t="s">
        <v>2457</v>
      </c>
      <c r="M156" s="83" t="s">
        <v>2458</v>
      </c>
      <c r="N156" s="78">
        <v>36570.0</v>
      </c>
      <c r="O156" s="80" t="s">
        <v>40</v>
      </c>
      <c r="P156" s="70">
        <v>140101.0</v>
      </c>
      <c r="Q156" s="54"/>
      <c r="R156" s="84"/>
      <c r="S156" s="84"/>
      <c r="T156" s="54"/>
      <c r="U156" s="86"/>
      <c r="V156" s="54"/>
      <c r="W156" s="86"/>
      <c r="X156" s="54"/>
      <c r="Y156" s="78"/>
      <c r="Z156" s="54"/>
      <c r="AA156" s="70"/>
      <c r="AB156" s="83"/>
      <c r="AC156" s="83" t="s">
        <v>1690</v>
      </c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54" t="s">
        <v>2459</v>
      </c>
      <c r="AR156" s="83" t="s">
        <v>755</v>
      </c>
      <c r="AS156" s="83" t="s">
        <v>2460</v>
      </c>
      <c r="AT156" s="93" t="s">
        <v>2456</v>
      </c>
      <c r="AU156" s="93" t="s">
        <v>2456</v>
      </c>
      <c r="AV156" s="93" t="s">
        <v>2456</v>
      </c>
      <c r="AW156" s="83" t="s">
        <v>2461</v>
      </c>
      <c r="AX156" s="83">
        <v>1.0</v>
      </c>
      <c r="AY156" s="83" t="s">
        <v>1767</v>
      </c>
      <c r="AZ156" s="83" t="s">
        <v>2462</v>
      </c>
      <c r="BA156" s="83" t="s">
        <v>2463</v>
      </c>
      <c r="BB156" s="83" t="s">
        <v>2464</v>
      </c>
      <c r="BC156" s="54" t="s">
        <v>39</v>
      </c>
      <c r="BD156" s="54" t="str">
        <f t="shared" si="1"/>
        <v>Trujillo</v>
      </c>
      <c r="BE156" s="67" t="s">
        <v>140</v>
      </c>
      <c r="BF156" s="67" t="s">
        <v>144</v>
      </c>
      <c r="BG156" s="67" t="s">
        <v>142</v>
      </c>
      <c r="BH156" s="67"/>
      <c r="BI156" s="67"/>
      <c r="BJ156" s="67"/>
      <c r="BK156" s="67"/>
      <c r="BL156" s="67" t="s">
        <v>283</v>
      </c>
      <c r="BM156" s="67" t="s">
        <v>146</v>
      </c>
      <c r="BN156" s="100">
        <v>94.0</v>
      </c>
      <c r="BO156" s="102" t="s">
        <v>148</v>
      </c>
      <c r="BP156" s="67" t="s">
        <v>141</v>
      </c>
      <c r="BQ156" s="79" t="s">
        <v>144</v>
      </c>
      <c r="BR156" s="67" t="s">
        <v>149</v>
      </c>
      <c r="BS156" s="102">
        <v>1.0</v>
      </c>
      <c r="BT156" s="106">
        <v>46219.0</v>
      </c>
      <c r="BU156" s="107">
        <v>2.0</v>
      </c>
      <c r="BV156" s="108">
        <f t="shared" si="2"/>
        <v>46218</v>
      </c>
      <c r="BW156" s="108">
        <f t="shared" si="8"/>
        <v>46219</v>
      </c>
      <c r="BX156" s="102" t="str">
        <f t="shared" si="4"/>
        <v>09</v>
      </c>
      <c r="BY156" s="107">
        <f t="shared" si="5"/>
        <v>5</v>
      </c>
      <c r="BZ156" s="107">
        <f t="array" ref="BZ156">IF($A156&lt;&gt;"",INDEX(LISTA!$M$2:$N$27,MATCH($BC156,LISTA!$N$2:$N$27,0),1),"")</f>
        <v>15</v>
      </c>
      <c r="CA156" s="67">
        <f t="shared" si="6"/>
        <v>7</v>
      </c>
      <c r="CB156" s="114">
        <f t="shared" si="7"/>
        <v>7</v>
      </c>
      <c r="CC156" s="67">
        <v>5.8121448E7</v>
      </c>
    </row>
    <row r="157" ht="15.0" hidden="1" customHeight="1" outlineLevel="1">
      <c r="A157" s="59">
        <v>46217.37604292824</v>
      </c>
      <c r="B157" s="115" t="s">
        <v>105</v>
      </c>
      <c r="C157" s="54" t="s">
        <v>100</v>
      </c>
      <c r="D157" s="56" t="s">
        <v>101</v>
      </c>
      <c r="E157" s="69">
        <v>46219.583333333336</v>
      </c>
      <c r="F157" s="73" t="s">
        <v>2465</v>
      </c>
      <c r="G157" s="60" t="s">
        <v>2466</v>
      </c>
      <c r="H157" s="60" t="s">
        <v>2467</v>
      </c>
      <c r="I157" s="67" t="s">
        <v>107</v>
      </c>
      <c r="J157" s="79" t="s">
        <v>2468</v>
      </c>
      <c r="K157" s="67" t="s">
        <v>109</v>
      </c>
      <c r="L157" s="79" t="s">
        <v>2469</v>
      </c>
      <c r="M157" s="83" t="s">
        <v>2470</v>
      </c>
      <c r="N157" s="78">
        <v>31941.0</v>
      </c>
      <c r="O157" s="80" t="s">
        <v>34</v>
      </c>
      <c r="P157" s="70">
        <v>110201.0</v>
      </c>
      <c r="Q157" s="54"/>
      <c r="R157" s="84"/>
      <c r="S157" s="84"/>
      <c r="T157" s="54"/>
      <c r="U157" s="86"/>
      <c r="V157" s="54"/>
      <c r="W157" s="86"/>
      <c r="X157" s="54"/>
      <c r="Y157" s="78"/>
      <c r="Z157" s="54"/>
      <c r="AA157" s="70" t="s">
        <v>1796</v>
      </c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54" t="s">
        <v>2471</v>
      </c>
      <c r="AR157" s="83" t="s">
        <v>201</v>
      </c>
      <c r="AS157" s="83" t="s">
        <v>2472</v>
      </c>
      <c r="AT157" s="93" t="s">
        <v>2468</v>
      </c>
      <c r="AU157" s="93" t="s">
        <v>2468</v>
      </c>
      <c r="AV157" s="93" t="s">
        <v>2468</v>
      </c>
      <c r="AW157" s="83" t="s">
        <v>2473</v>
      </c>
      <c r="AX157" s="83">
        <v>1.0</v>
      </c>
      <c r="AY157" s="83">
        <v>0.0</v>
      </c>
      <c r="AZ157" s="83" t="s">
        <v>2474</v>
      </c>
      <c r="BA157" s="83" t="s">
        <v>2475</v>
      </c>
      <c r="BB157" s="83" t="s">
        <v>2476</v>
      </c>
      <c r="BC157" s="54" t="s">
        <v>34</v>
      </c>
      <c r="BD157" s="70" t="str">
        <f t="shared" si="1"/>
        <v>Chincha</v>
      </c>
      <c r="BE157" s="67" t="s">
        <v>140</v>
      </c>
      <c r="BF157" s="67" t="s">
        <v>141</v>
      </c>
      <c r="BG157" s="67" t="s">
        <v>142</v>
      </c>
      <c r="BH157" s="67"/>
      <c r="BI157" s="67"/>
      <c r="BJ157" s="67"/>
      <c r="BK157" s="67"/>
      <c r="BL157" s="67" t="s">
        <v>213</v>
      </c>
      <c r="BM157" s="67" t="s">
        <v>214</v>
      </c>
      <c r="BN157" s="100">
        <v>110.0</v>
      </c>
      <c r="BO157" s="102" t="s">
        <v>182</v>
      </c>
      <c r="BP157" s="67" t="s">
        <v>144</v>
      </c>
      <c r="BQ157" s="79" t="s">
        <v>141</v>
      </c>
      <c r="BR157" s="67" t="s">
        <v>149</v>
      </c>
      <c r="BS157" s="102">
        <v>1.0</v>
      </c>
      <c r="BT157" s="106">
        <v>46219.0</v>
      </c>
      <c r="BU157" s="107">
        <v>3.0</v>
      </c>
      <c r="BV157" s="108">
        <f t="shared" si="2"/>
        <v>46217</v>
      </c>
      <c r="BW157" s="108">
        <f t="shared" si="8"/>
        <v>46219</v>
      </c>
      <c r="BX157" s="102" t="str">
        <f t="shared" si="4"/>
        <v>14</v>
      </c>
      <c r="BY157" s="107">
        <f t="shared" si="5"/>
        <v>5</v>
      </c>
      <c r="BZ157" s="107">
        <f t="array" ref="BZ157">IF($A157&lt;&gt;"",INDEX(LISTA!$M$2:$N$27,MATCH($BC157,LISTA!$N$2:$N$27,0),1),"")</f>
        <v>13</v>
      </c>
      <c r="CA157" s="67">
        <f t="shared" si="6"/>
        <v>7</v>
      </c>
      <c r="CB157" s="114">
        <f t="shared" si="7"/>
        <v>7</v>
      </c>
      <c r="CC157" s="67">
        <v>5.8114001E7</v>
      </c>
    </row>
    <row r="158" ht="15.0" hidden="1" customHeight="1" outlineLevel="1">
      <c r="A158" s="59">
        <v>46219.39755403935</v>
      </c>
      <c r="B158" s="115" t="s">
        <v>105</v>
      </c>
      <c r="C158" s="54" t="s">
        <v>100</v>
      </c>
      <c r="D158" s="56" t="s">
        <v>319</v>
      </c>
      <c r="E158" s="69">
        <v>46220.375</v>
      </c>
      <c r="F158" s="73"/>
      <c r="G158" s="60" t="s">
        <v>2477</v>
      </c>
      <c r="H158" s="60" t="s">
        <v>2478</v>
      </c>
      <c r="I158" s="67" t="s">
        <v>350</v>
      </c>
      <c r="J158" s="79" t="s">
        <v>2479</v>
      </c>
      <c r="K158" s="67" t="s">
        <v>109</v>
      </c>
      <c r="L158" s="79" t="s">
        <v>2480</v>
      </c>
      <c r="M158" s="83" t="s">
        <v>2481</v>
      </c>
      <c r="N158" s="78">
        <v>32342.0</v>
      </c>
      <c r="O158" s="80" t="s">
        <v>24</v>
      </c>
      <c r="P158" s="156" t="s">
        <v>1283</v>
      </c>
      <c r="Q158" s="54"/>
      <c r="R158" s="84" t="s">
        <v>1284</v>
      </c>
      <c r="S158" s="84"/>
      <c r="T158" s="54"/>
      <c r="U158" s="86"/>
      <c r="V158" s="54"/>
      <c r="W158" s="86"/>
      <c r="X158" s="54"/>
      <c r="Y158" s="78"/>
      <c r="Z158" s="54"/>
      <c r="AA158" s="70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54" t="s">
        <v>2482</v>
      </c>
      <c r="AR158" s="83" t="s">
        <v>2483</v>
      </c>
      <c r="AS158" s="83" t="s">
        <v>2484</v>
      </c>
      <c r="AT158" s="93" t="s">
        <v>2479</v>
      </c>
      <c r="AU158" s="93" t="s">
        <v>2479</v>
      </c>
      <c r="AV158" s="93" t="s">
        <v>2479</v>
      </c>
      <c r="AW158" s="83" t="s">
        <v>2485</v>
      </c>
      <c r="AX158" s="83">
        <v>1.0</v>
      </c>
      <c r="AY158" s="83">
        <v>1.0</v>
      </c>
      <c r="AZ158" s="83" t="s">
        <v>2486</v>
      </c>
      <c r="BA158" s="83" t="s">
        <v>2487</v>
      </c>
      <c r="BB158" s="83" t="s">
        <v>2488</v>
      </c>
      <c r="BC158" s="54" t="s">
        <v>24</v>
      </c>
      <c r="BD158" s="54" t="str">
        <f t="shared" si="1"/>
        <v>Santa</v>
      </c>
      <c r="BE158" s="67" t="s">
        <v>140</v>
      </c>
      <c r="BF158" s="67" t="s">
        <v>141</v>
      </c>
      <c r="BG158" s="67" t="s">
        <v>142</v>
      </c>
      <c r="BH158" s="67"/>
      <c r="BI158" s="67"/>
      <c r="BJ158" s="67"/>
      <c r="BK158" s="67"/>
      <c r="BL158" s="67" t="s">
        <v>147</v>
      </c>
      <c r="BM158" s="67" t="s">
        <v>146</v>
      </c>
      <c r="BN158" s="100">
        <v>69.0</v>
      </c>
      <c r="BO158" s="102" t="s">
        <v>615</v>
      </c>
      <c r="BP158" s="67" t="s">
        <v>141</v>
      </c>
      <c r="BQ158" s="79" t="s">
        <v>141</v>
      </c>
      <c r="BR158" s="67" t="s">
        <v>149</v>
      </c>
      <c r="BS158" s="102" t="s">
        <v>149</v>
      </c>
      <c r="BT158" s="106">
        <v>46220.0</v>
      </c>
      <c r="BU158" s="107">
        <v>1.0</v>
      </c>
      <c r="BV158" s="108">
        <f t="shared" si="2"/>
        <v>46219</v>
      </c>
      <c r="BW158" s="108">
        <f t="shared" si="8"/>
        <v>46220</v>
      </c>
      <c r="BX158" s="102" t="str">
        <f t="shared" si="4"/>
        <v>09</v>
      </c>
      <c r="BY158" s="107">
        <f t="shared" si="5"/>
        <v>5</v>
      </c>
      <c r="BZ158" s="107">
        <f t="array" ref="BZ158">IF($A158&lt;&gt;"",INDEX(LISTA!$M$2:$N$27,MATCH($BC158,LISTA!$N$2:$N$27,0),1),"")</f>
        <v>5</v>
      </c>
      <c r="CA158" s="67">
        <f t="shared" si="6"/>
        <v>7</v>
      </c>
      <c r="CB158" s="114">
        <f t="shared" si="7"/>
        <v>7</v>
      </c>
      <c r="CC158" s="67">
        <v>5.8128941E7</v>
      </c>
    </row>
    <row r="159" ht="15.0" hidden="1" customHeight="1" outlineLevel="1">
      <c r="A159" s="59">
        <v>46219.68786917824</v>
      </c>
      <c r="B159" s="115" t="s">
        <v>105</v>
      </c>
      <c r="C159" s="54" t="s">
        <v>100</v>
      </c>
      <c r="D159" s="56" t="s">
        <v>319</v>
      </c>
      <c r="E159" s="69">
        <v>46220.583333333336</v>
      </c>
      <c r="F159" s="73"/>
      <c r="G159" s="60" t="s">
        <v>2489</v>
      </c>
      <c r="H159" s="60" t="s">
        <v>2490</v>
      </c>
      <c r="I159" s="67" t="s">
        <v>374</v>
      </c>
      <c r="J159" s="79" t="s">
        <v>2491</v>
      </c>
      <c r="K159" s="67" t="s">
        <v>109</v>
      </c>
      <c r="L159" s="79" t="s">
        <v>2492</v>
      </c>
      <c r="M159" s="83" t="s">
        <v>2493</v>
      </c>
      <c r="N159" s="78">
        <v>24923.0</v>
      </c>
      <c r="O159" s="80" t="s">
        <v>24</v>
      </c>
      <c r="P159" s="70">
        <v>480116.0</v>
      </c>
      <c r="Q159" s="54"/>
      <c r="R159" s="84" t="s">
        <v>1284</v>
      </c>
      <c r="S159" s="84"/>
      <c r="T159" s="54"/>
      <c r="U159" s="86"/>
      <c r="V159" s="54"/>
      <c r="W159" s="86"/>
      <c r="X159" s="54"/>
      <c r="Y159" s="78"/>
      <c r="Z159" s="54"/>
      <c r="AA159" s="70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54" t="s">
        <v>374</v>
      </c>
      <c r="AR159" s="83" t="s">
        <v>2494</v>
      </c>
      <c r="AS159" s="83" t="s">
        <v>2495</v>
      </c>
      <c r="AT159" s="93" t="s">
        <v>2491</v>
      </c>
      <c r="AU159" s="93" t="s">
        <v>2491</v>
      </c>
      <c r="AV159" s="93" t="s">
        <v>2491</v>
      </c>
      <c r="AW159" s="83" t="s">
        <v>2496</v>
      </c>
      <c r="AX159" s="83">
        <v>2.0</v>
      </c>
      <c r="AY159" s="83" t="s">
        <v>1767</v>
      </c>
      <c r="AZ159" s="83" t="s">
        <v>2497</v>
      </c>
      <c r="BA159" s="83" t="s">
        <v>1767</v>
      </c>
      <c r="BB159" s="83" t="s">
        <v>2498</v>
      </c>
      <c r="BC159" s="54" t="s">
        <v>24</v>
      </c>
      <c r="BD159" s="54" t="str">
        <f t="shared" si="1"/>
        <v>Santa</v>
      </c>
      <c r="BE159" s="67" t="s">
        <v>140</v>
      </c>
      <c r="BF159" s="67" t="s">
        <v>141</v>
      </c>
      <c r="BG159" s="67" t="s">
        <v>142</v>
      </c>
      <c r="BH159" s="67"/>
      <c r="BI159" s="67"/>
      <c r="BJ159" s="67"/>
      <c r="BK159" s="67"/>
      <c r="BL159" s="67" t="s">
        <v>147</v>
      </c>
      <c r="BM159" s="67" t="s">
        <v>146</v>
      </c>
      <c r="BN159" s="100">
        <v>89.0</v>
      </c>
      <c r="BO159" s="102" t="s">
        <v>148</v>
      </c>
      <c r="BP159" s="67" t="s">
        <v>141</v>
      </c>
      <c r="BQ159" s="79" t="s">
        <v>141</v>
      </c>
      <c r="BR159" s="67" t="s">
        <v>149</v>
      </c>
      <c r="BS159" s="102" t="s">
        <v>149</v>
      </c>
      <c r="BT159" s="106">
        <v>46220.0</v>
      </c>
      <c r="BU159" s="107">
        <v>2.0</v>
      </c>
      <c r="BV159" s="108">
        <f t="shared" si="2"/>
        <v>46219</v>
      </c>
      <c r="BW159" s="108">
        <f t="shared" si="8"/>
        <v>46220</v>
      </c>
      <c r="BX159" s="102" t="str">
        <f t="shared" si="4"/>
        <v>14</v>
      </c>
      <c r="BY159" s="107">
        <f t="shared" si="5"/>
        <v>5</v>
      </c>
      <c r="BZ159" s="107">
        <f t="array" ref="BZ159">IF($A159&lt;&gt;"",INDEX(LISTA!$M$2:$N$27,MATCH($BC159,LISTA!$N$2:$N$27,0),1),"")</f>
        <v>5</v>
      </c>
      <c r="CA159" s="67">
        <f t="shared" si="6"/>
        <v>7</v>
      </c>
      <c r="CB159" s="114">
        <f t="shared" si="7"/>
        <v>7</v>
      </c>
      <c r="CC159" s="160">
        <v>5.8132433E7</v>
      </c>
    </row>
    <row r="160" ht="15.0" hidden="1" customHeight="1" outlineLevel="1">
      <c r="A160" s="59">
        <v>46220.433458125</v>
      </c>
      <c r="B160" s="115" t="s">
        <v>105</v>
      </c>
      <c r="C160" s="54" t="s">
        <v>100</v>
      </c>
      <c r="D160" s="56" t="s">
        <v>319</v>
      </c>
      <c r="E160" s="69">
        <v>46221.666666666664</v>
      </c>
      <c r="F160" s="73"/>
      <c r="G160" s="60" t="s">
        <v>2499</v>
      </c>
      <c r="H160" s="60" t="s">
        <v>2500</v>
      </c>
      <c r="I160" s="67" t="s">
        <v>293</v>
      </c>
      <c r="J160" s="79" t="s">
        <v>2501</v>
      </c>
      <c r="K160" s="67" t="s">
        <v>109</v>
      </c>
      <c r="L160" s="79" t="s">
        <v>2502</v>
      </c>
      <c r="M160" s="83" t="s">
        <v>2503</v>
      </c>
      <c r="N160" s="78">
        <v>30554.0</v>
      </c>
      <c r="O160" s="80" t="s">
        <v>37</v>
      </c>
      <c r="P160" s="70">
        <v>140126.0</v>
      </c>
      <c r="Q160" s="54"/>
      <c r="R160" s="84"/>
      <c r="S160" s="84"/>
      <c r="T160" s="54"/>
      <c r="U160" s="86"/>
      <c r="V160" s="54"/>
      <c r="W160" s="86" t="s">
        <v>553</v>
      </c>
      <c r="X160" s="54"/>
      <c r="Y160" s="78"/>
      <c r="Z160" s="54"/>
      <c r="AA160" s="70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54" t="s">
        <v>1640</v>
      </c>
      <c r="AR160" s="83" t="s">
        <v>2504</v>
      </c>
      <c r="AS160" s="83" t="s">
        <v>2505</v>
      </c>
      <c r="AT160" s="93" t="s">
        <v>2501</v>
      </c>
      <c r="AU160" s="93" t="s">
        <v>2501</v>
      </c>
      <c r="AV160" s="93" t="s">
        <v>2501</v>
      </c>
      <c r="AW160" s="83" t="s">
        <v>2506</v>
      </c>
      <c r="AX160" s="83">
        <v>3.0</v>
      </c>
      <c r="AY160" s="83" t="s">
        <v>1160</v>
      </c>
      <c r="AZ160" s="83" t="s">
        <v>2507</v>
      </c>
      <c r="BA160" s="83" t="s">
        <v>2508</v>
      </c>
      <c r="BB160" s="83" t="s">
        <v>2509</v>
      </c>
      <c r="BC160" s="54" t="s">
        <v>30</v>
      </c>
      <c r="BD160" s="54" t="str">
        <f t="shared" si="1"/>
        <v>Callao</v>
      </c>
      <c r="BE160" s="67" t="s">
        <v>140</v>
      </c>
      <c r="BF160" s="67" t="s">
        <v>144</v>
      </c>
      <c r="BG160" s="67" t="s">
        <v>142</v>
      </c>
      <c r="BH160" s="67"/>
      <c r="BI160" s="67"/>
      <c r="BJ160" s="67"/>
      <c r="BK160" s="67"/>
      <c r="BL160" s="67" t="s">
        <v>147</v>
      </c>
      <c r="BM160" s="67" t="s">
        <v>146</v>
      </c>
      <c r="BN160" s="100">
        <v>89.0</v>
      </c>
      <c r="BO160" s="102" t="s">
        <v>148</v>
      </c>
      <c r="BP160" s="67" t="s">
        <v>141</v>
      </c>
      <c r="BQ160" s="79" t="s">
        <v>141</v>
      </c>
      <c r="BR160" s="67" t="s">
        <v>149</v>
      </c>
      <c r="BS160" s="102">
        <v>1.0</v>
      </c>
      <c r="BT160" s="106">
        <v>46220.0</v>
      </c>
      <c r="BU160" s="107">
        <v>3.0</v>
      </c>
      <c r="BV160" s="108">
        <f t="shared" si="2"/>
        <v>46220</v>
      </c>
      <c r="BW160" s="108">
        <f t="shared" si="8"/>
        <v>46221</v>
      </c>
      <c r="BX160" s="102" t="str">
        <f t="shared" si="4"/>
        <v>16</v>
      </c>
      <c r="BY160" s="107">
        <f t="shared" si="5"/>
        <v>5</v>
      </c>
      <c r="BZ160" s="107">
        <f t="array" ref="BZ160">IF($A160&lt;&gt;"",INDEX(LISTA!$M$2:$N$27,MATCH($BC160,LISTA!$N$2:$N$27,0),1),"")</f>
        <v>2</v>
      </c>
      <c r="CA160" s="67">
        <f t="shared" si="6"/>
        <v>7</v>
      </c>
      <c r="CB160" s="114">
        <f t="shared" si="7"/>
        <v>7</v>
      </c>
      <c r="CC160" s="67">
        <v>5.8136013E7</v>
      </c>
    </row>
    <row r="161" ht="15.0" hidden="1" customHeight="1" outlineLevel="1">
      <c r="A161" s="59">
        <v>46219.40573028935</v>
      </c>
      <c r="B161" s="115" t="s">
        <v>105</v>
      </c>
      <c r="C161" s="54" t="s">
        <v>100</v>
      </c>
      <c r="D161" s="56" t="s">
        <v>319</v>
      </c>
      <c r="E161" s="69">
        <v>46221.583333333336</v>
      </c>
      <c r="F161" s="73" t="s">
        <v>2510</v>
      </c>
      <c r="G161" s="60" t="s">
        <v>2511</v>
      </c>
      <c r="H161" s="60" t="s">
        <v>2512</v>
      </c>
      <c r="I161" s="67" t="s">
        <v>376</v>
      </c>
      <c r="J161" s="79" t="s">
        <v>2513</v>
      </c>
      <c r="K161" s="67" t="s">
        <v>109</v>
      </c>
      <c r="L161" s="79" t="s">
        <v>2514</v>
      </c>
      <c r="M161" s="83" t="s">
        <v>2515</v>
      </c>
      <c r="N161" s="78">
        <v>32942.0</v>
      </c>
      <c r="O161" s="80" t="s">
        <v>41</v>
      </c>
      <c r="P161" s="70">
        <v>140105.0</v>
      </c>
      <c r="Q161" s="54"/>
      <c r="R161" s="84"/>
      <c r="S161" s="84"/>
      <c r="T161" s="54"/>
      <c r="U161" s="86"/>
      <c r="V161" s="54"/>
      <c r="W161" s="86"/>
      <c r="X161" s="54"/>
      <c r="Y161" s="78"/>
      <c r="Z161" s="54"/>
      <c r="AA161" s="70"/>
      <c r="AB161" s="83"/>
      <c r="AC161" s="83"/>
      <c r="AD161" s="83"/>
      <c r="AE161" s="83"/>
      <c r="AF161" s="83" t="s">
        <v>268</v>
      </c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54" t="s">
        <v>1588</v>
      </c>
      <c r="AR161" s="83" t="s">
        <v>270</v>
      </c>
      <c r="AS161" s="83" t="s">
        <v>2516</v>
      </c>
      <c r="AT161" s="93" t="s">
        <v>2513</v>
      </c>
      <c r="AU161" s="93" t="s">
        <v>2513</v>
      </c>
      <c r="AV161" s="93" t="s">
        <v>2513</v>
      </c>
      <c r="AW161" s="83" t="s">
        <v>2517</v>
      </c>
      <c r="AX161" s="83">
        <v>2.0</v>
      </c>
      <c r="AY161" s="83">
        <v>204.0</v>
      </c>
      <c r="AZ161" s="83" t="s">
        <v>2518</v>
      </c>
      <c r="BA161" s="83" t="s">
        <v>2519</v>
      </c>
      <c r="BB161" s="83" t="s">
        <v>2520</v>
      </c>
      <c r="BC161" s="54" t="s">
        <v>41</v>
      </c>
      <c r="BD161" s="54" t="str">
        <f t="shared" si="1"/>
        <v>Lince</v>
      </c>
      <c r="BE161" s="67" t="s">
        <v>140</v>
      </c>
      <c r="BF161" s="67" t="s">
        <v>141</v>
      </c>
      <c r="BG161" s="67" t="s">
        <v>142</v>
      </c>
      <c r="BH161" s="67"/>
      <c r="BI161" s="67"/>
      <c r="BJ161" s="67"/>
      <c r="BK161" s="67"/>
      <c r="BL161" s="67" t="s">
        <v>283</v>
      </c>
      <c r="BM161" s="67" t="s">
        <v>146</v>
      </c>
      <c r="BN161" s="100">
        <v>115.0</v>
      </c>
      <c r="BO161" s="102" t="s">
        <v>182</v>
      </c>
      <c r="BP161" s="67" t="s">
        <v>144</v>
      </c>
      <c r="BQ161" s="79" t="s">
        <v>144</v>
      </c>
      <c r="BR161" s="67" t="s">
        <v>149</v>
      </c>
      <c r="BS161" s="102" t="s">
        <v>149</v>
      </c>
      <c r="BT161" s="106">
        <v>46221.0</v>
      </c>
      <c r="BU161" s="107">
        <v>1.0</v>
      </c>
      <c r="BV161" s="108">
        <f t="shared" si="2"/>
        <v>46219</v>
      </c>
      <c r="BW161" s="108">
        <f t="shared" si="8"/>
        <v>46221</v>
      </c>
      <c r="BX161" s="102" t="str">
        <f t="shared" si="4"/>
        <v>14</v>
      </c>
      <c r="BY161" s="107">
        <f t="shared" si="5"/>
        <v>5</v>
      </c>
      <c r="BZ161" s="107">
        <f t="array" ref="BZ161">IF($A161&lt;&gt;"",INDEX(LISTA!$M$2:$N$27,MATCH($BC161,LISTA!$N$2:$N$27,0),1),"")</f>
        <v>1</v>
      </c>
      <c r="CA161" s="67">
        <f t="shared" si="6"/>
        <v>7</v>
      </c>
      <c r="CB161" s="114">
        <f t="shared" si="7"/>
        <v>7</v>
      </c>
      <c r="CC161" s="67">
        <v>5.8138569E7</v>
      </c>
    </row>
    <row r="162" ht="15.0" hidden="1" customHeight="1" outlineLevel="1">
      <c r="A162" s="59">
        <v>46219.71584771991</v>
      </c>
      <c r="B162" s="115" t="s">
        <v>105</v>
      </c>
      <c r="C162" s="54" t="s">
        <v>100</v>
      </c>
      <c r="D162" s="56" t="s">
        <v>319</v>
      </c>
      <c r="E162" s="69">
        <v>46222.375</v>
      </c>
      <c r="F162" s="73" t="s">
        <v>2521</v>
      </c>
      <c r="G162" s="60" t="s">
        <v>2522</v>
      </c>
      <c r="H162" s="60" t="s">
        <v>2523</v>
      </c>
      <c r="I162" s="67" t="s">
        <v>367</v>
      </c>
      <c r="J162" s="79" t="s">
        <v>2524</v>
      </c>
      <c r="K162" s="67" t="s">
        <v>109</v>
      </c>
      <c r="L162" s="79" t="s">
        <v>2525</v>
      </c>
      <c r="M162" s="83" t="s">
        <v>2526</v>
      </c>
      <c r="N162" s="78">
        <v>38598.0</v>
      </c>
      <c r="O162" s="80" t="s">
        <v>40</v>
      </c>
      <c r="P162" s="70">
        <v>140101.0</v>
      </c>
      <c r="Q162" s="54"/>
      <c r="R162" s="84"/>
      <c r="S162" s="84"/>
      <c r="T162" s="54"/>
      <c r="U162" s="86"/>
      <c r="V162" s="54"/>
      <c r="W162" s="86"/>
      <c r="X162" s="54"/>
      <c r="Y162" s="78"/>
      <c r="Z162" s="54"/>
      <c r="AA162" s="70"/>
      <c r="AB162" s="83"/>
      <c r="AC162" s="83"/>
      <c r="AD162" s="83" t="s">
        <v>805</v>
      </c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54" t="s">
        <v>127</v>
      </c>
      <c r="AR162" s="83" t="s">
        <v>2527</v>
      </c>
      <c r="AS162" s="83" t="s">
        <v>2528</v>
      </c>
      <c r="AT162" s="93" t="s">
        <v>2524</v>
      </c>
      <c r="AU162" s="93" t="s">
        <v>2524</v>
      </c>
      <c r="AV162" s="93" t="s">
        <v>2524</v>
      </c>
      <c r="AW162" s="83" t="s">
        <v>2529</v>
      </c>
      <c r="AX162" s="83">
        <v>2.0</v>
      </c>
      <c r="AY162" s="83" t="s">
        <v>1767</v>
      </c>
      <c r="AZ162" s="83" t="s">
        <v>2530</v>
      </c>
      <c r="BA162" s="83" t="s">
        <v>2531</v>
      </c>
      <c r="BB162" s="83" t="s">
        <v>2532</v>
      </c>
      <c r="BC162" s="54" t="s">
        <v>40</v>
      </c>
      <c r="BD162" s="54" t="str">
        <f t="shared" si="1"/>
        <v>Chiclayo</v>
      </c>
      <c r="BE162" s="67" t="s">
        <v>140</v>
      </c>
      <c r="BF162" s="67" t="s">
        <v>141</v>
      </c>
      <c r="BG162" s="67" t="s">
        <v>142</v>
      </c>
      <c r="BH162" s="67"/>
      <c r="BI162" s="67"/>
      <c r="BJ162" s="67"/>
      <c r="BK162" s="67"/>
      <c r="BL162" s="67" t="s">
        <v>147</v>
      </c>
      <c r="BM162" s="67" t="s">
        <v>146</v>
      </c>
      <c r="BN162" s="100">
        <v>89.0</v>
      </c>
      <c r="BO162" s="102" t="s">
        <v>148</v>
      </c>
      <c r="BP162" s="67" t="s">
        <v>141</v>
      </c>
      <c r="BQ162" s="79" t="s">
        <v>141</v>
      </c>
      <c r="BR162" s="67" t="s">
        <v>149</v>
      </c>
      <c r="BS162" s="102" t="s">
        <v>149</v>
      </c>
      <c r="BT162" s="106">
        <v>46222.0</v>
      </c>
      <c r="BU162" s="107">
        <v>1.0</v>
      </c>
      <c r="BV162" s="108">
        <f t="shared" si="2"/>
        <v>46219</v>
      </c>
      <c r="BW162" s="108">
        <v>46222.0</v>
      </c>
      <c r="BX162" s="102" t="str">
        <f t="shared" si="4"/>
        <v>09</v>
      </c>
      <c r="BY162" s="107">
        <f t="shared" si="5"/>
        <v>5</v>
      </c>
      <c r="BZ162" s="107">
        <f t="array" ref="BZ162">IF($A162&lt;&gt;"",INDEX(LISTA!$M$2:$N$27,MATCH($BC162,LISTA!$N$2:$N$27,0),1),"")</f>
        <v>16</v>
      </c>
      <c r="CA162" s="67">
        <f t="shared" si="6"/>
        <v>7</v>
      </c>
      <c r="CB162" s="114">
        <f t="shared" si="7"/>
        <v>7</v>
      </c>
      <c r="CC162" s="67">
        <v>5.8143456E7</v>
      </c>
    </row>
    <row r="163" ht="15.0" hidden="1" customHeight="1" outlineLevel="1">
      <c r="A163" s="59">
        <v>46218.463302916665</v>
      </c>
      <c r="B163" s="115" t="s">
        <v>105</v>
      </c>
      <c r="C163" s="54" t="s">
        <v>100</v>
      </c>
      <c r="D163" s="56" t="s">
        <v>319</v>
      </c>
      <c r="E163" s="69">
        <v>46222.375</v>
      </c>
      <c r="F163" s="73"/>
      <c r="G163" s="60" t="s">
        <v>2533</v>
      </c>
      <c r="H163" s="60" t="s">
        <v>2534</v>
      </c>
      <c r="I163" s="67" t="s">
        <v>350</v>
      </c>
      <c r="J163" s="79" t="s">
        <v>2535</v>
      </c>
      <c r="K163" s="67" t="s">
        <v>109</v>
      </c>
      <c r="L163" s="79" t="s">
        <v>2536</v>
      </c>
      <c r="M163" s="83" t="s">
        <v>2537</v>
      </c>
      <c r="N163" s="78">
        <v>28118.0</v>
      </c>
      <c r="O163" s="80" t="s">
        <v>24</v>
      </c>
      <c r="P163" s="70">
        <v>21801.0</v>
      </c>
      <c r="Q163" s="54"/>
      <c r="R163" s="84" t="s">
        <v>1284</v>
      </c>
      <c r="S163" s="84"/>
      <c r="T163" s="54"/>
      <c r="U163" s="86"/>
      <c r="V163" s="54"/>
      <c r="W163" s="86"/>
      <c r="X163" s="54"/>
      <c r="Y163" s="78"/>
      <c r="Z163" s="54"/>
      <c r="AA163" s="70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54" t="s">
        <v>127</v>
      </c>
      <c r="AR163" s="83" t="s">
        <v>2538</v>
      </c>
      <c r="AS163" s="83" t="s">
        <v>2539</v>
      </c>
      <c r="AT163" s="93" t="s">
        <v>2535</v>
      </c>
      <c r="AU163" s="93" t="s">
        <v>2535</v>
      </c>
      <c r="AV163" s="93" t="s">
        <v>2535</v>
      </c>
      <c r="AW163" s="83" t="s">
        <v>2540</v>
      </c>
      <c r="AX163" s="83">
        <v>1.0</v>
      </c>
      <c r="AY163" s="83">
        <v>0.0</v>
      </c>
      <c r="AZ163" s="83" t="s">
        <v>2541</v>
      </c>
      <c r="BA163" s="83" t="s">
        <v>2542</v>
      </c>
      <c r="BB163" s="83" t="s">
        <v>2543</v>
      </c>
      <c r="BC163" s="54" t="s">
        <v>24</v>
      </c>
      <c r="BD163" s="54" t="str">
        <f t="shared" si="1"/>
        <v>Santa</v>
      </c>
      <c r="BE163" s="67" t="s">
        <v>143</v>
      </c>
      <c r="BF163" s="67" t="s">
        <v>144</v>
      </c>
      <c r="BG163" s="67" t="s">
        <v>142</v>
      </c>
      <c r="BH163" s="67"/>
      <c r="BI163" s="67"/>
      <c r="BJ163" s="67"/>
      <c r="BK163" s="67"/>
      <c r="BL163" s="67" t="s">
        <v>147</v>
      </c>
      <c r="BM163" s="67" t="s">
        <v>1897</v>
      </c>
      <c r="BN163" s="100">
        <v>44.0</v>
      </c>
      <c r="BO163" s="102" t="s">
        <v>615</v>
      </c>
      <c r="BP163" s="67" t="s">
        <v>141</v>
      </c>
      <c r="BQ163" s="79" t="s">
        <v>141</v>
      </c>
      <c r="BR163" s="67" t="s">
        <v>149</v>
      </c>
      <c r="BS163" s="102" t="s">
        <v>149</v>
      </c>
      <c r="BT163" s="106">
        <v>46222.0</v>
      </c>
      <c r="BU163" s="107">
        <v>2.0</v>
      </c>
      <c r="BV163" s="108">
        <f t="shared" si="2"/>
        <v>46218</v>
      </c>
      <c r="BW163" s="108">
        <f t="shared" ref="BW163:BW168" si="9">IF($E163&lt;&gt;"",DATE(YEAR($E163),MONTH($E163),DAY($E163)),"")</f>
        <v>46222</v>
      </c>
      <c r="BX163" s="102" t="str">
        <f t="shared" si="4"/>
        <v>09</v>
      </c>
      <c r="BY163" s="107">
        <f t="shared" si="5"/>
        <v>5</v>
      </c>
      <c r="BZ163" s="107">
        <f t="array" ref="BZ163">IF($A163&lt;&gt;"",INDEX(LISTA!$M$2:$N$27,MATCH($BC163,LISTA!$N$2:$N$27,0),1),"")</f>
        <v>5</v>
      </c>
      <c r="CA163" s="67">
        <f t="shared" si="6"/>
        <v>7</v>
      </c>
      <c r="CB163" s="114">
        <f t="shared" si="7"/>
        <v>7</v>
      </c>
      <c r="CC163" s="67">
        <v>5.8122649E7</v>
      </c>
    </row>
    <row r="164" ht="15.0" hidden="1" customHeight="1" outlineLevel="1">
      <c r="A164" s="59">
        <v>46221.41851885417</v>
      </c>
      <c r="B164" s="115" t="s">
        <v>105</v>
      </c>
      <c r="C164" s="54" t="s">
        <v>100</v>
      </c>
      <c r="D164" s="56" t="s">
        <v>319</v>
      </c>
      <c r="E164" s="69">
        <v>46222.375</v>
      </c>
      <c r="F164" s="73"/>
      <c r="G164" s="60" t="s">
        <v>2544</v>
      </c>
      <c r="H164" s="60" t="s">
        <v>2545</v>
      </c>
      <c r="I164" s="67" t="s">
        <v>367</v>
      </c>
      <c r="J164" s="79" t="s">
        <v>2546</v>
      </c>
      <c r="K164" s="67" t="s">
        <v>109</v>
      </c>
      <c r="L164" s="79" t="s">
        <v>2547</v>
      </c>
      <c r="M164" s="83" t="s">
        <v>2548</v>
      </c>
      <c r="N164" s="78">
        <v>26127.0</v>
      </c>
      <c r="O164" s="80" t="s">
        <v>41</v>
      </c>
      <c r="P164" s="70">
        <v>150135.0</v>
      </c>
      <c r="Q164" s="54"/>
      <c r="R164" s="84"/>
      <c r="S164" s="84"/>
      <c r="T164" s="54"/>
      <c r="U164" s="86"/>
      <c r="V164" s="54"/>
      <c r="W164" s="86"/>
      <c r="X164" s="54"/>
      <c r="Y164" s="78"/>
      <c r="Z164" s="54"/>
      <c r="AA164" s="70"/>
      <c r="AB164" s="83"/>
      <c r="AC164" s="83"/>
      <c r="AD164" s="83"/>
      <c r="AE164" s="83"/>
      <c r="AF164" s="83" t="s">
        <v>165</v>
      </c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54" t="s">
        <v>2549</v>
      </c>
      <c r="AR164" s="83" t="s">
        <v>1944</v>
      </c>
      <c r="AS164" s="83" t="s">
        <v>2550</v>
      </c>
      <c r="AT164" s="93" t="s">
        <v>2546</v>
      </c>
      <c r="AU164" s="93" t="s">
        <v>2546</v>
      </c>
      <c r="AV164" s="93" t="s">
        <v>2546</v>
      </c>
      <c r="AW164" s="83" t="s">
        <v>2551</v>
      </c>
      <c r="AX164" s="83">
        <v>1.0</v>
      </c>
      <c r="AY164" s="83">
        <v>0.0</v>
      </c>
      <c r="AZ164" s="83" t="s">
        <v>2552</v>
      </c>
      <c r="BA164" s="83" t="s">
        <v>2553</v>
      </c>
      <c r="BB164" s="83" t="s">
        <v>2554</v>
      </c>
      <c r="BC164" s="54" t="s">
        <v>41</v>
      </c>
      <c r="BD164" s="54" t="str">
        <f t="shared" si="1"/>
        <v>San Martín de Porres</v>
      </c>
      <c r="BE164" s="67" t="s">
        <v>140</v>
      </c>
      <c r="BF164" s="67" t="s">
        <v>141</v>
      </c>
      <c r="BG164" s="67" t="s">
        <v>142</v>
      </c>
      <c r="BH164" s="67"/>
      <c r="BI164" s="67"/>
      <c r="BJ164" s="67"/>
      <c r="BK164" s="67"/>
      <c r="BL164" s="67" t="s">
        <v>147</v>
      </c>
      <c r="BM164" s="67" t="s">
        <v>146</v>
      </c>
      <c r="BN164" s="100">
        <v>89.0</v>
      </c>
      <c r="BO164" s="102" t="s">
        <v>148</v>
      </c>
      <c r="BP164" s="67" t="s">
        <v>141</v>
      </c>
      <c r="BQ164" s="79" t="s">
        <v>141</v>
      </c>
      <c r="BR164" s="67" t="s">
        <v>149</v>
      </c>
      <c r="BS164" s="102" t="s">
        <v>149</v>
      </c>
      <c r="BT164" s="106">
        <v>46222.0</v>
      </c>
      <c r="BU164" s="107">
        <v>3.0</v>
      </c>
      <c r="BV164" s="108">
        <f t="shared" si="2"/>
        <v>46221</v>
      </c>
      <c r="BW164" s="108">
        <f t="shared" si="9"/>
        <v>46222</v>
      </c>
      <c r="BX164" s="102" t="str">
        <f t="shared" si="4"/>
        <v>09</v>
      </c>
      <c r="BY164" s="107">
        <f t="shared" si="5"/>
        <v>5</v>
      </c>
      <c r="BZ164" s="107">
        <f t="array" ref="BZ164">IF($A164&lt;&gt;"",INDEX(LISTA!$M$2:$N$27,MATCH($BC164,LISTA!$N$2:$N$27,0),1),"")</f>
        <v>1</v>
      </c>
      <c r="CA164" s="67">
        <f t="shared" si="6"/>
        <v>7</v>
      </c>
      <c r="CB164" s="114">
        <f t="shared" si="7"/>
        <v>7</v>
      </c>
      <c r="CC164" s="67">
        <v>5.8143394E7</v>
      </c>
    </row>
    <row r="165" ht="15.0" hidden="1" customHeight="1" outlineLevel="1">
      <c r="A165" s="59">
        <v>46220.70274104166</v>
      </c>
      <c r="B165" s="115" t="s">
        <v>105</v>
      </c>
      <c r="C165" s="54" t="s">
        <v>100</v>
      </c>
      <c r="D165" s="56" t="s">
        <v>319</v>
      </c>
      <c r="E165" s="69">
        <v>46222.458333333336</v>
      </c>
      <c r="F165" s="73" t="s">
        <v>2555</v>
      </c>
      <c r="G165" s="60" t="s">
        <v>2556</v>
      </c>
      <c r="H165" s="60" t="s">
        <v>2557</v>
      </c>
      <c r="I165" s="67" t="s">
        <v>355</v>
      </c>
      <c r="J165" s="79" t="s">
        <v>2558</v>
      </c>
      <c r="K165" s="67" t="s">
        <v>109</v>
      </c>
      <c r="L165" s="79" t="s">
        <v>2559</v>
      </c>
      <c r="M165" s="83" t="s">
        <v>2560</v>
      </c>
      <c r="N165" s="78">
        <v>37627.0</v>
      </c>
      <c r="O165" s="80" t="s">
        <v>27</v>
      </c>
      <c r="P165" s="156" t="s">
        <v>2561</v>
      </c>
      <c r="Q165" s="54"/>
      <c r="R165" s="84"/>
      <c r="S165" s="84"/>
      <c r="T165" s="54" t="s">
        <v>122</v>
      </c>
      <c r="U165" s="86"/>
      <c r="V165" s="54"/>
      <c r="W165" s="86"/>
      <c r="X165" s="54"/>
      <c r="Y165" s="78"/>
      <c r="Z165" s="54"/>
      <c r="AA165" s="70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54" t="s">
        <v>2146</v>
      </c>
      <c r="AR165" s="83" t="s">
        <v>2562</v>
      </c>
      <c r="AS165" s="83" t="s">
        <v>2563</v>
      </c>
      <c r="AT165" s="93" t="s">
        <v>2558</v>
      </c>
      <c r="AU165" s="93" t="s">
        <v>2558</v>
      </c>
      <c r="AV165" s="93" t="s">
        <v>2558</v>
      </c>
      <c r="AW165" s="83" t="s">
        <v>2564</v>
      </c>
      <c r="AX165" s="83">
        <v>1.0</v>
      </c>
      <c r="AY165" s="83" t="s">
        <v>174</v>
      </c>
      <c r="AZ165" s="83" t="s">
        <v>2565</v>
      </c>
      <c r="BA165" s="83" t="s">
        <v>2566</v>
      </c>
      <c r="BB165" s="83" t="s">
        <v>2567</v>
      </c>
      <c r="BC165" s="54" t="s">
        <v>27</v>
      </c>
      <c r="BD165" s="54" t="str">
        <f t="shared" si="1"/>
        <v>Arequipa</v>
      </c>
      <c r="BE165" s="67" t="s">
        <v>140</v>
      </c>
      <c r="BF165" s="67" t="s">
        <v>144</v>
      </c>
      <c r="BG165" s="67" t="s">
        <v>142</v>
      </c>
      <c r="BH165" s="67"/>
      <c r="BI165" s="67"/>
      <c r="BJ165" s="67"/>
      <c r="BK165" s="67"/>
      <c r="BL165" s="67" t="s">
        <v>147</v>
      </c>
      <c r="BM165" s="67" t="s">
        <v>146</v>
      </c>
      <c r="BN165" s="100">
        <v>89.0</v>
      </c>
      <c r="BO165" s="102" t="s">
        <v>148</v>
      </c>
      <c r="BP165" s="67" t="s">
        <v>141</v>
      </c>
      <c r="BQ165" s="79" t="s">
        <v>141</v>
      </c>
      <c r="BR165" s="67">
        <v>1.0</v>
      </c>
      <c r="BS165" s="102" t="s">
        <v>149</v>
      </c>
      <c r="BT165" s="106">
        <v>46222.0</v>
      </c>
      <c r="BU165" s="107">
        <v>4.0</v>
      </c>
      <c r="BV165" s="108">
        <f t="shared" si="2"/>
        <v>46220</v>
      </c>
      <c r="BW165" s="108">
        <f t="shared" si="9"/>
        <v>46222</v>
      </c>
      <c r="BX165" s="102" t="str">
        <f t="shared" si="4"/>
        <v>11</v>
      </c>
      <c r="BY165" s="107">
        <f t="shared" si="5"/>
        <v>5</v>
      </c>
      <c r="BZ165" s="107">
        <f t="array" ref="BZ165">IF($A165&lt;&gt;"",INDEX(LISTA!$M$2:$N$27,MATCH($BC165,LISTA!$N$2:$N$27,0),1),"")</f>
        <v>7</v>
      </c>
      <c r="CA165" s="67">
        <f t="shared" si="6"/>
        <v>7</v>
      </c>
      <c r="CB165" s="114">
        <f t="shared" si="7"/>
        <v>7</v>
      </c>
      <c r="CC165" s="67">
        <v>5.8141078E7</v>
      </c>
    </row>
    <row r="166" ht="15.0" hidden="1" customHeight="1" outlineLevel="1">
      <c r="A166" s="59">
        <v>46207.64539011574</v>
      </c>
      <c r="B166" s="115" t="s">
        <v>105</v>
      </c>
      <c r="C166" s="54" t="s">
        <v>100</v>
      </c>
      <c r="D166" s="56" t="s">
        <v>101</v>
      </c>
      <c r="E166" s="69">
        <v>46223.375</v>
      </c>
      <c r="F166" s="73" t="s">
        <v>2568</v>
      </c>
      <c r="G166" s="60" t="s">
        <v>2569</v>
      </c>
      <c r="H166" s="60" t="s">
        <v>2570</v>
      </c>
      <c r="I166" s="67" t="s">
        <v>192</v>
      </c>
      <c r="J166" s="79" t="s">
        <v>2571</v>
      </c>
      <c r="K166" s="67" t="s">
        <v>109</v>
      </c>
      <c r="L166" s="79" t="s">
        <v>2572</v>
      </c>
      <c r="M166" s="83" t="s">
        <v>2573</v>
      </c>
      <c r="N166" s="78">
        <v>31758.0</v>
      </c>
      <c r="O166" s="80" t="s">
        <v>41</v>
      </c>
      <c r="P166" s="70">
        <v>140133.0</v>
      </c>
      <c r="Q166" s="54"/>
      <c r="R166" s="84"/>
      <c r="S166" s="84"/>
      <c r="T166" s="54"/>
      <c r="U166" s="86"/>
      <c r="V166" s="54"/>
      <c r="W166" s="86"/>
      <c r="X166" s="54"/>
      <c r="Y166" s="78"/>
      <c r="Z166" s="54"/>
      <c r="AA166" s="70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 t="s">
        <v>866</v>
      </c>
      <c r="AO166" s="83"/>
      <c r="AP166" s="83"/>
      <c r="AQ166" s="54" t="s">
        <v>2574</v>
      </c>
      <c r="AR166" s="83" t="s">
        <v>2575</v>
      </c>
      <c r="AS166" s="83" t="s">
        <v>2576</v>
      </c>
      <c r="AT166" s="93" t="s">
        <v>2571</v>
      </c>
      <c r="AU166" s="93" t="s">
        <v>2571</v>
      </c>
      <c r="AV166" s="93" t="s">
        <v>2571</v>
      </c>
      <c r="AW166" s="83" t="s">
        <v>2577</v>
      </c>
      <c r="AX166" s="83">
        <v>1.0</v>
      </c>
      <c r="AY166" s="83" t="s">
        <v>238</v>
      </c>
      <c r="AZ166" s="83" t="s">
        <v>2578</v>
      </c>
      <c r="BA166" s="83" t="s">
        <v>2579</v>
      </c>
      <c r="BB166" s="83" t="s">
        <v>2580</v>
      </c>
      <c r="BC166" s="54" t="s">
        <v>50</v>
      </c>
      <c r="BD166" s="54" t="str">
        <f t="shared" si="1"/>
        <v>Tacna</v>
      </c>
      <c r="BE166" s="67" t="s">
        <v>143</v>
      </c>
      <c r="BF166" s="67" t="s">
        <v>144</v>
      </c>
      <c r="BG166" s="67" t="s">
        <v>142</v>
      </c>
      <c r="BH166" s="67"/>
      <c r="BI166" s="67"/>
      <c r="BJ166" s="67"/>
      <c r="BK166" s="67"/>
      <c r="BL166" s="67" t="s">
        <v>283</v>
      </c>
      <c r="BM166" s="67" t="s">
        <v>146</v>
      </c>
      <c r="BN166" s="100">
        <v>94.0</v>
      </c>
      <c r="BO166" s="102" t="s">
        <v>148</v>
      </c>
      <c r="BP166" s="67" t="s">
        <v>141</v>
      </c>
      <c r="BQ166" s="79" t="s">
        <v>144</v>
      </c>
      <c r="BR166" s="67" t="s">
        <v>149</v>
      </c>
      <c r="BS166" s="102" t="s">
        <v>149</v>
      </c>
      <c r="BT166" s="106">
        <v>46223.0</v>
      </c>
      <c r="BU166" s="107">
        <v>1.0</v>
      </c>
      <c r="BV166" s="108">
        <f t="shared" si="2"/>
        <v>46207</v>
      </c>
      <c r="BW166" s="108">
        <f t="shared" si="9"/>
        <v>46223</v>
      </c>
      <c r="BX166" s="102" t="str">
        <f t="shared" si="4"/>
        <v>09</v>
      </c>
      <c r="BY166" s="107">
        <f t="shared" si="5"/>
        <v>5</v>
      </c>
      <c r="BZ166" s="107">
        <f t="array" ref="BZ166">IF($A166&lt;&gt;"",INDEX(LISTA!$M$2:$N$27,MATCH($BC166,LISTA!$N$2:$N$27,0),1),"")</f>
        <v>24</v>
      </c>
      <c r="CA166" s="67">
        <f t="shared" si="6"/>
        <v>7</v>
      </c>
      <c r="CB166" s="114">
        <f t="shared" si="7"/>
        <v>7</v>
      </c>
      <c r="CC166" s="67">
        <v>5.8052892E7</v>
      </c>
    </row>
    <row r="167" ht="15.0" hidden="1" customHeight="1" outlineLevel="1">
      <c r="A167" s="59">
        <v>46220.652293692125</v>
      </c>
      <c r="B167" s="115" t="s">
        <v>105</v>
      </c>
      <c r="C167" s="54" t="s">
        <v>100</v>
      </c>
      <c r="D167" s="56" t="s">
        <v>319</v>
      </c>
      <c r="E167" s="69">
        <v>46223.375</v>
      </c>
      <c r="F167" s="73"/>
      <c r="G167" s="60" t="s">
        <v>2581</v>
      </c>
      <c r="H167" s="60" t="s">
        <v>2582</v>
      </c>
      <c r="I167" s="67" t="s">
        <v>107</v>
      </c>
      <c r="J167" s="79" t="s">
        <v>2583</v>
      </c>
      <c r="K167" s="67" t="s">
        <v>109</v>
      </c>
      <c r="L167" s="79" t="s">
        <v>2584</v>
      </c>
      <c r="M167" s="83" t="s">
        <v>2585</v>
      </c>
      <c r="N167" s="78">
        <v>33191.0</v>
      </c>
      <c r="O167" s="80" t="s">
        <v>39</v>
      </c>
      <c r="P167" s="70">
        <v>120101.0</v>
      </c>
      <c r="Q167" s="54"/>
      <c r="R167" s="84"/>
      <c r="S167" s="84"/>
      <c r="T167" s="54"/>
      <c r="U167" s="86"/>
      <c r="V167" s="54"/>
      <c r="W167" s="86"/>
      <c r="X167" s="54"/>
      <c r="Y167" s="78"/>
      <c r="Z167" s="54"/>
      <c r="AA167" s="70"/>
      <c r="AB167" s="83"/>
      <c r="AC167" s="83" t="s">
        <v>1690</v>
      </c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54" t="s">
        <v>2586</v>
      </c>
      <c r="AR167" s="83" t="s">
        <v>1165</v>
      </c>
      <c r="AS167" s="83" t="s">
        <v>2587</v>
      </c>
      <c r="AT167" s="93" t="s">
        <v>2583</v>
      </c>
      <c r="AU167" s="93" t="s">
        <v>2588</v>
      </c>
      <c r="AV167" s="93" t="s">
        <v>2588</v>
      </c>
      <c r="AW167" s="83" t="s">
        <v>2589</v>
      </c>
      <c r="AX167" s="83">
        <v>2.0</v>
      </c>
      <c r="AY167" s="83">
        <v>1.0</v>
      </c>
      <c r="AZ167" s="83" t="s">
        <v>2590</v>
      </c>
      <c r="BA167" s="83" t="s">
        <v>2591</v>
      </c>
      <c r="BB167" s="83" t="s">
        <v>2592</v>
      </c>
      <c r="BC167" s="54" t="s">
        <v>39</v>
      </c>
      <c r="BD167" s="54" t="str">
        <f t="shared" si="1"/>
        <v>Trujillo</v>
      </c>
      <c r="BE167" s="67" t="s">
        <v>140</v>
      </c>
      <c r="BF167" s="67" t="s">
        <v>144</v>
      </c>
      <c r="BG167" s="67" t="s">
        <v>142</v>
      </c>
      <c r="BH167" s="67"/>
      <c r="BI167" s="67"/>
      <c r="BJ167" s="67"/>
      <c r="BK167" s="67"/>
      <c r="BL167" s="67" t="s">
        <v>145</v>
      </c>
      <c r="BM167" s="67" t="s">
        <v>146</v>
      </c>
      <c r="BN167" s="100">
        <v>170.0</v>
      </c>
      <c r="BO167" s="102" t="s">
        <v>148</v>
      </c>
      <c r="BP167" s="67" t="s">
        <v>144</v>
      </c>
      <c r="BQ167" s="79" t="s">
        <v>141</v>
      </c>
      <c r="BR167" s="67">
        <v>2.0</v>
      </c>
      <c r="BS167" s="102">
        <v>1.0</v>
      </c>
      <c r="BT167" s="106">
        <v>46223.0</v>
      </c>
      <c r="BU167" s="107">
        <v>2.0</v>
      </c>
      <c r="BV167" s="108">
        <f t="shared" si="2"/>
        <v>46220</v>
      </c>
      <c r="BW167" s="108">
        <f t="shared" si="9"/>
        <v>46223</v>
      </c>
      <c r="BX167" s="102" t="str">
        <f t="shared" si="4"/>
        <v>09</v>
      </c>
      <c r="BY167" s="107">
        <f t="shared" si="5"/>
        <v>5</v>
      </c>
      <c r="BZ167" s="107">
        <f t="array" ref="BZ167">IF($A167&lt;&gt;"",INDEX(LISTA!$M$2:$N$27,MATCH($BC167,LISTA!$N$2:$N$27,0),1),"")</f>
        <v>15</v>
      </c>
      <c r="CA167" s="67">
        <f t="shared" si="6"/>
        <v>7</v>
      </c>
      <c r="CB167" s="114">
        <f t="shared" si="7"/>
        <v>7</v>
      </c>
      <c r="CC167" s="67">
        <v>5.8139358E7</v>
      </c>
    </row>
    <row r="168" ht="15.0" hidden="1" customHeight="1" outlineLevel="1">
      <c r="A168" s="59">
        <v>46221.74953922453</v>
      </c>
      <c r="B168" s="115" t="s">
        <v>105</v>
      </c>
      <c r="C168" s="54" t="s">
        <v>100</v>
      </c>
      <c r="D168" s="56" t="s">
        <v>319</v>
      </c>
      <c r="E168" s="69">
        <v>46223.458333333336</v>
      </c>
      <c r="F168" s="73"/>
      <c r="G168" s="60" t="s">
        <v>2593</v>
      </c>
      <c r="H168" s="60" t="s">
        <v>2594</v>
      </c>
      <c r="I168" s="67" t="s">
        <v>367</v>
      </c>
      <c r="J168" s="79" t="s">
        <v>2595</v>
      </c>
      <c r="K168" s="67" t="s">
        <v>109</v>
      </c>
      <c r="L168" s="79" t="s">
        <v>2596</v>
      </c>
      <c r="M168" s="83" t="s">
        <v>2597</v>
      </c>
      <c r="N168" s="78">
        <v>37312.0</v>
      </c>
      <c r="O168" s="80" t="s">
        <v>41</v>
      </c>
      <c r="P168" s="70">
        <v>150114.0</v>
      </c>
      <c r="Q168" s="54"/>
      <c r="R168" s="84"/>
      <c r="S168" s="84"/>
      <c r="T168" s="54"/>
      <c r="U168" s="86"/>
      <c r="V168" s="54"/>
      <c r="W168" s="86"/>
      <c r="X168" s="54"/>
      <c r="Y168" s="78"/>
      <c r="Z168" s="54"/>
      <c r="AA168" s="70"/>
      <c r="AB168" s="83"/>
      <c r="AC168" s="83"/>
      <c r="AD168" s="83"/>
      <c r="AE168" s="83"/>
      <c r="AF168" s="83" t="s">
        <v>2598</v>
      </c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54" t="s">
        <v>1640</v>
      </c>
      <c r="AR168" s="83" t="s">
        <v>2599</v>
      </c>
      <c r="AS168" s="83" t="s">
        <v>2600</v>
      </c>
      <c r="AT168" s="93" t="s">
        <v>2595</v>
      </c>
      <c r="AU168" s="93" t="s">
        <v>2595</v>
      </c>
      <c r="AV168" s="93" t="s">
        <v>2595</v>
      </c>
      <c r="AW168" s="83" t="s">
        <v>2601</v>
      </c>
      <c r="AX168" s="83">
        <v>2.0</v>
      </c>
      <c r="AY168" s="83" t="s">
        <v>1767</v>
      </c>
      <c r="AZ168" s="83" t="s">
        <v>2602</v>
      </c>
      <c r="BA168" s="83" t="s">
        <v>2603</v>
      </c>
      <c r="BB168" s="83" t="s">
        <v>2604</v>
      </c>
      <c r="BC168" s="54" t="s">
        <v>41</v>
      </c>
      <c r="BD168" s="54" t="str">
        <f t="shared" si="1"/>
        <v>La Molina</v>
      </c>
      <c r="BE168" s="67" t="s">
        <v>140</v>
      </c>
      <c r="BF168" s="67" t="s">
        <v>144</v>
      </c>
      <c r="BG168" s="67" t="s">
        <v>142</v>
      </c>
      <c r="BH168" s="67"/>
      <c r="BI168" s="67"/>
      <c r="BJ168" s="67"/>
      <c r="BK168" s="67"/>
      <c r="BL168" s="67" t="s">
        <v>147</v>
      </c>
      <c r="BM168" s="67" t="s">
        <v>146</v>
      </c>
      <c r="BN168" s="100">
        <v>89.0</v>
      </c>
      <c r="BO168" s="102" t="s">
        <v>148</v>
      </c>
      <c r="BP168" s="67" t="s">
        <v>141</v>
      </c>
      <c r="BQ168" s="79" t="s">
        <v>141</v>
      </c>
      <c r="BR168" s="67" t="s">
        <v>149</v>
      </c>
      <c r="BS168" s="102">
        <v>2.0</v>
      </c>
      <c r="BT168" s="106">
        <v>46223.0</v>
      </c>
      <c r="BU168" s="107">
        <v>3.0</v>
      </c>
      <c r="BV168" s="108">
        <f t="shared" si="2"/>
        <v>46221</v>
      </c>
      <c r="BW168" s="108">
        <f t="shared" si="9"/>
        <v>46223</v>
      </c>
      <c r="BX168" s="102" t="str">
        <f t="shared" si="4"/>
        <v>11</v>
      </c>
      <c r="BY168" s="107">
        <f t="shared" si="5"/>
        <v>5</v>
      </c>
      <c r="BZ168" s="107">
        <f t="array" ref="BZ168">IF($A168&lt;&gt;"",INDEX(LISTA!$M$2:$N$27,MATCH($BC168,LISTA!$N$2:$N$27,0),1),"")</f>
        <v>1</v>
      </c>
      <c r="CA168" s="67">
        <f t="shared" si="6"/>
        <v>7</v>
      </c>
      <c r="CB168" s="114">
        <f t="shared" si="7"/>
        <v>7</v>
      </c>
      <c r="CC168" s="67">
        <v>5.8146804E7</v>
      </c>
    </row>
    <row r="169" ht="15.0" hidden="1" customHeight="1" outlineLevel="1">
      <c r="A169" s="59">
        <v>46219.448919375005</v>
      </c>
      <c r="B169" s="115" t="s">
        <v>105</v>
      </c>
      <c r="C169" s="54" t="s">
        <v>100</v>
      </c>
      <c r="D169" s="56" t="s">
        <v>101</v>
      </c>
      <c r="E169" s="69">
        <v>46223.666666666664</v>
      </c>
      <c r="F169" s="73"/>
      <c r="G169" s="60" t="s">
        <v>2605</v>
      </c>
      <c r="H169" s="60" t="s">
        <v>2606</v>
      </c>
      <c r="I169" s="67" t="s">
        <v>369</v>
      </c>
      <c r="J169" s="79" t="s">
        <v>2607</v>
      </c>
      <c r="K169" s="67" t="s">
        <v>109</v>
      </c>
      <c r="L169" s="79" t="s">
        <v>2608</v>
      </c>
      <c r="M169" s="83" t="s">
        <v>2609</v>
      </c>
      <c r="N169" s="78">
        <v>35304.0</v>
      </c>
      <c r="O169" s="80" t="s">
        <v>37</v>
      </c>
      <c r="P169" s="70">
        <v>140101.0</v>
      </c>
      <c r="Q169" s="54"/>
      <c r="R169" s="84"/>
      <c r="S169" s="84"/>
      <c r="T169" s="54"/>
      <c r="U169" s="86"/>
      <c r="V169" s="54"/>
      <c r="W169" s="86"/>
      <c r="X169" s="54"/>
      <c r="Y169" s="78"/>
      <c r="Z169" s="54"/>
      <c r="AA169" s="70"/>
      <c r="AB169" s="83"/>
      <c r="AC169" s="83"/>
      <c r="AD169" s="83"/>
      <c r="AE169" s="83"/>
      <c r="AF169" s="83" t="s">
        <v>972</v>
      </c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54" t="s">
        <v>2610</v>
      </c>
      <c r="AR169" s="83" t="s">
        <v>2611</v>
      </c>
      <c r="AS169" s="83" t="s">
        <v>2612</v>
      </c>
      <c r="AT169" s="93" t="s">
        <v>2607</v>
      </c>
      <c r="AU169" s="93" t="s">
        <v>2607</v>
      </c>
      <c r="AV169" s="93" t="s">
        <v>2607</v>
      </c>
      <c r="AW169" s="83" t="s">
        <v>2613</v>
      </c>
      <c r="AX169" s="83">
        <v>1.0</v>
      </c>
      <c r="AY169" s="83" t="s">
        <v>1767</v>
      </c>
      <c r="AZ169" s="83" t="s">
        <v>2614</v>
      </c>
      <c r="BA169" s="83" t="s">
        <v>2615</v>
      </c>
      <c r="BB169" s="83" t="s">
        <v>2616</v>
      </c>
      <c r="BC169" s="54" t="s">
        <v>41</v>
      </c>
      <c r="BD169" s="54" t="str">
        <f t="shared" si="1"/>
        <v>San Juan de Lurigancho</v>
      </c>
      <c r="BE169" s="67" t="s">
        <v>140</v>
      </c>
      <c r="BF169" s="67" t="s">
        <v>144</v>
      </c>
      <c r="BG169" s="67" t="s">
        <v>142</v>
      </c>
      <c r="BH169" s="67"/>
      <c r="BI169" s="67"/>
      <c r="BJ169" s="67"/>
      <c r="BK169" s="67"/>
      <c r="BL169" s="67" t="s">
        <v>283</v>
      </c>
      <c r="BM169" s="67" t="s">
        <v>146</v>
      </c>
      <c r="BN169" s="100">
        <v>94.0</v>
      </c>
      <c r="BO169" s="102" t="s">
        <v>148</v>
      </c>
      <c r="BP169" s="67" t="s">
        <v>141</v>
      </c>
      <c r="BQ169" s="79" t="s">
        <v>141</v>
      </c>
      <c r="BR169" s="67" t="s">
        <v>149</v>
      </c>
      <c r="BS169" s="102" t="s">
        <v>149</v>
      </c>
      <c r="BT169" s="106">
        <v>46223.0</v>
      </c>
      <c r="BU169" s="107">
        <v>4.0</v>
      </c>
      <c r="BV169" s="108">
        <f t="shared" si="2"/>
        <v>46219</v>
      </c>
      <c r="BW169" s="108">
        <v>46223.0</v>
      </c>
      <c r="BX169" s="102">
        <v>16.0</v>
      </c>
      <c r="BY169" s="107">
        <f t="shared" si="5"/>
        <v>5</v>
      </c>
      <c r="BZ169" s="107">
        <f t="array" ref="BZ169">IF($A169&lt;&gt;"",INDEX(LISTA!$M$2:$N$27,MATCH($BC169,LISTA!$N$2:$N$27,0),1),"")</f>
        <v>1</v>
      </c>
      <c r="CA169" s="67">
        <f t="shared" si="6"/>
        <v>7</v>
      </c>
      <c r="CB169" s="114">
        <f t="shared" si="7"/>
        <v>7</v>
      </c>
      <c r="CC169" s="67">
        <v>5.8143045E7</v>
      </c>
    </row>
    <row r="170" ht="15.0" hidden="1" customHeight="1" outlineLevel="1">
      <c r="A170" s="59">
        <v>46223.4967937037</v>
      </c>
      <c r="B170" s="115" t="s">
        <v>105</v>
      </c>
      <c r="C170" s="54" t="s">
        <v>100</v>
      </c>
      <c r="D170" s="56" t="s">
        <v>101</v>
      </c>
      <c r="E170" s="69">
        <v>46225.583333333336</v>
      </c>
      <c r="F170" s="73"/>
      <c r="G170" s="60" t="s">
        <v>2617</v>
      </c>
      <c r="H170" s="60" t="s">
        <v>2618</v>
      </c>
      <c r="I170" s="67" t="s">
        <v>293</v>
      </c>
      <c r="J170" s="79" t="s">
        <v>2619</v>
      </c>
      <c r="K170" s="67" t="s">
        <v>109</v>
      </c>
      <c r="L170" s="79" t="s">
        <v>2620</v>
      </c>
      <c r="M170" s="83" t="s">
        <v>2621</v>
      </c>
      <c r="N170" s="78">
        <v>30872.0</v>
      </c>
      <c r="O170" s="80" t="s">
        <v>45</v>
      </c>
      <c r="P170" s="70">
        <v>180101.0</v>
      </c>
      <c r="Q170" s="54"/>
      <c r="R170" s="84"/>
      <c r="S170" s="84"/>
      <c r="T170" s="54"/>
      <c r="U170" s="86"/>
      <c r="V170" s="54"/>
      <c r="W170" s="86"/>
      <c r="X170" s="54"/>
      <c r="Y170" s="78"/>
      <c r="Z170" s="54"/>
      <c r="AA170" s="70"/>
      <c r="AB170" s="83"/>
      <c r="AC170" s="83"/>
      <c r="AD170" s="83"/>
      <c r="AE170" s="83"/>
      <c r="AF170" s="83" t="s">
        <v>2284</v>
      </c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54" t="s">
        <v>716</v>
      </c>
      <c r="AR170" s="83" t="s">
        <v>1165</v>
      </c>
      <c r="AS170" s="83" t="s">
        <v>2622</v>
      </c>
      <c r="AT170" s="93" t="s">
        <v>2619</v>
      </c>
      <c r="AU170" s="93" t="s">
        <v>2619</v>
      </c>
      <c r="AV170" s="93" t="s">
        <v>2619</v>
      </c>
      <c r="AW170" s="83" t="s">
        <v>2623</v>
      </c>
      <c r="AX170" s="83">
        <v>1.0</v>
      </c>
      <c r="AY170" s="83">
        <v>0.0</v>
      </c>
      <c r="AZ170" s="83" t="s">
        <v>2624</v>
      </c>
      <c r="BA170" s="83" t="s">
        <v>2625</v>
      </c>
      <c r="BB170" s="83" t="s">
        <v>2626</v>
      </c>
      <c r="BC170" s="54" t="s">
        <v>41</v>
      </c>
      <c r="BD170" s="54" t="str">
        <f t="shared" si="1"/>
        <v>Chorrillos</v>
      </c>
      <c r="BE170" s="67" t="s">
        <v>140</v>
      </c>
      <c r="BF170" s="67" t="s">
        <v>141</v>
      </c>
      <c r="BG170" s="67" t="s">
        <v>142</v>
      </c>
      <c r="BH170" s="67"/>
      <c r="BI170" s="67"/>
      <c r="BJ170" s="67"/>
      <c r="BK170" s="67"/>
      <c r="BL170" s="67" t="s">
        <v>283</v>
      </c>
      <c r="BM170" s="67" t="s">
        <v>146</v>
      </c>
      <c r="BN170" s="100">
        <v>94.0</v>
      </c>
      <c r="BO170" s="102" t="s">
        <v>148</v>
      </c>
      <c r="BP170" s="67" t="s">
        <v>141</v>
      </c>
      <c r="BQ170" s="79" t="s">
        <v>144</v>
      </c>
      <c r="BR170" s="67" t="s">
        <v>149</v>
      </c>
      <c r="BS170" s="102">
        <v>1.0</v>
      </c>
      <c r="BT170" s="106">
        <v>46223.0</v>
      </c>
      <c r="BU170" s="107">
        <v>5.0</v>
      </c>
      <c r="BV170" s="108">
        <f t="shared" si="2"/>
        <v>46223</v>
      </c>
      <c r="BW170" s="108">
        <f t="shared" ref="BW170:BW185" si="10">IF($E170&lt;&gt;"",DATE(YEAR($E170),MONTH($E170),DAY($E170)),"")</f>
        <v>46225</v>
      </c>
      <c r="BX170" s="102" t="str">
        <f t="shared" ref="BX170:BX185" si="11">IF($E170&lt;&gt;"",TEXT($E170,"HH"),"")</f>
        <v>14</v>
      </c>
      <c r="BY170" s="107">
        <f t="shared" si="5"/>
        <v>5</v>
      </c>
      <c r="BZ170" s="107">
        <f t="array" ref="BZ170">IF($A170&lt;&gt;"",INDEX(LISTA!$M$2:$N$27,MATCH($BC170,LISTA!$N$2:$N$27,0),1),"")</f>
        <v>1</v>
      </c>
      <c r="CA170" s="67">
        <f t="shared" si="6"/>
        <v>7</v>
      </c>
      <c r="CB170" s="114">
        <f t="shared" si="7"/>
        <v>7</v>
      </c>
      <c r="CC170" s="67">
        <v>5.815271E7</v>
      </c>
    </row>
    <row r="171" ht="15.0" hidden="1" customHeight="1" outlineLevel="1">
      <c r="A171" s="59">
        <v>46221.63417472222</v>
      </c>
      <c r="B171" s="115" t="s">
        <v>105</v>
      </c>
      <c r="C171" s="54" t="s">
        <v>100</v>
      </c>
      <c r="D171" s="56" t="s">
        <v>319</v>
      </c>
      <c r="E171" s="69">
        <v>46223.458333333336</v>
      </c>
      <c r="F171" s="73" t="s">
        <v>2627</v>
      </c>
      <c r="G171" s="60" t="s">
        <v>2628</v>
      </c>
      <c r="H171" s="60" t="s">
        <v>2629</v>
      </c>
      <c r="I171" s="67" t="s">
        <v>350</v>
      </c>
      <c r="J171" s="79" t="s">
        <v>2630</v>
      </c>
      <c r="K171" s="67" t="s">
        <v>1151</v>
      </c>
      <c r="L171" s="79" t="s">
        <v>2631</v>
      </c>
      <c r="M171" s="54" t="s">
        <v>2632</v>
      </c>
      <c r="N171" s="78">
        <v>24461.0</v>
      </c>
      <c r="O171" s="80" t="s">
        <v>27</v>
      </c>
      <c r="P171" s="156" t="s">
        <v>1703</v>
      </c>
      <c r="Q171" s="54"/>
      <c r="R171" s="84"/>
      <c r="S171" s="84"/>
      <c r="T171" s="54"/>
      <c r="U171" s="86"/>
      <c r="V171" s="54"/>
      <c r="W171" s="86"/>
      <c r="X171" s="54"/>
      <c r="Y171" s="78"/>
      <c r="Z171" s="54"/>
      <c r="AA171" s="70"/>
      <c r="AB171" s="83"/>
      <c r="AC171" s="83"/>
      <c r="AD171" s="83"/>
      <c r="AE171" s="83"/>
      <c r="AF171" s="83" t="s">
        <v>198</v>
      </c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54" t="s">
        <v>716</v>
      </c>
      <c r="AR171" s="83" t="s">
        <v>2527</v>
      </c>
      <c r="AS171" s="83" t="s">
        <v>2633</v>
      </c>
      <c r="AT171" s="93" t="s">
        <v>2630</v>
      </c>
      <c r="AU171" s="93" t="s">
        <v>2630</v>
      </c>
      <c r="AV171" s="93" t="s">
        <v>2630</v>
      </c>
      <c r="AW171" s="83" t="s">
        <v>2634</v>
      </c>
      <c r="AX171" s="83">
        <v>1.0</v>
      </c>
      <c r="AY171" s="83">
        <v>103.0</v>
      </c>
      <c r="AZ171" s="83" t="s">
        <v>2635</v>
      </c>
      <c r="BA171" s="83" t="s">
        <v>2636</v>
      </c>
      <c r="BB171" s="83" t="s">
        <v>2637</v>
      </c>
      <c r="BC171" s="54" t="s">
        <v>41</v>
      </c>
      <c r="BD171" s="54" t="str">
        <f t="shared" si="1"/>
        <v>Miraflores</v>
      </c>
      <c r="BE171" s="67" t="s">
        <v>140</v>
      </c>
      <c r="BF171" s="67" t="s">
        <v>144</v>
      </c>
      <c r="BG171" s="67" t="s">
        <v>142</v>
      </c>
      <c r="BH171" s="67"/>
      <c r="BI171" s="67"/>
      <c r="BJ171" s="67"/>
      <c r="BK171" s="67"/>
      <c r="BL171" s="67" t="s">
        <v>147</v>
      </c>
      <c r="BM171" s="67" t="s">
        <v>146</v>
      </c>
      <c r="BN171" s="100">
        <v>89.0</v>
      </c>
      <c r="BO171" s="102" t="s">
        <v>148</v>
      </c>
      <c r="BP171" s="67" t="s">
        <v>141</v>
      </c>
      <c r="BQ171" s="79" t="s">
        <v>141</v>
      </c>
      <c r="BR171" s="67" t="s">
        <v>149</v>
      </c>
      <c r="BS171" s="102" t="s">
        <v>149</v>
      </c>
      <c r="BT171" s="106">
        <v>46223.0</v>
      </c>
      <c r="BU171" s="107">
        <v>6.0</v>
      </c>
      <c r="BV171" s="108">
        <f t="shared" si="2"/>
        <v>46221</v>
      </c>
      <c r="BW171" s="108">
        <f t="shared" si="10"/>
        <v>46223</v>
      </c>
      <c r="BX171" s="102" t="str">
        <f t="shared" si="11"/>
        <v>11</v>
      </c>
      <c r="BY171" s="107">
        <f t="shared" si="5"/>
        <v>5</v>
      </c>
      <c r="BZ171" s="107">
        <f t="array" ref="BZ171">IF($A171&lt;&gt;"",INDEX(LISTA!$M$2:$N$27,MATCH($BC171,LISTA!$N$2:$N$27,0),1),"")</f>
        <v>1</v>
      </c>
      <c r="CA171" s="67">
        <f t="shared" si="6"/>
        <v>7</v>
      </c>
      <c r="CB171" s="114">
        <f t="shared" si="7"/>
        <v>7</v>
      </c>
      <c r="CC171" s="114"/>
    </row>
    <row r="172" ht="15.0" hidden="1" customHeight="1" outlineLevel="1">
      <c r="A172" s="59">
        <v>46220.63474282407</v>
      </c>
      <c r="B172" s="115" t="s">
        <v>105</v>
      </c>
      <c r="C172" s="54" t="s">
        <v>100</v>
      </c>
      <c r="D172" s="56" t="s">
        <v>319</v>
      </c>
      <c r="E172" s="69">
        <v>46224.458333333336</v>
      </c>
      <c r="F172" s="73" t="s">
        <v>103</v>
      </c>
      <c r="G172" s="60" t="s">
        <v>2638</v>
      </c>
      <c r="H172" s="60" t="s">
        <v>2639</v>
      </c>
      <c r="I172" s="67" t="s">
        <v>355</v>
      </c>
      <c r="J172" s="79" t="s">
        <v>2640</v>
      </c>
      <c r="K172" s="67" t="s">
        <v>109</v>
      </c>
      <c r="L172" s="79" t="s">
        <v>2641</v>
      </c>
      <c r="M172" s="83" t="s">
        <v>2642</v>
      </c>
      <c r="N172" s="78">
        <v>27067.0</v>
      </c>
      <c r="O172" s="80" t="s">
        <v>32</v>
      </c>
      <c r="P172" s="156" t="s">
        <v>1587</v>
      </c>
      <c r="Q172" s="54"/>
      <c r="R172" s="84"/>
      <c r="S172" s="84"/>
      <c r="T172" s="54"/>
      <c r="U172" s="86"/>
      <c r="V172" s="54"/>
      <c r="W172" s="86"/>
      <c r="X172" s="54"/>
      <c r="Y172" s="78"/>
      <c r="Z172" s="54"/>
      <c r="AA172" s="70"/>
      <c r="AB172" s="83"/>
      <c r="AC172" s="83"/>
      <c r="AD172" s="83"/>
      <c r="AE172" s="83" t="s">
        <v>2060</v>
      </c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54" t="s">
        <v>2643</v>
      </c>
      <c r="AR172" s="83" t="s">
        <v>2644</v>
      </c>
      <c r="AS172" s="83" t="s">
        <v>2645</v>
      </c>
      <c r="AT172" s="93" t="s">
        <v>2640</v>
      </c>
      <c r="AU172" s="93" t="s">
        <v>2640</v>
      </c>
      <c r="AV172" s="93" t="s">
        <v>2640</v>
      </c>
      <c r="AW172" s="83" t="s">
        <v>2646</v>
      </c>
      <c r="AX172" s="83">
        <v>1.0</v>
      </c>
      <c r="AY172" s="83" t="s">
        <v>174</v>
      </c>
      <c r="AZ172" s="83" t="s">
        <v>2647</v>
      </c>
      <c r="BA172" s="161" t="s">
        <v>2648</v>
      </c>
      <c r="BB172" s="83" t="s">
        <v>2649</v>
      </c>
      <c r="BC172" s="54" t="s">
        <v>37</v>
      </c>
      <c r="BD172" s="54" t="str">
        <f t="shared" si="1"/>
        <v>Huaral</v>
      </c>
      <c r="BE172" s="67" t="s">
        <v>140</v>
      </c>
      <c r="BF172" s="67" t="s">
        <v>141</v>
      </c>
      <c r="BG172" s="67" t="s">
        <v>142</v>
      </c>
      <c r="BH172" s="67"/>
      <c r="BI172" s="67"/>
      <c r="BJ172" s="67"/>
      <c r="BK172" s="67"/>
      <c r="BL172" s="67" t="s">
        <v>283</v>
      </c>
      <c r="BM172" s="67" t="s">
        <v>146</v>
      </c>
      <c r="BN172" s="100">
        <v>94.0</v>
      </c>
      <c r="BO172" s="102" t="s">
        <v>148</v>
      </c>
      <c r="BP172" s="67" t="s">
        <v>141</v>
      </c>
      <c r="BQ172" s="79" t="s">
        <v>144</v>
      </c>
      <c r="BR172" s="67" t="s">
        <v>149</v>
      </c>
      <c r="BS172" s="102">
        <v>1.0</v>
      </c>
      <c r="BT172" s="106">
        <v>46224.0</v>
      </c>
      <c r="BU172" s="107">
        <v>1.0</v>
      </c>
      <c r="BV172" s="108">
        <f t="shared" si="2"/>
        <v>46220</v>
      </c>
      <c r="BW172" s="108">
        <f t="shared" si="10"/>
        <v>46224</v>
      </c>
      <c r="BX172" s="102" t="str">
        <f t="shared" si="11"/>
        <v>11</v>
      </c>
      <c r="BY172" s="107">
        <f t="shared" si="5"/>
        <v>5</v>
      </c>
      <c r="BZ172" s="107">
        <f t="array" ref="BZ172">IF($A172&lt;&gt;"",INDEX(LISTA!$M$2:$N$27,MATCH($BC172,LISTA!$N$2:$N$27,0),1),"")</f>
        <v>3</v>
      </c>
      <c r="CA172" s="67">
        <f t="shared" si="6"/>
        <v>7</v>
      </c>
      <c r="CB172" s="114">
        <f t="shared" si="7"/>
        <v>7</v>
      </c>
      <c r="CC172" s="67">
        <v>5.8154092E7</v>
      </c>
    </row>
    <row r="173" ht="15.0" hidden="1" customHeight="1" outlineLevel="1">
      <c r="A173" s="59">
        <v>46223.45862252315</v>
      </c>
      <c r="B173" s="115" t="s">
        <v>105</v>
      </c>
      <c r="C173" s="54" t="s">
        <v>100</v>
      </c>
      <c r="D173" s="56" t="s">
        <v>101</v>
      </c>
      <c r="E173" s="69">
        <v>46224.583333333336</v>
      </c>
      <c r="F173" s="73"/>
      <c r="G173" s="60" t="s">
        <v>2650</v>
      </c>
      <c r="H173" s="60" t="s">
        <v>2651</v>
      </c>
      <c r="I173" s="67" t="s">
        <v>363</v>
      </c>
      <c r="J173" s="79" t="s">
        <v>2652</v>
      </c>
      <c r="K173" s="67" t="s">
        <v>109</v>
      </c>
      <c r="L173" s="79" t="s">
        <v>2653</v>
      </c>
      <c r="M173" s="83" t="s">
        <v>2654</v>
      </c>
      <c r="N173" s="78">
        <v>28033.0</v>
      </c>
      <c r="O173" s="80" t="s">
        <v>37</v>
      </c>
      <c r="P173" s="70">
        <v>150101.0</v>
      </c>
      <c r="Q173" s="54"/>
      <c r="R173" s="84"/>
      <c r="S173" s="84"/>
      <c r="T173" s="54"/>
      <c r="U173" s="86"/>
      <c r="V173" s="54"/>
      <c r="W173" s="86"/>
      <c r="X173" s="54"/>
      <c r="Y173" s="78"/>
      <c r="Z173" s="54"/>
      <c r="AA173" s="70"/>
      <c r="AB173" s="83"/>
      <c r="AC173" s="83"/>
      <c r="AD173" s="83"/>
      <c r="AE173" s="83"/>
      <c r="AF173" s="83" t="s">
        <v>1603</v>
      </c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54" t="s">
        <v>2655</v>
      </c>
      <c r="AR173" s="83" t="s">
        <v>2656</v>
      </c>
      <c r="AS173" s="83" t="s">
        <v>2657</v>
      </c>
      <c r="AT173" s="93" t="s">
        <v>2658</v>
      </c>
      <c r="AU173" s="93" t="s">
        <v>2658</v>
      </c>
      <c r="AV173" s="93" t="s">
        <v>2658</v>
      </c>
      <c r="AW173" s="83" t="s">
        <v>2659</v>
      </c>
      <c r="AX173" s="83">
        <v>1.0</v>
      </c>
      <c r="AY173" s="83">
        <v>0.0</v>
      </c>
      <c r="AZ173" s="83" t="s">
        <v>2660</v>
      </c>
      <c r="BA173" s="83" t="s">
        <v>2661</v>
      </c>
      <c r="BB173" s="83" t="s">
        <v>2662</v>
      </c>
      <c r="BC173" s="54" t="s">
        <v>41</v>
      </c>
      <c r="BD173" s="54" t="str">
        <f t="shared" si="1"/>
        <v>Santa Anita</v>
      </c>
      <c r="BE173" s="67" t="s">
        <v>143</v>
      </c>
      <c r="BF173" s="67" t="s">
        <v>144</v>
      </c>
      <c r="BG173" s="67" t="s">
        <v>142</v>
      </c>
      <c r="BH173" s="67"/>
      <c r="BI173" s="67"/>
      <c r="BJ173" s="67"/>
      <c r="BK173" s="67"/>
      <c r="BL173" s="67" t="s">
        <v>145</v>
      </c>
      <c r="BM173" s="67" t="s">
        <v>146</v>
      </c>
      <c r="BN173" s="100">
        <v>150.0</v>
      </c>
      <c r="BO173" s="102" t="s">
        <v>615</v>
      </c>
      <c r="BP173" s="67" t="s">
        <v>144</v>
      </c>
      <c r="BQ173" s="79" t="s">
        <v>141</v>
      </c>
      <c r="BR173" s="67" t="s">
        <v>149</v>
      </c>
      <c r="BS173" s="102" t="s">
        <v>149</v>
      </c>
      <c r="BT173" s="106">
        <v>46224.0</v>
      </c>
      <c r="BU173" s="107">
        <v>2.0</v>
      </c>
      <c r="BV173" s="108">
        <f t="shared" si="2"/>
        <v>46223</v>
      </c>
      <c r="BW173" s="108">
        <f t="shared" si="10"/>
        <v>46224</v>
      </c>
      <c r="BX173" s="102" t="str">
        <f t="shared" si="11"/>
        <v>14</v>
      </c>
      <c r="BY173" s="107">
        <f t="shared" si="5"/>
        <v>5</v>
      </c>
      <c r="BZ173" s="107">
        <f t="array" ref="BZ173">IF($A173&lt;&gt;"",INDEX(LISTA!$M$2:$N$27,MATCH($BC173,LISTA!$N$2:$N$27,0),1),"")</f>
        <v>1</v>
      </c>
      <c r="CA173" s="67">
        <f t="shared" si="6"/>
        <v>7</v>
      </c>
      <c r="CB173" s="114">
        <f t="shared" si="7"/>
        <v>7</v>
      </c>
      <c r="CC173" s="67">
        <v>5.8152226E7</v>
      </c>
    </row>
    <row r="174" ht="15.0" hidden="1" customHeight="1" outlineLevel="1">
      <c r="A174" s="59">
        <v>46224.70131114584</v>
      </c>
      <c r="B174" s="115" t="s">
        <v>105</v>
      </c>
      <c r="C174" s="54" t="s">
        <v>100</v>
      </c>
      <c r="D174" s="56" t="s">
        <v>319</v>
      </c>
      <c r="E174" s="69">
        <v>46225.458333333336</v>
      </c>
      <c r="F174" s="73"/>
      <c r="G174" s="60" t="s">
        <v>2663</v>
      </c>
      <c r="H174" s="60" t="s">
        <v>2664</v>
      </c>
      <c r="I174" s="67" t="s">
        <v>374</v>
      </c>
      <c r="J174" s="79" t="s">
        <v>2665</v>
      </c>
      <c r="K174" s="67" t="s">
        <v>109</v>
      </c>
      <c r="L174" s="79" t="s">
        <v>2666</v>
      </c>
      <c r="M174" s="83" t="s">
        <v>2667</v>
      </c>
      <c r="N174" s="78">
        <v>19320.0</v>
      </c>
      <c r="O174" s="80" t="s">
        <v>48</v>
      </c>
      <c r="P174" s="156" t="s">
        <v>2668</v>
      </c>
      <c r="Q174" s="54"/>
      <c r="R174" s="84"/>
      <c r="S174" s="84"/>
      <c r="T174" s="54"/>
      <c r="U174" s="86"/>
      <c r="V174" s="54"/>
      <c r="W174" s="86"/>
      <c r="X174" s="54"/>
      <c r="Y174" s="78"/>
      <c r="Z174" s="54"/>
      <c r="AA174" s="70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 t="s">
        <v>2669</v>
      </c>
      <c r="AM174" s="83"/>
      <c r="AN174" s="83"/>
      <c r="AO174" s="83"/>
      <c r="AP174" s="83"/>
      <c r="AQ174" s="54" t="s">
        <v>2670</v>
      </c>
      <c r="AR174" s="83" t="s">
        <v>2671</v>
      </c>
      <c r="AS174" s="83" t="s">
        <v>2672</v>
      </c>
      <c r="AT174" s="93" t="s">
        <v>2673</v>
      </c>
      <c r="AU174" s="93" t="s">
        <v>2673</v>
      </c>
      <c r="AV174" s="93" t="s">
        <v>2674</v>
      </c>
      <c r="AW174" s="83" t="s">
        <v>2675</v>
      </c>
      <c r="AX174" s="83">
        <v>3.0</v>
      </c>
      <c r="AY174" s="83">
        <v>1.0</v>
      </c>
      <c r="AZ174" s="83" t="s">
        <v>2676</v>
      </c>
      <c r="BA174" s="83" t="s">
        <v>2677</v>
      </c>
      <c r="BB174" s="83" t="s">
        <v>2678</v>
      </c>
      <c r="BC174" s="54" t="s">
        <v>48</v>
      </c>
      <c r="BD174" s="54" t="str">
        <f t="shared" si="1"/>
        <v>Puno</v>
      </c>
      <c r="BE174" s="67" t="s">
        <v>143</v>
      </c>
      <c r="BF174" s="67" t="s">
        <v>141</v>
      </c>
      <c r="BG174" s="67" t="s">
        <v>142</v>
      </c>
      <c r="BH174" s="67"/>
      <c r="BI174" s="67"/>
      <c r="BJ174" s="67"/>
      <c r="BK174" s="67"/>
      <c r="BL174" s="67" t="s">
        <v>147</v>
      </c>
      <c r="BM174" s="67" t="s">
        <v>146</v>
      </c>
      <c r="BN174" s="100">
        <v>89.0</v>
      </c>
      <c r="BO174" s="102" t="s">
        <v>148</v>
      </c>
      <c r="BP174" s="67" t="s">
        <v>141</v>
      </c>
      <c r="BQ174" s="79" t="s">
        <v>141</v>
      </c>
      <c r="BR174" s="67" t="s">
        <v>149</v>
      </c>
      <c r="BS174" s="102" t="s">
        <v>149</v>
      </c>
      <c r="BT174" s="106">
        <v>46225.0</v>
      </c>
      <c r="BU174" s="107">
        <v>1.0</v>
      </c>
      <c r="BV174" s="108">
        <f t="shared" si="2"/>
        <v>46224</v>
      </c>
      <c r="BW174" s="108">
        <f t="shared" si="10"/>
        <v>46225</v>
      </c>
      <c r="BX174" s="102" t="str">
        <f t="shared" si="11"/>
        <v>11</v>
      </c>
      <c r="BY174" s="107">
        <f t="shared" si="5"/>
        <v>5</v>
      </c>
      <c r="BZ174" s="107">
        <f t="array" ref="BZ174">IF($A174&lt;&gt;"",INDEX(LISTA!$M$2:$N$27,MATCH($BC174,LISTA!$N$2:$N$27,0),1),"")</f>
        <v>22</v>
      </c>
      <c r="CA174" s="67">
        <f t="shared" si="6"/>
        <v>7</v>
      </c>
      <c r="CB174" s="114">
        <f t="shared" si="7"/>
        <v>7</v>
      </c>
      <c r="CC174" s="67">
        <v>5.8163452E7</v>
      </c>
    </row>
    <row r="175" ht="15.0" hidden="1" customHeight="1" outlineLevel="1">
      <c r="A175" s="59">
        <v>46224.40507570602</v>
      </c>
      <c r="B175" s="115" t="s">
        <v>105</v>
      </c>
      <c r="C175" s="54" t="s">
        <v>100</v>
      </c>
      <c r="D175" s="56" t="s">
        <v>101</v>
      </c>
      <c r="E175" s="69">
        <v>46225.458333333336</v>
      </c>
      <c r="F175" s="73" t="s">
        <v>2679</v>
      </c>
      <c r="G175" s="60" t="s">
        <v>2680</v>
      </c>
      <c r="H175" s="60" t="s">
        <v>2681</v>
      </c>
      <c r="I175" s="67" t="s">
        <v>363</v>
      </c>
      <c r="J175" s="79" t="s">
        <v>2682</v>
      </c>
      <c r="K175" s="67" t="s">
        <v>109</v>
      </c>
      <c r="L175" s="79" t="s">
        <v>2683</v>
      </c>
      <c r="M175" s="83" t="s">
        <v>2684</v>
      </c>
      <c r="N175" s="78">
        <v>38287.0</v>
      </c>
      <c r="O175" s="80" t="s">
        <v>27</v>
      </c>
      <c r="P175" s="156" t="s">
        <v>1703</v>
      </c>
      <c r="Q175" s="54"/>
      <c r="R175" s="84"/>
      <c r="S175" s="84"/>
      <c r="T175" s="54" t="s">
        <v>122</v>
      </c>
      <c r="U175" s="86"/>
      <c r="V175" s="54"/>
      <c r="W175" s="86"/>
      <c r="X175" s="54"/>
      <c r="Y175" s="78"/>
      <c r="Z175" s="54"/>
      <c r="AA175" s="70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54" t="s">
        <v>2685</v>
      </c>
      <c r="AR175" s="83" t="s">
        <v>2016</v>
      </c>
      <c r="AS175" s="83" t="s">
        <v>2686</v>
      </c>
      <c r="AT175" s="93" t="s">
        <v>2687</v>
      </c>
      <c r="AU175" s="93" t="s">
        <v>2682</v>
      </c>
      <c r="AV175" s="93" t="s">
        <v>2682</v>
      </c>
      <c r="AW175" s="83" t="s">
        <v>2688</v>
      </c>
      <c r="AX175" s="83">
        <v>3.0</v>
      </c>
      <c r="AY175" s="83">
        <v>0.0</v>
      </c>
      <c r="AZ175" s="83" t="s">
        <v>2689</v>
      </c>
      <c r="BA175" s="83" t="s">
        <v>2690</v>
      </c>
      <c r="BB175" s="83" t="s">
        <v>2691</v>
      </c>
      <c r="BC175" s="54" t="s">
        <v>27</v>
      </c>
      <c r="BD175" s="54" t="str">
        <f t="shared" si="1"/>
        <v>Arequipa</v>
      </c>
      <c r="BE175" s="67" t="s">
        <v>140</v>
      </c>
      <c r="BF175" s="67" t="s">
        <v>141</v>
      </c>
      <c r="BG175" s="67" t="s">
        <v>142</v>
      </c>
      <c r="BH175" s="67"/>
      <c r="BI175" s="67"/>
      <c r="BJ175" s="67"/>
      <c r="BK175" s="67"/>
      <c r="BL175" s="67" t="s">
        <v>147</v>
      </c>
      <c r="BM175" s="67" t="s">
        <v>146</v>
      </c>
      <c r="BN175" s="100">
        <v>94.0</v>
      </c>
      <c r="BO175" s="102" t="s">
        <v>148</v>
      </c>
      <c r="BP175" s="67" t="s">
        <v>141</v>
      </c>
      <c r="BQ175" s="79" t="s">
        <v>141</v>
      </c>
      <c r="BR175" s="67" t="s">
        <v>149</v>
      </c>
      <c r="BS175" s="102" t="s">
        <v>149</v>
      </c>
      <c r="BT175" s="106">
        <v>46225.0</v>
      </c>
      <c r="BU175" s="107">
        <v>2.0</v>
      </c>
      <c r="BV175" s="108">
        <f t="shared" si="2"/>
        <v>46224</v>
      </c>
      <c r="BW175" s="108">
        <f t="shared" si="10"/>
        <v>46225</v>
      </c>
      <c r="BX175" s="102" t="str">
        <f t="shared" si="11"/>
        <v>11</v>
      </c>
      <c r="BY175" s="107">
        <f t="shared" si="5"/>
        <v>5</v>
      </c>
      <c r="BZ175" s="107">
        <f t="array" ref="BZ175">IF($A175&lt;&gt;"",INDEX(LISTA!$M$2:$N$27,MATCH($BC175,LISTA!$N$2:$N$27,0),1),"")</f>
        <v>7</v>
      </c>
      <c r="CA175" s="67">
        <f t="shared" si="6"/>
        <v>7</v>
      </c>
      <c r="CB175" s="114">
        <f t="shared" si="7"/>
        <v>7</v>
      </c>
      <c r="CC175" s="67">
        <v>5.8158838E7</v>
      </c>
    </row>
    <row r="176" ht="15.0" hidden="1" customHeight="1" outlineLevel="1">
      <c r="A176" s="59">
        <v>46225.380328287036</v>
      </c>
      <c r="B176" s="115" t="s">
        <v>105</v>
      </c>
      <c r="C176" s="54" t="s">
        <v>100</v>
      </c>
      <c r="D176" s="56" t="s">
        <v>101</v>
      </c>
      <c r="E176" s="69">
        <v>46225.375</v>
      </c>
      <c r="F176" s="73"/>
      <c r="G176" s="60" t="s">
        <v>2692</v>
      </c>
      <c r="H176" s="60" t="s">
        <v>2693</v>
      </c>
      <c r="I176" s="67" t="s">
        <v>369</v>
      </c>
      <c r="J176" s="79" t="s">
        <v>2694</v>
      </c>
      <c r="K176" s="67" t="s">
        <v>109</v>
      </c>
      <c r="L176" s="79" t="s">
        <v>2695</v>
      </c>
      <c r="M176" s="83" t="s">
        <v>2696</v>
      </c>
      <c r="N176" s="78">
        <v>31965.0</v>
      </c>
      <c r="O176" s="80" t="s">
        <v>37</v>
      </c>
      <c r="P176" s="70">
        <v>140101.0</v>
      </c>
      <c r="Q176" s="54"/>
      <c r="R176" s="84"/>
      <c r="S176" s="84"/>
      <c r="T176" s="54"/>
      <c r="U176" s="86"/>
      <c r="V176" s="54"/>
      <c r="W176" s="86"/>
      <c r="X176" s="54"/>
      <c r="Y176" s="78"/>
      <c r="Z176" s="54"/>
      <c r="AA176" s="70"/>
      <c r="AB176" s="83"/>
      <c r="AC176" s="83"/>
      <c r="AD176" s="83"/>
      <c r="AE176" s="83"/>
      <c r="AF176" s="83" t="s">
        <v>2284</v>
      </c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54" t="s">
        <v>2697</v>
      </c>
      <c r="AR176" s="83" t="s">
        <v>125</v>
      </c>
      <c r="AS176" s="83" t="s">
        <v>2698</v>
      </c>
      <c r="AT176" s="93" t="s">
        <v>2694</v>
      </c>
      <c r="AU176" s="93" t="s">
        <v>2694</v>
      </c>
      <c r="AV176" s="93" t="s">
        <v>2694</v>
      </c>
      <c r="AW176" s="83" t="s">
        <v>2699</v>
      </c>
      <c r="AX176" s="83">
        <v>2.0</v>
      </c>
      <c r="AY176" s="83" t="s">
        <v>1767</v>
      </c>
      <c r="AZ176" s="83" t="s">
        <v>2700</v>
      </c>
      <c r="BA176" s="83" t="s">
        <v>2701</v>
      </c>
      <c r="BB176" s="83" t="s">
        <v>2702</v>
      </c>
      <c r="BC176" s="54" t="s">
        <v>41</v>
      </c>
      <c r="BD176" s="54" t="str">
        <f t="shared" si="1"/>
        <v>Chorrillos</v>
      </c>
      <c r="BE176" s="67" t="s">
        <v>140</v>
      </c>
      <c r="BF176" s="67" t="s">
        <v>141</v>
      </c>
      <c r="BG176" s="67" t="s">
        <v>142</v>
      </c>
      <c r="BH176" s="67"/>
      <c r="BI176" s="67"/>
      <c r="BJ176" s="67"/>
      <c r="BK176" s="67"/>
      <c r="BL176" s="67" t="s">
        <v>147</v>
      </c>
      <c r="BM176" s="67" t="s">
        <v>146</v>
      </c>
      <c r="BN176" s="100">
        <v>89.0</v>
      </c>
      <c r="BO176" s="102" t="s">
        <v>148</v>
      </c>
      <c r="BP176" s="67" t="s">
        <v>141</v>
      </c>
      <c r="BQ176" s="79" t="s">
        <v>141</v>
      </c>
      <c r="BR176" s="67" t="s">
        <v>149</v>
      </c>
      <c r="BS176" s="102">
        <v>1.0</v>
      </c>
      <c r="BT176" s="106">
        <v>46225.0</v>
      </c>
      <c r="BU176" s="107">
        <v>3.0</v>
      </c>
      <c r="BV176" s="108">
        <f t="shared" si="2"/>
        <v>46225</v>
      </c>
      <c r="BW176" s="108">
        <f t="shared" si="10"/>
        <v>46225</v>
      </c>
      <c r="BX176" s="102" t="str">
        <f t="shared" si="11"/>
        <v>09</v>
      </c>
      <c r="BY176" s="107">
        <f t="shared" si="5"/>
        <v>5</v>
      </c>
      <c r="BZ176" s="107">
        <f t="array" ref="BZ176">IF($A176&lt;&gt;"",INDEX(LISTA!$M$2:$N$27,MATCH($BC176,LISTA!$N$2:$N$27,0),1),"")</f>
        <v>1</v>
      </c>
      <c r="CA176" s="67">
        <f t="shared" si="6"/>
        <v>7</v>
      </c>
      <c r="CB176" s="114">
        <f t="shared" si="7"/>
        <v>7</v>
      </c>
      <c r="CC176" s="67">
        <v>5.8166304E7</v>
      </c>
    </row>
    <row r="177" ht="15.0" hidden="1" customHeight="1" outlineLevel="1">
      <c r="A177" s="59">
        <v>46221.50607939815</v>
      </c>
      <c r="B177" s="115" t="s">
        <v>105</v>
      </c>
      <c r="C177" s="54" t="s">
        <v>100</v>
      </c>
      <c r="D177" s="56" t="s">
        <v>319</v>
      </c>
      <c r="E177" s="69">
        <v>46225.583333333336</v>
      </c>
      <c r="F177" s="73" t="s">
        <v>2703</v>
      </c>
      <c r="G177" s="60" t="s">
        <v>2704</v>
      </c>
      <c r="H177" s="60" t="s">
        <v>2705</v>
      </c>
      <c r="I177" s="67" t="s">
        <v>378</v>
      </c>
      <c r="J177" s="79" t="s">
        <v>2706</v>
      </c>
      <c r="K177" s="67" t="s">
        <v>109</v>
      </c>
      <c r="L177" s="79" t="s">
        <v>2707</v>
      </c>
      <c r="M177" s="83" t="s">
        <v>2708</v>
      </c>
      <c r="N177" s="78">
        <v>35831.0</v>
      </c>
      <c r="O177" s="80" t="s">
        <v>32</v>
      </c>
      <c r="P177" s="156" t="s">
        <v>715</v>
      </c>
      <c r="Q177" s="54"/>
      <c r="R177" s="84"/>
      <c r="S177" s="84"/>
      <c r="T177" s="54"/>
      <c r="U177" s="86"/>
      <c r="V177" s="54"/>
      <c r="W177" s="86"/>
      <c r="X177" s="54"/>
      <c r="Y177" s="78" t="s">
        <v>2709</v>
      </c>
      <c r="Z177" s="54"/>
      <c r="AA177" s="70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54" t="s">
        <v>2710</v>
      </c>
      <c r="AR177" s="83" t="s">
        <v>2711</v>
      </c>
      <c r="AS177" s="83" t="s">
        <v>2712</v>
      </c>
      <c r="AT177" s="93" t="s">
        <v>2706</v>
      </c>
      <c r="AU177" s="93" t="s">
        <v>2706</v>
      </c>
      <c r="AV177" s="93" t="s">
        <v>2706</v>
      </c>
      <c r="AW177" s="83" t="s">
        <v>2713</v>
      </c>
      <c r="AX177" s="83">
        <v>3.0</v>
      </c>
      <c r="AY177" s="83">
        <v>0.0</v>
      </c>
      <c r="AZ177" s="83" t="s">
        <v>2714</v>
      </c>
      <c r="BA177" s="83" t="s">
        <v>2713</v>
      </c>
      <c r="BB177" s="83" t="s">
        <v>2715</v>
      </c>
      <c r="BC177" s="54" t="s">
        <v>32</v>
      </c>
      <c r="BD177" s="78" t="str">
        <f t="shared" si="1"/>
        <v>Huancavelica</v>
      </c>
      <c r="BE177" s="67" t="s">
        <v>140</v>
      </c>
      <c r="BF177" s="67" t="s">
        <v>144</v>
      </c>
      <c r="BG177" s="67" t="s">
        <v>142</v>
      </c>
      <c r="BH177" s="67"/>
      <c r="BI177" s="67"/>
      <c r="BJ177" s="67"/>
      <c r="BK177" s="67"/>
      <c r="BL177" s="67" t="s">
        <v>147</v>
      </c>
      <c r="BM177" s="67" t="s">
        <v>146</v>
      </c>
      <c r="BN177" s="100">
        <v>69.0</v>
      </c>
      <c r="BO177" s="102" t="s">
        <v>615</v>
      </c>
      <c r="BP177" s="67" t="s">
        <v>141</v>
      </c>
      <c r="BQ177" s="79" t="s">
        <v>141</v>
      </c>
      <c r="BR177" s="67" t="s">
        <v>149</v>
      </c>
      <c r="BS177" s="102" t="s">
        <v>149</v>
      </c>
      <c r="BT177" s="106">
        <v>46225.0</v>
      </c>
      <c r="BU177" s="107">
        <v>4.0</v>
      </c>
      <c r="BV177" s="108">
        <f t="shared" si="2"/>
        <v>46221</v>
      </c>
      <c r="BW177" s="108">
        <f t="shared" si="10"/>
        <v>46225</v>
      </c>
      <c r="BX177" s="102" t="str">
        <f t="shared" si="11"/>
        <v>14</v>
      </c>
      <c r="BY177" s="107">
        <f t="shared" si="5"/>
        <v>5</v>
      </c>
      <c r="BZ177" s="107">
        <f t="array" ref="BZ177">IF($A177&lt;&gt;"",INDEX(LISTA!$M$2:$N$27,MATCH($BC177,LISTA!$N$2:$N$27,0),1),"")</f>
        <v>11</v>
      </c>
      <c r="CA177" s="67">
        <f t="shared" si="6"/>
        <v>7</v>
      </c>
      <c r="CB177" s="114">
        <f t="shared" si="7"/>
        <v>7</v>
      </c>
      <c r="CC177" s="67">
        <v>5.8144686E7</v>
      </c>
    </row>
    <row r="178" ht="15.0" hidden="1" customHeight="1" outlineLevel="1">
      <c r="A178" s="59">
        <v>46224.49467517361</v>
      </c>
      <c r="B178" s="115" t="s">
        <v>105</v>
      </c>
      <c r="C178" s="54" t="s">
        <v>100</v>
      </c>
      <c r="D178" s="56" t="s">
        <v>101</v>
      </c>
      <c r="E178" s="69">
        <v>46225.458333333336</v>
      </c>
      <c r="F178" s="73"/>
      <c r="G178" s="60" t="s">
        <v>2716</v>
      </c>
      <c r="H178" s="60" t="s">
        <v>2717</v>
      </c>
      <c r="I178" s="67" t="s">
        <v>380</v>
      </c>
      <c r="J178" s="79" t="s">
        <v>2718</v>
      </c>
      <c r="K178" s="67" t="s">
        <v>109</v>
      </c>
      <c r="L178" s="79" t="s">
        <v>2719</v>
      </c>
      <c r="M178" s="83" t="s">
        <v>2720</v>
      </c>
      <c r="N178" s="78">
        <v>36200.0</v>
      </c>
      <c r="O178" s="80" t="s">
        <v>33</v>
      </c>
      <c r="P178" s="156" t="s">
        <v>2721</v>
      </c>
      <c r="Q178" s="54"/>
      <c r="R178" s="84"/>
      <c r="S178" s="84"/>
      <c r="T178" s="54"/>
      <c r="U178" s="86"/>
      <c r="V178" s="54"/>
      <c r="W178" s="86"/>
      <c r="X178" s="54"/>
      <c r="Y178" s="78"/>
      <c r="Z178" s="54"/>
      <c r="AA178" s="70"/>
      <c r="AB178" s="83"/>
      <c r="AC178" s="83"/>
      <c r="AD178" s="83"/>
      <c r="AE178" s="83"/>
      <c r="AF178" s="83" t="s">
        <v>972</v>
      </c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54" t="s">
        <v>2722</v>
      </c>
      <c r="AR178" s="83" t="s">
        <v>2723</v>
      </c>
      <c r="AS178" s="83" t="s">
        <v>2724</v>
      </c>
      <c r="AT178" s="93" t="s">
        <v>2718</v>
      </c>
      <c r="AU178" s="93" t="s">
        <v>2725</v>
      </c>
      <c r="AV178" s="93" t="s">
        <v>2718</v>
      </c>
      <c r="AW178" s="83" t="s">
        <v>2726</v>
      </c>
      <c r="AX178" s="83">
        <v>1.0</v>
      </c>
      <c r="AY178" s="83" t="s">
        <v>2677</v>
      </c>
      <c r="AZ178" s="83" t="s">
        <v>2727</v>
      </c>
      <c r="BA178" s="83" t="s">
        <v>2728</v>
      </c>
      <c r="BB178" s="83" t="s">
        <v>2729</v>
      </c>
      <c r="BC178" s="54" t="s">
        <v>41</v>
      </c>
      <c r="BD178" s="54" t="str">
        <f t="shared" si="1"/>
        <v>San Juan de Lurigancho</v>
      </c>
      <c r="BE178" s="67" t="s">
        <v>140</v>
      </c>
      <c r="BF178" s="67" t="s">
        <v>144</v>
      </c>
      <c r="BG178" s="67" t="s">
        <v>142</v>
      </c>
      <c r="BH178" s="67"/>
      <c r="BI178" s="67"/>
      <c r="BJ178" s="67"/>
      <c r="BK178" s="67"/>
      <c r="BL178" s="67" t="s">
        <v>147</v>
      </c>
      <c r="BM178" s="67" t="s">
        <v>146</v>
      </c>
      <c r="BN178" s="100">
        <v>89.0</v>
      </c>
      <c r="BO178" s="102" t="s">
        <v>148</v>
      </c>
      <c r="BP178" s="67" t="s">
        <v>141</v>
      </c>
      <c r="BQ178" s="79" t="s">
        <v>141</v>
      </c>
      <c r="BR178" s="67" t="s">
        <v>149</v>
      </c>
      <c r="BS178" s="102">
        <v>1.0</v>
      </c>
      <c r="BT178" s="106">
        <v>46225.0</v>
      </c>
      <c r="BU178" s="107">
        <v>5.0</v>
      </c>
      <c r="BV178" s="108">
        <f t="shared" si="2"/>
        <v>46224</v>
      </c>
      <c r="BW178" s="108">
        <f t="shared" si="10"/>
        <v>46225</v>
      </c>
      <c r="BX178" s="102" t="str">
        <f t="shared" si="11"/>
        <v>11</v>
      </c>
      <c r="BY178" s="107">
        <f t="shared" si="5"/>
        <v>5</v>
      </c>
      <c r="BZ178" s="107">
        <f t="array" ref="BZ178">IF($A178&lt;&gt;"",INDEX(LISTA!$M$2:$N$27,MATCH($BC178,LISTA!$N$2:$N$27,0),1),"")</f>
        <v>1</v>
      </c>
      <c r="CA178" s="67">
        <f t="shared" si="6"/>
        <v>7</v>
      </c>
      <c r="CB178" s="114">
        <f t="shared" si="7"/>
        <v>7</v>
      </c>
      <c r="CC178" s="67">
        <v>5.8160442E7</v>
      </c>
    </row>
    <row r="179" ht="15.0" hidden="1" customHeight="1" outlineLevel="1">
      <c r="A179" s="59">
        <v>46225.43157267361</v>
      </c>
      <c r="B179" s="115" t="s">
        <v>105</v>
      </c>
      <c r="C179" s="54" t="s">
        <v>100</v>
      </c>
      <c r="D179" s="56" t="s">
        <v>319</v>
      </c>
      <c r="E179" s="69">
        <v>46225.583333333336</v>
      </c>
      <c r="F179" s="73"/>
      <c r="G179" s="60" t="s">
        <v>2730</v>
      </c>
      <c r="H179" s="60" t="s">
        <v>2731</v>
      </c>
      <c r="I179" s="67" t="s">
        <v>378</v>
      </c>
      <c r="J179" s="79" t="s">
        <v>2732</v>
      </c>
      <c r="K179" s="67" t="s">
        <v>109</v>
      </c>
      <c r="L179" s="79" t="s">
        <v>2733</v>
      </c>
      <c r="M179" s="83" t="s">
        <v>2734</v>
      </c>
      <c r="N179" s="78">
        <v>26340.0</v>
      </c>
      <c r="O179" s="80" t="s">
        <v>34</v>
      </c>
      <c r="P179" s="70">
        <v>100101.0</v>
      </c>
      <c r="Q179" s="54"/>
      <c r="R179" s="84"/>
      <c r="S179" s="84"/>
      <c r="T179" s="54"/>
      <c r="U179" s="86"/>
      <c r="V179" s="54"/>
      <c r="W179" s="86"/>
      <c r="X179" s="54"/>
      <c r="Y179" s="78"/>
      <c r="Z179" s="54"/>
      <c r="AA179" s="70"/>
      <c r="AB179" s="83"/>
      <c r="AC179" s="83"/>
      <c r="AD179" s="83"/>
      <c r="AE179" s="83"/>
      <c r="AF179" s="83" t="s">
        <v>2735</v>
      </c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54" t="s">
        <v>716</v>
      </c>
      <c r="AR179" s="83" t="s">
        <v>2736</v>
      </c>
      <c r="AS179" s="83" t="s">
        <v>2737</v>
      </c>
      <c r="AT179" s="93" t="s">
        <v>2732</v>
      </c>
      <c r="AU179" s="93" t="s">
        <v>2732</v>
      </c>
      <c r="AV179" s="93" t="s">
        <v>2732</v>
      </c>
      <c r="AW179" s="83" t="s">
        <v>2738</v>
      </c>
      <c r="AX179" s="83">
        <v>1.0</v>
      </c>
      <c r="AY179" s="83" t="s">
        <v>2739</v>
      </c>
      <c r="AZ179" s="83" t="s">
        <v>2740</v>
      </c>
      <c r="BA179" s="83" t="s">
        <v>2741</v>
      </c>
      <c r="BB179" s="83" t="s">
        <v>2742</v>
      </c>
      <c r="BC179" s="54" t="s">
        <v>41</v>
      </c>
      <c r="BD179" s="54" t="str">
        <f t="shared" si="1"/>
        <v>San Miguel</v>
      </c>
      <c r="BE179" s="67" t="s">
        <v>140</v>
      </c>
      <c r="BF179" s="67" t="s">
        <v>141</v>
      </c>
      <c r="BG179" s="67" t="s">
        <v>142</v>
      </c>
      <c r="BH179" s="67"/>
      <c r="BI179" s="67"/>
      <c r="BJ179" s="67"/>
      <c r="BK179" s="67"/>
      <c r="BL179" s="67" t="s">
        <v>145</v>
      </c>
      <c r="BM179" s="67" t="s">
        <v>214</v>
      </c>
      <c r="BN179" s="100">
        <v>169.0</v>
      </c>
      <c r="BO179" s="102" t="s">
        <v>148</v>
      </c>
      <c r="BP179" s="67" t="s">
        <v>144</v>
      </c>
      <c r="BQ179" s="79" t="s">
        <v>141</v>
      </c>
      <c r="BR179" s="67">
        <v>2.0</v>
      </c>
      <c r="BS179" s="102">
        <v>1.0</v>
      </c>
      <c r="BT179" s="106">
        <v>46225.0</v>
      </c>
      <c r="BU179" s="107">
        <v>6.0</v>
      </c>
      <c r="BV179" s="108">
        <f t="shared" si="2"/>
        <v>46225</v>
      </c>
      <c r="BW179" s="108">
        <f t="shared" si="10"/>
        <v>46225</v>
      </c>
      <c r="BX179" s="102" t="str">
        <f t="shared" si="11"/>
        <v>14</v>
      </c>
      <c r="BY179" s="107">
        <f t="shared" si="5"/>
        <v>5</v>
      </c>
      <c r="BZ179" s="107">
        <f t="array" ref="BZ179">IF($A179&lt;&gt;"",INDEX(LISTA!$M$2:$N$27,MATCH($BC179,LISTA!$N$2:$N$27,0),1),"")</f>
        <v>1</v>
      </c>
      <c r="CA179" s="67">
        <f t="shared" si="6"/>
        <v>7</v>
      </c>
      <c r="CB179" s="114">
        <f t="shared" si="7"/>
        <v>7</v>
      </c>
      <c r="CC179" s="67">
        <v>5.8167252E7</v>
      </c>
    </row>
    <row r="180" ht="15.0" hidden="1" customHeight="1" outlineLevel="1">
      <c r="A180" s="59">
        <v>46214.806226597226</v>
      </c>
      <c r="B180" s="115" t="s">
        <v>105</v>
      </c>
      <c r="C180" s="54" t="s">
        <v>100</v>
      </c>
      <c r="D180" s="56" t="s">
        <v>150</v>
      </c>
      <c r="E180" s="69">
        <v>46225.666666666664</v>
      </c>
      <c r="F180" s="73" t="s">
        <v>2743</v>
      </c>
      <c r="G180" s="60" t="s">
        <v>2744</v>
      </c>
      <c r="H180" s="60" t="s">
        <v>2745</v>
      </c>
      <c r="I180" s="67" t="s">
        <v>350</v>
      </c>
      <c r="J180" s="79" t="s">
        <v>2746</v>
      </c>
      <c r="K180" s="67" t="s">
        <v>109</v>
      </c>
      <c r="L180" s="79" t="s">
        <v>2747</v>
      </c>
      <c r="M180" s="83" t="s">
        <v>2748</v>
      </c>
      <c r="N180" s="78">
        <v>32309.0</v>
      </c>
      <c r="O180" s="80" t="s">
        <v>24</v>
      </c>
      <c r="P180" s="156" t="s">
        <v>1283</v>
      </c>
      <c r="Q180" s="54"/>
      <c r="R180" s="84" t="s">
        <v>1284</v>
      </c>
      <c r="S180" s="84"/>
      <c r="T180" s="54"/>
      <c r="U180" s="86"/>
      <c r="V180" s="54"/>
      <c r="W180" s="86"/>
      <c r="X180" s="54"/>
      <c r="Y180" s="78"/>
      <c r="Z180" s="54"/>
      <c r="AA180" s="70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54" t="s">
        <v>1640</v>
      </c>
      <c r="AR180" s="83" t="s">
        <v>2749</v>
      </c>
      <c r="AS180" s="83" t="s">
        <v>2750</v>
      </c>
      <c r="AT180" s="93" t="s">
        <v>2746</v>
      </c>
      <c r="AU180" s="93" t="s">
        <v>2746</v>
      </c>
      <c r="AV180" s="93" t="s">
        <v>2746</v>
      </c>
      <c r="AW180" s="83" t="s">
        <v>2751</v>
      </c>
      <c r="AX180" s="83">
        <v>1.0</v>
      </c>
      <c r="AY180" s="83">
        <v>0.0</v>
      </c>
      <c r="AZ180" s="83" t="s">
        <v>2752</v>
      </c>
      <c r="BA180" s="83" t="s">
        <v>2753</v>
      </c>
      <c r="BB180" s="83" t="s">
        <v>2754</v>
      </c>
      <c r="BC180" s="54" t="s">
        <v>24</v>
      </c>
      <c r="BD180" s="54" t="str">
        <f t="shared" si="1"/>
        <v>Santa</v>
      </c>
      <c r="BE180" s="67" t="s">
        <v>140</v>
      </c>
      <c r="BF180" s="67" t="s">
        <v>141</v>
      </c>
      <c r="BG180" s="67" t="s">
        <v>142</v>
      </c>
      <c r="BH180" s="67"/>
      <c r="BI180" s="67"/>
      <c r="BJ180" s="67"/>
      <c r="BK180" s="67"/>
      <c r="BL180" s="67" t="s">
        <v>147</v>
      </c>
      <c r="BM180" s="67" t="s">
        <v>247</v>
      </c>
      <c r="BN180" s="100">
        <v>89.0</v>
      </c>
      <c r="BO180" s="102" t="s">
        <v>148</v>
      </c>
      <c r="BP180" s="67" t="s">
        <v>141</v>
      </c>
      <c r="BQ180" s="79" t="s">
        <v>141</v>
      </c>
      <c r="BR180" s="67" t="s">
        <v>149</v>
      </c>
      <c r="BS180" s="102">
        <v>1.0</v>
      </c>
      <c r="BT180" s="106">
        <v>46225.0</v>
      </c>
      <c r="BU180" s="107">
        <v>7.0</v>
      </c>
      <c r="BV180" s="108">
        <f t="shared" si="2"/>
        <v>46214</v>
      </c>
      <c r="BW180" s="108">
        <f t="shared" si="10"/>
        <v>46225</v>
      </c>
      <c r="BX180" s="102" t="str">
        <f t="shared" si="11"/>
        <v>16</v>
      </c>
      <c r="BY180" s="107">
        <f t="shared" si="5"/>
        <v>5</v>
      </c>
      <c r="BZ180" s="107">
        <f t="array" ref="BZ180">IF($A180&lt;&gt;"",INDEX(LISTA!$M$2:$N$27,MATCH($BC180,LISTA!$N$2:$N$27,0),1),"")</f>
        <v>5</v>
      </c>
      <c r="CA180" s="67">
        <f t="shared" si="6"/>
        <v>7</v>
      </c>
      <c r="CB180" s="114">
        <f t="shared" si="7"/>
        <v>7</v>
      </c>
      <c r="CC180" s="67">
        <v>5.8138623E7</v>
      </c>
    </row>
    <row r="181" ht="15.0" hidden="1" customHeight="1" outlineLevel="1">
      <c r="A181" s="59">
        <v>46223.66872935185</v>
      </c>
      <c r="B181" s="115" t="s">
        <v>105</v>
      </c>
      <c r="C181" s="54" t="s">
        <v>100</v>
      </c>
      <c r="D181" s="56" t="s">
        <v>101</v>
      </c>
      <c r="E181" s="69">
        <v>46225.583333333336</v>
      </c>
      <c r="F181" s="73"/>
      <c r="G181" s="60" t="s">
        <v>2755</v>
      </c>
      <c r="H181" s="60" t="s">
        <v>2756</v>
      </c>
      <c r="I181" s="67" t="s">
        <v>374</v>
      </c>
      <c r="J181" s="79" t="s">
        <v>2757</v>
      </c>
      <c r="K181" s="67" t="s">
        <v>109</v>
      </c>
      <c r="L181" s="79" t="s">
        <v>2758</v>
      </c>
      <c r="M181" s="83" t="s">
        <v>2759</v>
      </c>
      <c r="N181" s="78">
        <v>36881.0</v>
      </c>
      <c r="O181" s="80" t="s">
        <v>27</v>
      </c>
      <c r="P181" s="156" t="s">
        <v>2760</v>
      </c>
      <c r="Q181" s="54"/>
      <c r="R181" s="84"/>
      <c r="S181" s="84"/>
      <c r="T181" s="54"/>
      <c r="U181" s="86"/>
      <c r="V181" s="54"/>
      <c r="W181" s="86" t="s">
        <v>2761</v>
      </c>
      <c r="X181" s="54"/>
      <c r="Y181" s="78"/>
      <c r="Z181" s="54"/>
      <c r="AA181" s="70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54" t="s">
        <v>2762</v>
      </c>
      <c r="AR181" s="83" t="s">
        <v>2763</v>
      </c>
      <c r="AS181" s="83" t="s">
        <v>2764</v>
      </c>
      <c r="AT181" s="93" t="s">
        <v>2757</v>
      </c>
      <c r="AU181" s="93" t="s">
        <v>2757</v>
      </c>
      <c r="AV181" s="93" t="s">
        <v>2757</v>
      </c>
      <c r="AW181" s="83" t="s">
        <v>2765</v>
      </c>
      <c r="AX181" s="83">
        <v>4.0</v>
      </c>
      <c r="AY181" s="83">
        <v>1.0</v>
      </c>
      <c r="AZ181" s="83" t="s">
        <v>2766</v>
      </c>
      <c r="BA181" s="83" t="s">
        <v>1767</v>
      </c>
      <c r="BB181" s="83" t="s">
        <v>2767</v>
      </c>
      <c r="BC181" s="54" t="s">
        <v>30</v>
      </c>
      <c r="BD181" s="54" t="str">
        <f t="shared" si="1"/>
        <v>Carmen de la Legua-Reynoso</v>
      </c>
      <c r="BE181" s="67" t="s">
        <v>140</v>
      </c>
      <c r="BF181" s="67" t="s">
        <v>141</v>
      </c>
      <c r="BG181" s="67" t="s">
        <v>142</v>
      </c>
      <c r="BH181" s="67"/>
      <c r="BI181" s="67"/>
      <c r="BJ181" s="67"/>
      <c r="BK181" s="67"/>
      <c r="BL181" s="67" t="s">
        <v>213</v>
      </c>
      <c r="BM181" s="67" t="s">
        <v>146</v>
      </c>
      <c r="BN181" s="100">
        <v>110.0</v>
      </c>
      <c r="BO181" s="102" t="s">
        <v>182</v>
      </c>
      <c r="BP181" s="67" t="s">
        <v>144</v>
      </c>
      <c r="BQ181" s="79" t="s">
        <v>141</v>
      </c>
      <c r="BR181" s="67" t="s">
        <v>149</v>
      </c>
      <c r="BS181" s="102" t="s">
        <v>149</v>
      </c>
      <c r="BT181" s="106">
        <v>46225.0</v>
      </c>
      <c r="BU181" s="107">
        <v>8.0</v>
      </c>
      <c r="BV181" s="108">
        <f t="shared" si="2"/>
        <v>46223</v>
      </c>
      <c r="BW181" s="108">
        <f t="shared" si="10"/>
        <v>46225</v>
      </c>
      <c r="BX181" s="102" t="str">
        <f t="shared" si="11"/>
        <v>14</v>
      </c>
      <c r="BY181" s="107">
        <f t="shared" si="5"/>
        <v>5</v>
      </c>
      <c r="BZ181" s="107">
        <f t="array" ref="BZ181">IF($A181&lt;&gt;"",INDEX(LISTA!$M$2:$N$27,MATCH($BC181,LISTA!$N$2:$N$27,0),1),"")</f>
        <v>2</v>
      </c>
      <c r="CA181" s="67">
        <f t="shared" si="6"/>
        <v>7</v>
      </c>
      <c r="CB181" s="114">
        <f t="shared" si="7"/>
        <v>7</v>
      </c>
      <c r="CC181" s="67">
        <v>5.8155121E7</v>
      </c>
    </row>
    <row r="182" ht="15.0" hidden="1" customHeight="1" outlineLevel="1">
      <c r="A182" s="59">
        <v>46224.43876113426</v>
      </c>
      <c r="B182" s="115" t="s">
        <v>105</v>
      </c>
      <c r="C182" s="54" t="s">
        <v>100</v>
      </c>
      <c r="D182" s="56" t="s">
        <v>319</v>
      </c>
      <c r="E182" s="69">
        <v>46225.666666666664</v>
      </c>
      <c r="F182" s="73"/>
      <c r="G182" s="60" t="s">
        <v>2768</v>
      </c>
      <c r="H182" s="60" t="s">
        <v>2769</v>
      </c>
      <c r="I182" s="67" t="s">
        <v>378</v>
      </c>
      <c r="J182" s="79" t="s">
        <v>2770</v>
      </c>
      <c r="K182" s="67" t="s">
        <v>109</v>
      </c>
      <c r="L182" s="79" t="s">
        <v>2771</v>
      </c>
      <c r="M182" s="83" t="s">
        <v>2772</v>
      </c>
      <c r="N182" s="78">
        <v>36148.0</v>
      </c>
      <c r="O182" s="80" t="s">
        <v>52</v>
      </c>
      <c r="P182" s="70">
        <v>250101.0</v>
      </c>
      <c r="Q182" s="54"/>
      <c r="R182" s="84"/>
      <c r="S182" s="84"/>
      <c r="T182" s="54"/>
      <c r="U182" s="86"/>
      <c r="V182" s="54"/>
      <c r="W182" s="86"/>
      <c r="X182" s="54"/>
      <c r="Y182" s="78"/>
      <c r="Z182" s="54"/>
      <c r="AA182" s="70"/>
      <c r="AB182" s="83"/>
      <c r="AC182" s="83"/>
      <c r="AD182" s="83"/>
      <c r="AE182" s="83"/>
      <c r="AF182" s="83" t="s">
        <v>165</v>
      </c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54" t="s">
        <v>2773</v>
      </c>
      <c r="AR182" s="83" t="s">
        <v>2774</v>
      </c>
      <c r="AS182" s="83" t="s">
        <v>2775</v>
      </c>
      <c r="AT182" s="93" t="s">
        <v>2770</v>
      </c>
      <c r="AU182" s="93" t="s">
        <v>2776</v>
      </c>
      <c r="AV182" s="93" t="s">
        <v>2770</v>
      </c>
      <c r="AW182" s="83" t="s">
        <v>2777</v>
      </c>
      <c r="AX182" s="83">
        <v>3.0</v>
      </c>
      <c r="AY182" s="83" t="s">
        <v>2778</v>
      </c>
      <c r="AZ182" s="83" t="s">
        <v>2779</v>
      </c>
      <c r="BA182" s="83" t="s">
        <v>2777</v>
      </c>
      <c r="BB182" s="83" t="s">
        <v>2780</v>
      </c>
      <c r="BC182" s="54" t="s">
        <v>41</v>
      </c>
      <c r="BD182" s="54" t="str">
        <f t="shared" si="1"/>
        <v>San Martín de Porres</v>
      </c>
      <c r="BE182" s="67" t="s">
        <v>140</v>
      </c>
      <c r="BF182" s="67" t="s">
        <v>144</v>
      </c>
      <c r="BG182" s="67" t="s">
        <v>142</v>
      </c>
      <c r="BH182" s="67"/>
      <c r="BI182" s="67"/>
      <c r="BJ182" s="67"/>
      <c r="BK182" s="67"/>
      <c r="BL182" s="67" t="s">
        <v>147</v>
      </c>
      <c r="BM182" s="67" t="s">
        <v>146</v>
      </c>
      <c r="BN182" s="100">
        <v>89.0</v>
      </c>
      <c r="BO182" s="102" t="s">
        <v>878</v>
      </c>
      <c r="BP182" s="67" t="s">
        <v>141</v>
      </c>
      <c r="BQ182" s="79" t="s">
        <v>141</v>
      </c>
      <c r="BR182" s="67" t="s">
        <v>149</v>
      </c>
      <c r="BS182" s="102">
        <v>1.0</v>
      </c>
      <c r="BT182" s="106">
        <v>46225.0</v>
      </c>
      <c r="BU182" s="107">
        <v>9.0</v>
      </c>
      <c r="BV182" s="108">
        <f t="shared" si="2"/>
        <v>46224</v>
      </c>
      <c r="BW182" s="108">
        <f t="shared" si="10"/>
        <v>46225</v>
      </c>
      <c r="BX182" s="102" t="str">
        <f t="shared" si="11"/>
        <v>16</v>
      </c>
      <c r="BY182" s="107">
        <f t="shared" si="5"/>
        <v>5</v>
      </c>
      <c r="BZ182" s="107">
        <f t="array" ref="BZ182">IF($A182&lt;&gt;"",INDEX(LISTA!$M$2:$N$27,MATCH($BC182,LISTA!$N$2:$N$27,0),1),"")</f>
        <v>1</v>
      </c>
      <c r="CA182" s="67">
        <f t="shared" si="6"/>
        <v>7</v>
      </c>
      <c r="CB182" s="114">
        <f t="shared" si="7"/>
        <v>7</v>
      </c>
      <c r="CC182" s="67">
        <v>5.815962E7</v>
      </c>
    </row>
    <row r="183" ht="15.0" hidden="1" customHeight="1" outlineLevel="1">
      <c r="A183" s="59">
        <v>46225.62516998843</v>
      </c>
      <c r="B183" s="115" t="s">
        <v>105</v>
      </c>
      <c r="C183" s="54" t="s">
        <v>100</v>
      </c>
      <c r="D183" s="56" t="s">
        <v>319</v>
      </c>
      <c r="E183" s="69">
        <v>46226.583333333336</v>
      </c>
      <c r="F183" s="73"/>
      <c r="G183" s="60" t="s">
        <v>2781</v>
      </c>
      <c r="H183" s="60" t="s">
        <v>2782</v>
      </c>
      <c r="I183" s="67" t="s">
        <v>367</v>
      </c>
      <c r="J183" s="79" t="s">
        <v>2783</v>
      </c>
      <c r="K183" s="67" t="s">
        <v>109</v>
      </c>
      <c r="L183" s="79" t="s">
        <v>2784</v>
      </c>
      <c r="M183" s="83" t="s">
        <v>2785</v>
      </c>
      <c r="N183" s="78">
        <v>24669.0</v>
      </c>
      <c r="O183" s="80" t="s">
        <v>41</v>
      </c>
      <c r="P183" s="70">
        <v>150113.0</v>
      </c>
      <c r="Q183" s="54"/>
      <c r="R183" s="84"/>
      <c r="S183" s="84"/>
      <c r="T183" s="54"/>
      <c r="U183" s="86"/>
      <c r="V183" s="54"/>
      <c r="W183" s="86" t="s">
        <v>553</v>
      </c>
      <c r="X183" s="54"/>
      <c r="Y183" s="78"/>
      <c r="Z183" s="54"/>
      <c r="AA183" s="70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54" t="s">
        <v>2134</v>
      </c>
      <c r="AR183" s="83" t="s">
        <v>918</v>
      </c>
      <c r="AS183" s="83" t="s">
        <v>2786</v>
      </c>
      <c r="AT183" s="93" t="s">
        <v>2787</v>
      </c>
      <c r="AU183" s="93" t="s">
        <v>2787</v>
      </c>
      <c r="AV183" s="93" t="s">
        <v>2787</v>
      </c>
      <c r="AW183" s="83" t="s">
        <v>2788</v>
      </c>
      <c r="AX183" s="83">
        <v>2.0</v>
      </c>
      <c r="AY183" s="83">
        <v>0.0</v>
      </c>
      <c r="AZ183" s="83" t="s">
        <v>2789</v>
      </c>
      <c r="BA183" s="83" t="s">
        <v>2790</v>
      </c>
      <c r="BB183" s="83" t="s">
        <v>2791</v>
      </c>
      <c r="BC183" s="54" t="s">
        <v>30</v>
      </c>
      <c r="BD183" s="54" t="str">
        <f t="shared" si="1"/>
        <v>Callao</v>
      </c>
      <c r="BE183" s="67" t="s">
        <v>140</v>
      </c>
      <c r="BF183" s="67" t="s">
        <v>141</v>
      </c>
      <c r="BG183" s="67" t="s">
        <v>142</v>
      </c>
      <c r="BH183" s="67"/>
      <c r="BI183" s="67"/>
      <c r="BJ183" s="67"/>
      <c r="BK183" s="67"/>
      <c r="BL183" s="67" t="s">
        <v>147</v>
      </c>
      <c r="BM183" s="67" t="s">
        <v>146</v>
      </c>
      <c r="BN183" s="100">
        <v>110.0</v>
      </c>
      <c r="BO183" s="102" t="s">
        <v>182</v>
      </c>
      <c r="BP183" s="67" t="s">
        <v>144</v>
      </c>
      <c r="BQ183" s="79" t="s">
        <v>141</v>
      </c>
      <c r="BR183" s="67" t="s">
        <v>149</v>
      </c>
      <c r="BS183" s="102">
        <v>1.0</v>
      </c>
      <c r="BT183" s="106">
        <v>46226.0</v>
      </c>
      <c r="BU183" s="107">
        <v>1.0</v>
      </c>
      <c r="BV183" s="108">
        <f t="shared" si="2"/>
        <v>46225</v>
      </c>
      <c r="BW183" s="108">
        <f t="shared" si="10"/>
        <v>46226</v>
      </c>
      <c r="BX183" s="102" t="str">
        <f t="shared" si="11"/>
        <v>14</v>
      </c>
      <c r="BY183" s="107">
        <f t="shared" si="5"/>
        <v>5</v>
      </c>
      <c r="BZ183" s="107">
        <f t="array" ref="BZ183">IF($A183&lt;&gt;"",INDEX(LISTA!$M$2:$N$27,MATCH($BC183,LISTA!$N$2:$N$27,0),1),"")</f>
        <v>2</v>
      </c>
      <c r="CA183" s="67">
        <f t="shared" si="6"/>
        <v>7</v>
      </c>
      <c r="CB183" s="114">
        <f t="shared" si="7"/>
        <v>7</v>
      </c>
      <c r="CC183" s="67">
        <v>5.8169868E7</v>
      </c>
    </row>
    <row r="184" ht="15.0" hidden="1" customHeight="1" outlineLevel="1">
      <c r="A184" s="59">
        <v>46220.42825989584</v>
      </c>
      <c r="B184" s="115" t="s">
        <v>105</v>
      </c>
      <c r="C184" s="54" t="s">
        <v>100</v>
      </c>
      <c r="D184" s="56" t="s">
        <v>319</v>
      </c>
      <c r="E184" s="69">
        <v>46226.375</v>
      </c>
      <c r="F184" s="73" t="s">
        <v>2792</v>
      </c>
      <c r="G184" s="60" t="s">
        <v>2793</v>
      </c>
      <c r="H184" s="60" t="s">
        <v>2794</v>
      </c>
      <c r="I184" s="67" t="s">
        <v>350</v>
      </c>
      <c r="J184" s="79" t="s">
        <v>2795</v>
      </c>
      <c r="K184" s="67" t="s">
        <v>109</v>
      </c>
      <c r="L184" s="79" t="s">
        <v>2796</v>
      </c>
      <c r="M184" s="83" t="s">
        <v>2797</v>
      </c>
      <c r="N184" s="78">
        <v>34028.0</v>
      </c>
      <c r="O184" s="80" t="s">
        <v>41</v>
      </c>
      <c r="P184" s="70">
        <v>150103.0</v>
      </c>
      <c r="Q184" s="54"/>
      <c r="R184" s="84"/>
      <c r="S184" s="84"/>
      <c r="T184" s="54"/>
      <c r="U184" s="86"/>
      <c r="V184" s="54"/>
      <c r="W184" s="86"/>
      <c r="X184" s="54"/>
      <c r="Y184" s="78"/>
      <c r="Z184" s="54"/>
      <c r="AA184" s="70"/>
      <c r="AB184" s="83"/>
      <c r="AC184" s="83"/>
      <c r="AD184" s="83"/>
      <c r="AE184" s="83"/>
      <c r="AF184" s="83" t="s">
        <v>300</v>
      </c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54" t="s">
        <v>127</v>
      </c>
      <c r="AR184" s="83" t="s">
        <v>2798</v>
      </c>
      <c r="AS184" s="83" t="s">
        <v>2799</v>
      </c>
      <c r="AT184" s="93" t="s">
        <v>2795</v>
      </c>
      <c r="AU184" s="93" t="s">
        <v>2795</v>
      </c>
      <c r="AV184" s="93" t="s">
        <v>2795</v>
      </c>
      <c r="AW184" s="83" t="s">
        <v>2800</v>
      </c>
      <c r="AX184" s="83">
        <v>2.0</v>
      </c>
      <c r="AY184" s="83">
        <v>0.0</v>
      </c>
      <c r="AZ184" s="83" t="s">
        <v>2801</v>
      </c>
      <c r="BA184" s="83" t="s">
        <v>2802</v>
      </c>
      <c r="BB184" s="83" t="s">
        <v>2803</v>
      </c>
      <c r="BC184" s="54" t="s">
        <v>41</v>
      </c>
      <c r="BD184" s="54" t="str">
        <f t="shared" si="1"/>
        <v>Ate</v>
      </c>
      <c r="BE184" s="67" t="s">
        <v>140</v>
      </c>
      <c r="BF184" s="67" t="s">
        <v>144</v>
      </c>
      <c r="BG184" s="67" t="s">
        <v>142</v>
      </c>
      <c r="BH184" s="67"/>
      <c r="BI184" s="67"/>
      <c r="BJ184" s="67"/>
      <c r="BK184" s="67"/>
      <c r="BL184" s="67" t="s">
        <v>147</v>
      </c>
      <c r="BM184" s="67" t="s">
        <v>146</v>
      </c>
      <c r="BN184" s="100">
        <v>89.0</v>
      </c>
      <c r="BO184" s="102" t="s">
        <v>148</v>
      </c>
      <c r="BP184" s="67" t="s">
        <v>141</v>
      </c>
      <c r="BQ184" s="79" t="s">
        <v>141</v>
      </c>
      <c r="BR184" s="67" t="s">
        <v>149</v>
      </c>
      <c r="BS184" s="102">
        <v>1.0</v>
      </c>
      <c r="BT184" s="106">
        <v>46226.0</v>
      </c>
      <c r="BU184" s="107">
        <v>2.0</v>
      </c>
      <c r="BV184" s="108">
        <f t="shared" si="2"/>
        <v>46220</v>
      </c>
      <c r="BW184" s="108">
        <f t="shared" si="10"/>
        <v>46226</v>
      </c>
      <c r="BX184" s="102" t="str">
        <f t="shared" si="11"/>
        <v>09</v>
      </c>
      <c r="BY184" s="107">
        <f t="shared" si="5"/>
        <v>5</v>
      </c>
      <c r="BZ184" s="107">
        <f t="array" ref="BZ184">IF($A184&lt;&gt;"",INDEX(LISTA!$M$2:$N$27,MATCH($BC184,LISTA!$N$2:$N$27,0),1),"")</f>
        <v>1</v>
      </c>
      <c r="CA184" s="67">
        <f t="shared" si="6"/>
        <v>7</v>
      </c>
      <c r="CB184" s="114">
        <f t="shared" si="7"/>
        <v>7</v>
      </c>
      <c r="CC184" s="67">
        <v>5.8135835E7</v>
      </c>
    </row>
    <row r="185" ht="15.0" hidden="1" customHeight="1" outlineLevel="1">
      <c r="A185" s="59">
        <v>46224.74767319445</v>
      </c>
      <c r="B185" s="115" t="s">
        <v>105</v>
      </c>
      <c r="C185" s="54" t="s">
        <v>100</v>
      </c>
      <c r="D185" s="56" t="s">
        <v>319</v>
      </c>
      <c r="E185" s="69">
        <v>46226.583333333336</v>
      </c>
      <c r="F185" s="73"/>
      <c r="G185" s="60" t="s">
        <v>2804</v>
      </c>
      <c r="H185" s="60" t="s">
        <v>2805</v>
      </c>
      <c r="I185" s="67" t="s">
        <v>374</v>
      </c>
      <c r="J185" s="79" t="s">
        <v>2806</v>
      </c>
      <c r="K185" s="67" t="s">
        <v>109</v>
      </c>
      <c r="L185" s="79" t="s">
        <v>2807</v>
      </c>
      <c r="M185" s="83" t="s">
        <v>2808</v>
      </c>
      <c r="N185" s="78">
        <v>36633.0</v>
      </c>
      <c r="O185" s="80" t="s">
        <v>37</v>
      </c>
      <c r="P185" s="70">
        <v>160201.0</v>
      </c>
      <c r="Q185" s="54"/>
      <c r="R185" s="84"/>
      <c r="S185" s="84"/>
      <c r="T185" s="54"/>
      <c r="U185" s="86"/>
      <c r="V185" s="54"/>
      <c r="W185" s="86"/>
      <c r="X185" s="54"/>
      <c r="Y185" s="78"/>
      <c r="Z185" s="54"/>
      <c r="AA185" s="70"/>
      <c r="AB185" s="83"/>
      <c r="AC185" s="83"/>
      <c r="AD185" s="83"/>
      <c r="AE185" s="83"/>
      <c r="AF185" s="83" t="s">
        <v>972</v>
      </c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54" t="s">
        <v>2809</v>
      </c>
      <c r="AR185" s="83" t="s">
        <v>2810</v>
      </c>
      <c r="AS185" s="83" t="s">
        <v>2811</v>
      </c>
      <c r="AT185" s="93" t="s">
        <v>2812</v>
      </c>
      <c r="AU185" s="93" t="s">
        <v>2812</v>
      </c>
      <c r="AV185" s="93" t="s">
        <v>2812</v>
      </c>
      <c r="AW185" s="83" t="s">
        <v>2813</v>
      </c>
      <c r="AX185" s="83">
        <v>4.0</v>
      </c>
      <c r="AY185" s="83" t="s">
        <v>1767</v>
      </c>
      <c r="AZ185" s="83" t="s">
        <v>2814</v>
      </c>
      <c r="BA185" s="83" t="s">
        <v>1767</v>
      </c>
      <c r="BB185" s="83" t="s">
        <v>2815</v>
      </c>
      <c r="BC185" s="54" t="s">
        <v>41</v>
      </c>
      <c r="BD185" s="54" t="str">
        <f t="shared" si="1"/>
        <v>San Juan de Lurigancho</v>
      </c>
      <c r="BE185" s="67" t="s">
        <v>143</v>
      </c>
      <c r="BF185" s="67" t="s">
        <v>141</v>
      </c>
      <c r="BG185" s="67" t="s">
        <v>142</v>
      </c>
      <c r="BH185" s="67"/>
      <c r="BI185" s="67"/>
      <c r="BJ185" s="67"/>
      <c r="BK185" s="67"/>
      <c r="BL185" s="67" t="s">
        <v>147</v>
      </c>
      <c r="BM185" s="67" t="s">
        <v>146</v>
      </c>
      <c r="BN185" s="100">
        <v>110.0</v>
      </c>
      <c r="BO185" s="102" t="s">
        <v>182</v>
      </c>
      <c r="BP185" s="67" t="s">
        <v>144</v>
      </c>
      <c r="BQ185" s="79" t="s">
        <v>141</v>
      </c>
      <c r="BR185" s="67" t="s">
        <v>149</v>
      </c>
      <c r="BS185" s="102" t="s">
        <v>149</v>
      </c>
      <c r="BT185" s="106">
        <v>46226.0</v>
      </c>
      <c r="BU185" s="107">
        <v>3.0</v>
      </c>
      <c r="BV185" s="108">
        <f t="shared" si="2"/>
        <v>46224</v>
      </c>
      <c r="BW185" s="108">
        <f t="shared" si="10"/>
        <v>46226</v>
      </c>
      <c r="BX185" s="102" t="str">
        <f t="shared" si="11"/>
        <v>14</v>
      </c>
      <c r="BY185" s="107">
        <f t="shared" si="5"/>
        <v>5</v>
      </c>
      <c r="BZ185" s="107">
        <f t="array" ref="BZ185">IF($A185&lt;&gt;"",INDEX(LISTA!$M$2:$N$27,MATCH($BC185,LISTA!$N$2:$N$27,0),1),"")</f>
        <v>1</v>
      </c>
      <c r="CA185" s="67">
        <f t="shared" si="6"/>
        <v>7</v>
      </c>
      <c r="CB185" s="114">
        <f t="shared" si="7"/>
        <v>7</v>
      </c>
      <c r="CC185" s="67">
        <v>5.8169704E7</v>
      </c>
    </row>
    <row r="186" ht="15.0" hidden="1" customHeight="1" outlineLevel="1">
      <c r="A186" s="59">
        <v>46221.48963001157</v>
      </c>
      <c r="B186" s="115" t="s">
        <v>105</v>
      </c>
      <c r="C186" s="54" t="s">
        <v>100</v>
      </c>
      <c r="D186" s="56" t="s">
        <v>319</v>
      </c>
      <c r="E186" s="69">
        <v>46226.666666666664</v>
      </c>
      <c r="F186" s="73" t="s">
        <v>2816</v>
      </c>
      <c r="G186" s="60" t="s">
        <v>2817</v>
      </c>
      <c r="H186" s="60" t="s">
        <v>2818</v>
      </c>
      <c r="I186" s="67" t="s">
        <v>350</v>
      </c>
      <c r="J186" s="79" t="s">
        <v>2819</v>
      </c>
      <c r="K186" s="67" t="s">
        <v>109</v>
      </c>
      <c r="L186" s="79" t="s">
        <v>2820</v>
      </c>
      <c r="M186" s="83" t="s">
        <v>2821</v>
      </c>
      <c r="N186" s="78">
        <v>26370.0</v>
      </c>
      <c r="O186" s="80" t="s">
        <v>41</v>
      </c>
      <c r="P186" s="70">
        <v>1404.0</v>
      </c>
      <c r="Q186" s="54"/>
      <c r="R186" s="84"/>
      <c r="S186" s="84"/>
      <c r="T186" s="54"/>
      <c r="U186" s="86"/>
      <c r="V186" s="54"/>
      <c r="W186" s="86"/>
      <c r="X186" s="54"/>
      <c r="Y186" s="78"/>
      <c r="Z186" s="54"/>
      <c r="AA186" s="70"/>
      <c r="AB186" s="83"/>
      <c r="AC186" s="83"/>
      <c r="AD186" s="83"/>
      <c r="AE186" s="83"/>
      <c r="AF186" s="83" t="s">
        <v>165</v>
      </c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54" t="s">
        <v>1528</v>
      </c>
      <c r="AR186" s="83" t="s">
        <v>2822</v>
      </c>
      <c r="AS186" s="83" t="s">
        <v>2823</v>
      </c>
      <c r="AT186" s="93" t="s">
        <v>2819</v>
      </c>
      <c r="AU186" s="93" t="s">
        <v>2819</v>
      </c>
      <c r="AV186" s="93" t="s">
        <v>2819</v>
      </c>
      <c r="AW186" s="83" t="s">
        <v>2824</v>
      </c>
      <c r="AX186" s="83">
        <v>1.0</v>
      </c>
      <c r="AY186" s="83">
        <v>0.0</v>
      </c>
      <c r="AZ186" s="83" t="s">
        <v>2825</v>
      </c>
      <c r="BA186" s="83" t="s">
        <v>2826</v>
      </c>
      <c r="BB186" s="83" t="s">
        <v>2827</v>
      </c>
      <c r="BC186" s="54" t="s">
        <v>41</v>
      </c>
      <c r="BD186" s="54" t="str">
        <f t="shared" si="1"/>
        <v>San Martín de Porres</v>
      </c>
      <c r="BE186" s="67" t="s">
        <v>140</v>
      </c>
      <c r="BF186" s="67" t="s">
        <v>141</v>
      </c>
      <c r="BG186" s="67" t="s">
        <v>142</v>
      </c>
      <c r="BH186" s="67"/>
      <c r="BI186" s="67"/>
      <c r="BJ186" s="67"/>
      <c r="BK186" s="67"/>
      <c r="BL186" s="67" t="s">
        <v>147</v>
      </c>
      <c r="BM186" s="67" t="s">
        <v>146</v>
      </c>
      <c r="BN186" s="100">
        <v>89.0</v>
      </c>
      <c r="BO186" s="102" t="s">
        <v>148</v>
      </c>
      <c r="BP186" s="67" t="s">
        <v>141</v>
      </c>
      <c r="BQ186" s="79" t="s">
        <v>141</v>
      </c>
      <c r="BR186" s="67" t="s">
        <v>149</v>
      </c>
      <c r="BS186" s="102">
        <v>1.0</v>
      </c>
      <c r="BT186" s="106">
        <v>46226.0</v>
      </c>
      <c r="BU186" s="107">
        <v>4.0</v>
      </c>
      <c r="BV186" s="108">
        <f t="shared" si="2"/>
        <v>46221</v>
      </c>
      <c r="BW186" s="108">
        <v>46226.0</v>
      </c>
      <c r="BX186" s="102">
        <v>16.0</v>
      </c>
      <c r="BY186" s="107">
        <f t="shared" si="5"/>
        <v>5</v>
      </c>
      <c r="BZ186" s="107">
        <f t="array" ref="BZ186">IF($A186&lt;&gt;"",INDEX(LISTA!$M$2:$N$27,MATCH($BC186,LISTA!$N$2:$N$27,0),1),"")</f>
        <v>1</v>
      </c>
      <c r="CA186" s="67">
        <f t="shared" si="6"/>
        <v>7</v>
      </c>
      <c r="CB186" s="114">
        <f t="shared" si="7"/>
        <v>7</v>
      </c>
      <c r="CC186" s="67">
        <v>5.8144153E7</v>
      </c>
    </row>
    <row r="187" ht="15.0" hidden="1" customHeight="1" outlineLevel="1">
      <c r="A187" s="59">
        <v>46224.519091064816</v>
      </c>
      <c r="B187" s="115" t="s">
        <v>105</v>
      </c>
      <c r="C187" s="54" t="s">
        <v>100</v>
      </c>
      <c r="D187" s="56" t="s">
        <v>319</v>
      </c>
      <c r="E187" s="69">
        <v>46227.375</v>
      </c>
      <c r="F187" s="73"/>
      <c r="G187" s="60" t="s">
        <v>2828</v>
      </c>
      <c r="H187" s="60" t="s">
        <v>2829</v>
      </c>
      <c r="I187" s="67" t="s">
        <v>293</v>
      </c>
      <c r="J187" s="79" t="s">
        <v>2830</v>
      </c>
      <c r="K187" s="67" t="s">
        <v>109</v>
      </c>
      <c r="L187" s="79" t="s">
        <v>2831</v>
      </c>
      <c r="M187" s="83" t="s">
        <v>2832</v>
      </c>
      <c r="N187" s="78">
        <v>32193.0</v>
      </c>
      <c r="O187" s="80" t="s">
        <v>37</v>
      </c>
      <c r="P187" s="70">
        <v>140901.0</v>
      </c>
      <c r="Q187" s="54"/>
      <c r="R187" s="84"/>
      <c r="S187" s="84"/>
      <c r="T187" s="54"/>
      <c r="U187" s="86"/>
      <c r="V187" s="54"/>
      <c r="W187" s="86"/>
      <c r="X187" s="54"/>
      <c r="Y187" s="78"/>
      <c r="Z187" s="54"/>
      <c r="AA187" s="70"/>
      <c r="AB187" s="83"/>
      <c r="AC187" s="83"/>
      <c r="AD187" s="83"/>
      <c r="AE187" s="83" t="s">
        <v>2833</v>
      </c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54" t="s">
        <v>2834</v>
      </c>
      <c r="AR187" s="83" t="s">
        <v>2835</v>
      </c>
      <c r="AS187" s="83" t="s">
        <v>2836</v>
      </c>
      <c r="AT187" s="93" t="s">
        <v>2837</v>
      </c>
      <c r="AU187" s="93" t="s">
        <v>2837</v>
      </c>
      <c r="AV187" s="93" t="s">
        <v>2837</v>
      </c>
      <c r="AW187" s="83" t="s">
        <v>2838</v>
      </c>
      <c r="AX187" s="83">
        <v>2.0</v>
      </c>
      <c r="AY187" s="83">
        <v>4.0</v>
      </c>
      <c r="AZ187" s="83" t="s">
        <v>2839</v>
      </c>
      <c r="BA187" s="83" t="s">
        <v>2840</v>
      </c>
      <c r="BB187" s="83" t="s">
        <v>2841</v>
      </c>
      <c r="BC187" s="54" t="s">
        <v>37</v>
      </c>
      <c r="BD187" s="54" t="str">
        <f t="shared" si="1"/>
        <v>Barranca</v>
      </c>
      <c r="BE187" s="67" t="s">
        <v>140</v>
      </c>
      <c r="BF187" s="67" t="s">
        <v>144</v>
      </c>
      <c r="BG187" s="67" t="s">
        <v>142</v>
      </c>
      <c r="BH187" s="67"/>
      <c r="BI187" s="67"/>
      <c r="BJ187" s="67"/>
      <c r="BK187" s="67"/>
      <c r="BL187" s="67" t="s">
        <v>147</v>
      </c>
      <c r="BM187" s="67" t="s">
        <v>146</v>
      </c>
      <c r="BN187" s="100">
        <v>89.0</v>
      </c>
      <c r="BO187" s="102" t="s">
        <v>148</v>
      </c>
      <c r="BP187" s="67" t="s">
        <v>141</v>
      </c>
      <c r="BQ187" s="79" t="s">
        <v>141</v>
      </c>
      <c r="BR187" s="67" t="s">
        <v>149</v>
      </c>
      <c r="BS187" s="102">
        <v>1.0</v>
      </c>
      <c r="BT187" s="106">
        <v>46227.0</v>
      </c>
      <c r="BU187" s="107">
        <v>1.0</v>
      </c>
      <c r="BV187" s="108">
        <f t="shared" si="2"/>
        <v>46224</v>
      </c>
      <c r="BW187" s="108">
        <f t="shared" ref="BW187:BW198" si="12">IF($E187&lt;&gt;"",DATE(YEAR($E187),MONTH($E187),DAY($E187)),"")</f>
        <v>46227</v>
      </c>
      <c r="BX187" s="102" t="str">
        <f t="shared" ref="BX187:BX200" si="13">IF($E187&lt;&gt;"",TEXT($E187,"HH"),"")</f>
        <v>09</v>
      </c>
      <c r="BY187" s="107">
        <f t="shared" si="5"/>
        <v>5</v>
      </c>
      <c r="BZ187" s="107">
        <f t="array" ref="BZ187">IF($A187&lt;&gt;"",INDEX(LISTA!$M$2:$N$27,MATCH($BC187,LISTA!$N$2:$N$27,0),1),"")</f>
        <v>3</v>
      </c>
      <c r="CA187" s="67">
        <f t="shared" si="6"/>
        <v>7</v>
      </c>
      <c r="CB187" s="114">
        <f t="shared" si="7"/>
        <v>7</v>
      </c>
      <c r="CC187" s="67">
        <v>5.8160668E7</v>
      </c>
    </row>
    <row r="188" ht="15.0" hidden="1" customHeight="1" outlineLevel="1">
      <c r="A188" s="59">
        <v>46225.51890891204</v>
      </c>
      <c r="B188" s="115" t="s">
        <v>105</v>
      </c>
      <c r="C188" s="54" t="s">
        <v>100</v>
      </c>
      <c r="D188" s="56" t="s">
        <v>319</v>
      </c>
      <c r="E188" s="69">
        <v>46227.375</v>
      </c>
      <c r="F188" s="73"/>
      <c r="G188" s="60" t="s">
        <v>2842</v>
      </c>
      <c r="H188" s="60" t="s">
        <v>2843</v>
      </c>
      <c r="I188" s="67" t="s">
        <v>382</v>
      </c>
      <c r="J188" s="79" t="s">
        <v>2844</v>
      </c>
      <c r="K188" s="67" t="s">
        <v>109</v>
      </c>
      <c r="L188" s="79" t="s">
        <v>2845</v>
      </c>
      <c r="M188" s="83" t="s">
        <v>2846</v>
      </c>
      <c r="N188" s="78">
        <v>30439.0</v>
      </c>
      <c r="O188" s="80" t="s">
        <v>31</v>
      </c>
      <c r="P188" s="156" t="s">
        <v>2847</v>
      </c>
      <c r="Q188" s="54"/>
      <c r="R188" s="84"/>
      <c r="S188" s="84"/>
      <c r="T188" s="54"/>
      <c r="U188" s="86"/>
      <c r="V188" s="54"/>
      <c r="W188" s="86"/>
      <c r="X188" s="54" t="s">
        <v>1012</v>
      </c>
      <c r="Y188" s="78"/>
      <c r="Z188" s="54"/>
      <c r="AA188" s="70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54" t="s">
        <v>2109</v>
      </c>
      <c r="AR188" s="83" t="s">
        <v>2848</v>
      </c>
      <c r="AS188" s="83" t="s">
        <v>2849</v>
      </c>
      <c r="AT188" s="93" t="s">
        <v>2844</v>
      </c>
      <c r="AU188" s="93" t="s">
        <v>2844</v>
      </c>
      <c r="AV188" s="93" t="s">
        <v>2844</v>
      </c>
      <c r="AW188" s="83" t="s">
        <v>2850</v>
      </c>
      <c r="AX188" s="83">
        <v>2.0</v>
      </c>
      <c r="AY188" s="83">
        <v>0.0</v>
      </c>
      <c r="AZ188" s="83" t="s">
        <v>2851</v>
      </c>
      <c r="BA188" s="83" t="s">
        <v>2852</v>
      </c>
      <c r="BB188" s="83" t="s">
        <v>2853</v>
      </c>
      <c r="BC188" s="54" t="s">
        <v>31</v>
      </c>
      <c r="BD188" s="54" t="str">
        <f t="shared" si="1"/>
        <v>Cusco</v>
      </c>
      <c r="BE188" s="67" t="s">
        <v>140</v>
      </c>
      <c r="BF188" s="67" t="s">
        <v>144</v>
      </c>
      <c r="BG188" s="67" t="s">
        <v>142</v>
      </c>
      <c r="BH188" s="67"/>
      <c r="BI188" s="67"/>
      <c r="BJ188" s="67"/>
      <c r="BK188" s="67"/>
      <c r="BL188" s="67" t="s">
        <v>147</v>
      </c>
      <c r="BM188" s="67" t="s">
        <v>146</v>
      </c>
      <c r="BN188" s="100">
        <v>89.0</v>
      </c>
      <c r="BO188" s="102" t="s">
        <v>148</v>
      </c>
      <c r="BP188" s="67" t="s">
        <v>141</v>
      </c>
      <c r="BQ188" s="79" t="s">
        <v>141</v>
      </c>
      <c r="BR188" s="67" t="s">
        <v>149</v>
      </c>
      <c r="BS188" s="102">
        <v>1.0</v>
      </c>
      <c r="BT188" s="106">
        <v>46227.0</v>
      </c>
      <c r="BU188" s="107">
        <v>2.0</v>
      </c>
      <c r="BV188" s="108">
        <f t="shared" si="2"/>
        <v>46225</v>
      </c>
      <c r="BW188" s="108">
        <f t="shared" si="12"/>
        <v>46227</v>
      </c>
      <c r="BX188" s="102" t="str">
        <f t="shared" si="13"/>
        <v>09</v>
      </c>
      <c r="BY188" s="107">
        <f t="shared" si="5"/>
        <v>5</v>
      </c>
      <c r="BZ188" s="107">
        <f t="array" ref="BZ188">IF($A188&lt;&gt;"",INDEX(LISTA!$M$2:$N$27,MATCH($BC188,LISTA!$N$2:$N$27,0),1),"")</f>
        <v>10</v>
      </c>
      <c r="CA188" s="67">
        <f t="shared" si="6"/>
        <v>7</v>
      </c>
      <c r="CB188" s="114">
        <f t="shared" si="7"/>
        <v>7</v>
      </c>
      <c r="CC188" s="67">
        <v>5.8168346E7</v>
      </c>
    </row>
    <row r="189" ht="15.0" hidden="1" customHeight="1" outlineLevel="1">
      <c r="A189" s="59">
        <v>46225.467678587964</v>
      </c>
      <c r="B189" s="115" t="s">
        <v>105</v>
      </c>
      <c r="C189" s="54" t="s">
        <v>100</v>
      </c>
      <c r="D189" s="56" t="s">
        <v>319</v>
      </c>
      <c r="E189" s="69">
        <v>46227.375</v>
      </c>
      <c r="F189" s="73" t="s">
        <v>1756</v>
      </c>
      <c r="G189" s="60" t="s">
        <v>2854</v>
      </c>
      <c r="H189" s="60" t="s">
        <v>2855</v>
      </c>
      <c r="I189" s="67" t="s">
        <v>107</v>
      </c>
      <c r="J189" s="79" t="s">
        <v>2856</v>
      </c>
      <c r="K189" s="67" t="s">
        <v>109</v>
      </c>
      <c r="L189" s="79" t="s">
        <v>2857</v>
      </c>
      <c r="M189" s="83" t="s">
        <v>2858</v>
      </c>
      <c r="N189" s="78">
        <v>35077.0</v>
      </c>
      <c r="O189" s="80" t="s">
        <v>27</v>
      </c>
      <c r="P189" s="70">
        <v>15042.0</v>
      </c>
      <c r="Q189" s="54"/>
      <c r="R189" s="84"/>
      <c r="S189" s="84"/>
      <c r="T189" s="54" t="s">
        <v>122</v>
      </c>
      <c r="U189" s="86"/>
      <c r="V189" s="54"/>
      <c r="W189" s="86"/>
      <c r="X189" s="54"/>
      <c r="Y189" s="78"/>
      <c r="Z189" s="54"/>
      <c r="AA189" s="70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54" t="s">
        <v>1640</v>
      </c>
      <c r="AR189" s="83" t="s">
        <v>310</v>
      </c>
      <c r="AS189" s="83" t="s">
        <v>2859</v>
      </c>
      <c r="AT189" s="93" t="s">
        <v>2860</v>
      </c>
      <c r="AU189" s="93" t="s">
        <v>2856</v>
      </c>
      <c r="AV189" s="93" t="s">
        <v>2856</v>
      </c>
      <c r="AW189" s="83" t="s">
        <v>2861</v>
      </c>
      <c r="AX189" s="83">
        <v>1.0</v>
      </c>
      <c r="AY189" s="83">
        <v>0.0</v>
      </c>
      <c r="AZ189" s="83" t="s">
        <v>2862</v>
      </c>
      <c r="BA189" s="83" t="s">
        <v>2863</v>
      </c>
      <c r="BB189" s="83" t="s">
        <v>2864</v>
      </c>
      <c r="BC189" s="54" t="s">
        <v>27</v>
      </c>
      <c r="BD189" s="54" t="str">
        <f t="shared" si="1"/>
        <v>Arequipa</v>
      </c>
      <c r="BE189" s="67" t="s">
        <v>140</v>
      </c>
      <c r="BF189" s="67" t="s">
        <v>141</v>
      </c>
      <c r="BG189" s="67" t="s">
        <v>142</v>
      </c>
      <c r="BH189" s="67"/>
      <c r="BI189" s="67"/>
      <c r="BJ189" s="67"/>
      <c r="BK189" s="67"/>
      <c r="BL189" s="67" t="s">
        <v>147</v>
      </c>
      <c r="BM189" s="67" t="s">
        <v>146</v>
      </c>
      <c r="BN189" s="100">
        <v>89.0</v>
      </c>
      <c r="BO189" s="102" t="s">
        <v>148</v>
      </c>
      <c r="BP189" s="67" t="s">
        <v>141</v>
      </c>
      <c r="BQ189" s="79" t="s">
        <v>141</v>
      </c>
      <c r="BR189" s="67" t="s">
        <v>149</v>
      </c>
      <c r="BS189" s="102">
        <v>1.0</v>
      </c>
      <c r="BT189" s="106">
        <v>46227.0</v>
      </c>
      <c r="BU189" s="107">
        <v>3.0</v>
      </c>
      <c r="BV189" s="108">
        <f t="shared" si="2"/>
        <v>46225</v>
      </c>
      <c r="BW189" s="108">
        <f t="shared" si="12"/>
        <v>46227</v>
      </c>
      <c r="BX189" s="102" t="str">
        <f t="shared" si="13"/>
        <v>09</v>
      </c>
      <c r="BY189" s="107">
        <f t="shared" si="5"/>
        <v>5</v>
      </c>
      <c r="BZ189" s="107">
        <f t="array" ref="BZ189">IF($A189&lt;&gt;"",INDEX(LISTA!$M$2:$N$27,MATCH($BC189,LISTA!$N$2:$N$27,0),1),"")</f>
        <v>7</v>
      </c>
      <c r="CA189" s="67">
        <f t="shared" si="6"/>
        <v>7</v>
      </c>
      <c r="CB189" s="114">
        <f t="shared" si="7"/>
        <v>7</v>
      </c>
      <c r="CC189" s="67">
        <v>5.8168733E7</v>
      </c>
    </row>
    <row r="190" ht="15.0" hidden="1" customHeight="1" outlineLevel="1">
      <c r="A190" s="59">
        <v>46226.55157899305</v>
      </c>
      <c r="B190" s="115" t="s">
        <v>105</v>
      </c>
      <c r="C190" s="54" t="s">
        <v>100</v>
      </c>
      <c r="D190" s="56" t="s">
        <v>319</v>
      </c>
      <c r="E190" s="69">
        <v>46227.583333333336</v>
      </c>
      <c r="F190" s="73"/>
      <c r="G190" s="60" t="s">
        <v>2865</v>
      </c>
      <c r="H190" s="60" t="s">
        <v>2866</v>
      </c>
      <c r="I190" s="67" t="s">
        <v>350</v>
      </c>
      <c r="J190" s="79" t="s">
        <v>2867</v>
      </c>
      <c r="K190" s="67" t="s">
        <v>109</v>
      </c>
      <c r="L190" s="79" t="s">
        <v>2868</v>
      </c>
      <c r="M190" s="83" t="s">
        <v>2869</v>
      </c>
      <c r="N190" s="78">
        <v>23565.0</v>
      </c>
      <c r="O190" s="80" t="s">
        <v>49</v>
      </c>
      <c r="P190" s="70">
        <v>220901.0</v>
      </c>
      <c r="Q190" s="54"/>
      <c r="R190" s="84"/>
      <c r="S190" s="84"/>
      <c r="T190" s="54"/>
      <c r="U190" s="86"/>
      <c r="V190" s="54"/>
      <c r="W190" s="86" t="s">
        <v>2870</v>
      </c>
      <c r="X190" s="54"/>
      <c r="Y190" s="78"/>
      <c r="Z190" s="54"/>
      <c r="AA190" s="70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54" t="s">
        <v>1880</v>
      </c>
      <c r="AR190" s="83" t="s">
        <v>2871</v>
      </c>
      <c r="AS190" s="83" t="s">
        <v>2872</v>
      </c>
      <c r="AT190" s="93" t="s">
        <v>2873</v>
      </c>
      <c r="AU190" s="93" t="s">
        <v>2873</v>
      </c>
      <c r="AV190" s="93" t="s">
        <v>2873</v>
      </c>
      <c r="AW190" s="83" t="s">
        <v>2874</v>
      </c>
      <c r="AX190" s="83">
        <v>2.0</v>
      </c>
      <c r="AY190" s="83">
        <v>0.0</v>
      </c>
      <c r="AZ190" s="83" t="s">
        <v>2875</v>
      </c>
      <c r="BA190" s="83" t="s">
        <v>2876</v>
      </c>
      <c r="BB190" s="83" t="s">
        <v>2877</v>
      </c>
      <c r="BC190" s="54" t="s">
        <v>30</v>
      </c>
      <c r="BD190" s="54" t="str">
        <f t="shared" si="1"/>
        <v>Mi Perú</v>
      </c>
      <c r="BE190" s="67" t="s">
        <v>140</v>
      </c>
      <c r="BF190" s="67" t="s">
        <v>144</v>
      </c>
      <c r="BG190" s="67" t="s">
        <v>142</v>
      </c>
      <c r="BH190" s="67"/>
      <c r="BI190" s="67"/>
      <c r="BJ190" s="67"/>
      <c r="BK190" s="67"/>
      <c r="BL190" s="67" t="s">
        <v>283</v>
      </c>
      <c r="BM190" s="67" t="s">
        <v>146</v>
      </c>
      <c r="BN190" s="100">
        <v>94.0</v>
      </c>
      <c r="BO190" s="102" t="s">
        <v>148</v>
      </c>
      <c r="BP190" s="67" t="s">
        <v>141</v>
      </c>
      <c r="BQ190" s="79" t="s">
        <v>144</v>
      </c>
      <c r="BR190" s="67" t="s">
        <v>149</v>
      </c>
      <c r="BS190" s="102">
        <v>1.0</v>
      </c>
      <c r="BT190" s="106">
        <v>46227.0</v>
      </c>
      <c r="BU190" s="107">
        <v>4.0</v>
      </c>
      <c r="BV190" s="108">
        <f t="shared" si="2"/>
        <v>46226</v>
      </c>
      <c r="BW190" s="108">
        <f t="shared" si="12"/>
        <v>46227</v>
      </c>
      <c r="BX190" s="102" t="str">
        <f t="shared" si="13"/>
        <v>14</v>
      </c>
      <c r="BY190" s="107">
        <f t="shared" si="5"/>
        <v>5</v>
      </c>
      <c r="BZ190" s="107">
        <f t="array" ref="BZ190">IF($A190&lt;&gt;"",INDEX(LISTA!$M$2:$N$27,MATCH($BC190,LISTA!$N$2:$N$27,0),1),"")</f>
        <v>2</v>
      </c>
      <c r="CA190" s="67">
        <f t="shared" si="6"/>
        <v>7</v>
      </c>
      <c r="CB190" s="114">
        <f t="shared" si="7"/>
        <v>7</v>
      </c>
      <c r="CC190" s="67">
        <v>5.817581E7</v>
      </c>
    </row>
    <row r="191" ht="15.0" hidden="1" customHeight="1" outlineLevel="1">
      <c r="A191" s="59">
        <v>46227.37320613426</v>
      </c>
      <c r="B191" s="115" t="s">
        <v>105</v>
      </c>
      <c r="C191" s="54" t="s">
        <v>100</v>
      </c>
      <c r="D191" s="56" t="s">
        <v>101</v>
      </c>
      <c r="E191" s="69">
        <v>46228.583333333336</v>
      </c>
      <c r="F191" s="73"/>
      <c r="G191" s="60" t="s">
        <v>2878</v>
      </c>
      <c r="H191" s="60" t="s">
        <v>2879</v>
      </c>
      <c r="I191" s="67" t="s">
        <v>380</v>
      </c>
      <c r="J191" s="79" t="s">
        <v>2880</v>
      </c>
      <c r="K191" s="67" t="s">
        <v>109</v>
      </c>
      <c r="L191" s="79" t="s">
        <v>2881</v>
      </c>
      <c r="M191" s="83" t="s">
        <v>2882</v>
      </c>
      <c r="N191" s="78">
        <v>17748.0</v>
      </c>
      <c r="O191" s="80" t="s">
        <v>41</v>
      </c>
      <c r="P191" s="70">
        <v>140101.0</v>
      </c>
      <c r="Q191" s="54"/>
      <c r="R191" s="84"/>
      <c r="S191" s="84"/>
      <c r="T191" s="54"/>
      <c r="U191" s="86"/>
      <c r="V191" s="54"/>
      <c r="W191" s="86"/>
      <c r="X191" s="54"/>
      <c r="Y191" s="78"/>
      <c r="Z191" s="54"/>
      <c r="AA191" s="70"/>
      <c r="AB191" s="83"/>
      <c r="AC191" s="83"/>
      <c r="AD191" s="83"/>
      <c r="AE191" s="83"/>
      <c r="AF191" s="83" t="s">
        <v>300</v>
      </c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54" t="s">
        <v>236</v>
      </c>
      <c r="AR191" s="83" t="s">
        <v>874</v>
      </c>
      <c r="AS191" s="83" t="s">
        <v>2883</v>
      </c>
      <c r="AT191" s="93" t="s">
        <v>2880</v>
      </c>
      <c r="AU191" s="93" t="s">
        <v>2884</v>
      </c>
      <c r="AV191" s="93" t="s">
        <v>2884</v>
      </c>
      <c r="AW191" s="83" t="s">
        <v>2885</v>
      </c>
      <c r="AX191" s="83">
        <v>1.0</v>
      </c>
      <c r="AY191" s="83" t="s">
        <v>1767</v>
      </c>
      <c r="AZ191" s="83" t="s">
        <v>2886</v>
      </c>
      <c r="BA191" s="83" t="s">
        <v>1767</v>
      </c>
      <c r="BB191" s="83" t="s">
        <v>2887</v>
      </c>
      <c r="BC191" s="54" t="s">
        <v>41</v>
      </c>
      <c r="BD191" s="54" t="str">
        <f t="shared" si="1"/>
        <v>Ate</v>
      </c>
      <c r="BE191" s="67" t="s">
        <v>140</v>
      </c>
      <c r="BF191" s="67" t="s">
        <v>141</v>
      </c>
      <c r="BG191" s="67" t="s">
        <v>142</v>
      </c>
      <c r="BH191" s="67"/>
      <c r="BI191" s="67"/>
      <c r="BJ191" s="67"/>
      <c r="BK191" s="67"/>
      <c r="BL191" s="67" t="s">
        <v>213</v>
      </c>
      <c r="BM191" s="67" t="s">
        <v>146</v>
      </c>
      <c r="BN191" s="100">
        <v>110.0</v>
      </c>
      <c r="BO191" s="102" t="s">
        <v>182</v>
      </c>
      <c r="BP191" s="67" t="s">
        <v>144</v>
      </c>
      <c r="BQ191" s="79" t="s">
        <v>141</v>
      </c>
      <c r="BR191" s="67" t="s">
        <v>149</v>
      </c>
      <c r="BS191" s="102">
        <v>1.0</v>
      </c>
      <c r="BT191" s="106">
        <v>46227.0</v>
      </c>
      <c r="BU191" s="107">
        <v>5.0</v>
      </c>
      <c r="BV191" s="108">
        <f t="shared" si="2"/>
        <v>46227</v>
      </c>
      <c r="BW191" s="108">
        <f t="shared" si="12"/>
        <v>46228</v>
      </c>
      <c r="BX191" s="102" t="str">
        <f t="shared" si="13"/>
        <v>14</v>
      </c>
      <c r="BY191" s="107">
        <f t="shared" si="5"/>
        <v>5</v>
      </c>
      <c r="BZ191" s="107">
        <f t="array" ref="BZ191">IF($A191&lt;&gt;"",INDEX(LISTA!$M$2:$N$27,MATCH($BC191,LISTA!$N$2:$N$27,0),1),"")</f>
        <v>1</v>
      </c>
      <c r="CA191" s="67">
        <f t="shared" si="6"/>
        <v>7</v>
      </c>
      <c r="CB191" s="114">
        <f t="shared" si="7"/>
        <v>7</v>
      </c>
      <c r="CC191" s="67">
        <v>5.8179853E7</v>
      </c>
    </row>
    <row r="192" ht="15.0" hidden="1" customHeight="1" outlineLevel="1">
      <c r="A192" s="59">
        <v>46227.52748936343</v>
      </c>
      <c r="B192" s="115" t="s">
        <v>105</v>
      </c>
      <c r="C192" s="54" t="s">
        <v>100</v>
      </c>
      <c r="D192" s="56" t="s">
        <v>319</v>
      </c>
      <c r="E192" s="69">
        <v>46228.583333333336</v>
      </c>
      <c r="F192" s="73"/>
      <c r="G192" s="60" t="s">
        <v>2888</v>
      </c>
      <c r="H192" s="60" t="s">
        <v>2889</v>
      </c>
      <c r="I192" s="67" t="s">
        <v>382</v>
      </c>
      <c r="J192" s="79" t="s">
        <v>2890</v>
      </c>
      <c r="K192" s="67" t="s">
        <v>109</v>
      </c>
      <c r="L192" s="79" t="s">
        <v>2891</v>
      </c>
      <c r="M192" s="83" t="s">
        <v>2892</v>
      </c>
      <c r="N192" s="78">
        <v>36075.0</v>
      </c>
      <c r="O192" s="80" t="s">
        <v>37</v>
      </c>
      <c r="P192" s="70">
        <v>150101.0</v>
      </c>
      <c r="Q192" s="54"/>
      <c r="R192" s="84"/>
      <c r="S192" s="84"/>
      <c r="T192" s="54"/>
      <c r="U192" s="86"/>
      <c r="V192" s="54"/>
      <c r="W192" s="86"/>
      <c r="X192" s="54"/>
      <c r="Y192" s="78"/>
      <c r="Z192" s="54"/>
      <c r="AA192" s="70"/>
      <c r="AB192" s="83"/>
      <c r="AC192" s="83"/>
      <c r="AD192" s="83"/>
      <c r="AE192" s="83"/>
      <c r="AF192" s="83" t="s">
        <v>2284</v>
      </c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54" t="s">
        <v>2893</v>
      </c>
      <c r="AR192" s="83" t="s">
        <v>2894</v>
      </c>
      <c r="AS192" s="83" t="s">
        <v>2895</v>
      </c>
      <c r="AT192" s="93" t="s">
        <v>2890</v>
      </c>
      <c r="AU192" s="93" t="s">
        <v>2890</v>
      </c>
      <c r="AV192" s="93" t="s">
        <v>2890</v>
      </c>
      <c r="AW192" s="83" t="s">
        <v>2896</v>
      </c>
      <c r="AX192" s="83">
        <v>1.0</v>
      </c>
      <c r="AY192" s="83">
        <v>0.0</v>
      </c>
      <c r="AZ192" s="83" t="s">
        <v>2897</v>
      </c>
      <c r="BA192" s="83" t="s">
        <v>2898</v>
      </c>
      <c r="BB192" s="83" t="s">
        <v>2899</v>
      </c>
      <c r="BC192" s="54" t="s">
        <v>41</v>
      </c>
      <c r="BD192" s="54" t="str">
        <f t="shared" si="1"/>
        <v>Chorrillos</v>
      </c>
      <c r="BE192" s="67" t="s">
        <v>140</v>
      </c>
      <c r="BF192" s="67" t="s">
        <v>141</v>
      </c>
      <c r="BG192" s="67" t="s">
        <v>142</v>
      </c>
      <c r="BH192" s="67"/>
      <c r="BI192" s="67"/>
      <c r="BJ192" s="67"/>
      <c r="BK192" s="67"/>
      <c r="BL192" s="67" t="s">
        <v>147</v>
      </c>
      <c r="BM192" s="67" t="s">
        <v>146</v>
      </c>
      <c r="BN192" s="100">
        <v>89.0</v>
      </c>
      <c r="BO192" s="102" t="s">
        <v>148</v>
      </c>
      <c r="BP192" s="67" t="s">
        <v>141</v>
      </c>
      <c r="BQ192" s="79" t="s">
        <v>141</v>
      </c>
      <c r="BR192" s="67" t="s">
        <v>149</v>
      </c>
      <c r="BS192" s="102" t="s">
        <v>149</v>
      </c>
      <c r="BT192" s="106">
        <v>46227.0</v>
      </c>
      <c r="BU192" s="107">
        <v>6.0</v>
      </c>
      <c r="BV192" s="108">
        <f t="shared" si="2"/>
        <v>46227</v>
      </c>
      <c r="BW192" s="108">
        <f t="shared" si="12"/>
        <v>46228</v>
      </c>
      <c r="BX192" s="102" t="str">
        <f t="shared" si="13"/>
        <v>14</v>
      </c>
      <c r="BY192" s="107">
        <f t="shared" si="5"/>
        <v>5</v>
      </c>
      <c r="BZ192" s="107">
        <f t="array" ref="BZ192">IF($A192&lt;&gt;"",INDEX(LISTA!$M$2:$N$27,MATCH($BC192,LISTA!$N$2:$N$27,0),1),"")</f>
        <v>1</v>
      </c>
      <c r="CA192" s="67">
        <f t="shared" si="6"/>
        <v>7</v>
      </c>
      <c r="CB192" s="114">
        <f t="shared" si="7"/>
        <v>7</v>
      </c>
      <c r="CC192" s="67">
        <v>5.8181778E7</v>
      </c>
    </row>
    <row r="193" ht="15.0" hidden="1" customHeight="1" outlineLevel="1">
      <c r="A193" s="59">
        <v>46228.69848452546</v>
      </c>
      <c r="B193" s="115" t="s">
        <v>105</v>
      </c>
      <c r="C193" s="54" t="s">
        <v>100</v>
      </c>
      <c r="D193" s="56" t="s">
        <v>319</v>
      </c>
      <c r="E193" s="69">
        <v>46234.583333333336</v>
      </c>
      <c r="F193" s="73"/>
      <c r="G193" s="60" t="s">
        <v>2900</v>
      </c>
      <c r="H193" s="60" t="s">
        <v>2901</v>
      </c>
      <c r="I193" s="67" t="s">
        <v>382</v>
      </c>
      <c r="J193" s="79" t="s">
        <v>2902</v>
      </c>
      <c r="K193" s="67" t="s">
        <v>109</v>
      </c>
      <c r="L193" s="79" t="s">
        <v>2903</v>
      </c>
      <c r="M193" s="83" t="s">
        <v>2904</v>
      </c>
      <c r="N193" s="78">
        <v>37047.0</v>
      </c>
      <c r="O193" s="80" t="s">
        <v>24</v>
      </c>
      <c r="P193" s="156" t="s">
        <v>2905</v>
      </c>
      <c r="Q193" s="54"/>
      <c r="R193" s="84" t="s">
        <v>450</v>
      </c>
      <c r="S193" s="84"/>
      <c r="T193" s="54"/>
      <c r="U193" s="86"/>
      <c r="V193" s="54"/>
      <c r="W193" s="86"/>
      <c r="X193" s="54"/>
      <c r="Y193" s="78"/>
      <c r="Z193" s="54"/>
      <c r="AA193" s="70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54" t="s">
        <v>2906</v>
      </c>
      <c r="AR193" s="83" t="s">
        <v>2907</v>
      </c>
      <c r="AS193" s="83" t="s">
        <v>2908</v>
      </c>
      <c r="AT193" s="93" t="s">
        <v>2902</v>
      </c>
      <c r="AU193" s="93" t="s">
        <v>2902</v>
      </c>
      <c r="AV193" s="93" t="s">
        <v>2902</v>
      </c>
      <c r="AW193" s="83" t="s">
        <v>2909</v>
      </c>
      <c r="AX193" s="83">
        <v>1.0</v>
      </c>
      <c r="AY193" s="83">
        <v>0.0</v>
      </c>
      <c r="AZ193" s="83" t="s">
        <v>2910</v>
      </c>
      <c r="BA193" s="83" t="s">
        <v>2911</v>
      </c>
      <c r="BB193" s="83" t="s">
        <v>2912</v>
      </c>
      <c r="BC193" s="54" t="s">
        <v>24</v>
      </c>
      <c r="BD193" s="54" t="str">
        <f t="shared" si="1"/>
        <v>Huaraz</v>
      </c>
      <c r="BE193" s="67" t="s">
        <v>140</v>
      </c>
      <c r="BF193" s="67" t="s">
        <v>144</v>
      </c>
      <c r="BG193" s="67" t="s">
        <v>142</v>
      </c>
      <c r="BH193" s="67"/>
      <c r="BI193" s="67"/>
      <c r="BJ193" s="67"/>
      <c r="BK193" s="67"/>
      <c r="BL193" s="67" t="s">
        <v>147</v>
      </c>
      <c r="BM193" s="67" t="s">
        <v>146</v>
      </c>
      <c r="BN193" s="100">
        <v>89.0</v>
      </c>
      <c r="BO193" s="102" t="s">
        <v>148</v>
      </c>
      <c r="BP193" s="67" t="s">
        <v>141</v>
      </c>
      <c r="BQ193" s="79" t="s">
        <v>141</v>
      </c>
      <c r="BR193" s="67" t="s">
        <v>149</v>
      </c>
      <c r="BS193" s="102">
        <v>1.0</v>
      </c>
      <c r="BT193" s="106">
        <v>46227.0</v>
      </c>
      <c r="BU193" s="107">
        <v>8.0</v>
      </c>
      <c r="BV193" s="108">
        <f t="shared" si="2"/>
        <v>46228</v>
      </c>
      <c r="BW193" s="108">
        <f t="shared" si="12"/>
        <v>46234</v>
      </c>
      <c r="BX193" s="102" t="str">
        <f t="shared" si="13"/>
        <v>14</v>
      </c>
      <c r="BY193" s="107">
        <f t="shared" si="5"/>
        <v>5</v>
      </c>
      <c r="BZ193" s="107">
        <f t="array" ref="BZ193">IF($A193&lt;&gt;"",INDEX(LISTA!$M$2:$N$27,MATCH($BC193,LISTA!$N$2:$N$27,0),1),"")</f>
        <v>5</v>
      </c>
      <c r="CA193" s="67">
        <f t="shared" si="6"/>
        <v>7</v>
      </c>
      <c r="CB193" s="114">
        <f t="shared" si="7"/>
        <v>7</v>
      </c>
      <c r="CC193" s="67">
        <v>5.8191139E7</v>
      </c>
    </row>
    <row r="194" ht="15.0" hidden="1" customHeight="1" outlineLevel="1">
      <c r="A194" s="59">
        <v>46227.52033517361</v>
      </c>
      <c r="B194" s="115" t="s">
        <v>105</v>
      </c>
      <c r="C194" s="54" t="s">
        <v>100</v>
      </c>
      <c r="D194" s="56" t="s">
        <v>319</v>
      </c>
      <c r="E194" s="69">
        <v>46228.375</v>
      </c>
      <c r="F194" s="73"/>
      <c r="G194" s="60" t="s">
        <v>2913</v>
      </c>
      <c r="H194" s="60" t="s">
        <v>2914</v>
      </c>
      <c r="I194" s="67" t="s">
        <v>382</v>
      </c>
      <c r="J194" s="79" t="s">
        <v>2915</v>
      </c>
      <c r="K194" s="67" t="s">
        <v>109</v>
      </c>
      <c r="L194" s="79" t="s">
        <v>2916</v>
      </c>
      <c r="M194" s="83" t="s">
        <v>2917</v>
      </c>
      <c r="N194" s="78">
        <v>35499.0</v>
      </c>
      <c r="O194" s="80" t="s">
        <v>34</v>
      </c>
      <c r="P194" s="70">
        <v>160101.0</v>
      </c>
      <c r="Q194" s="54"/>
      <c r="R194" s="84"/>
      <c r="S194" s="84"/>
      <c r="T194" s="54"/>
      <c r="U194" s="86"/>
      <c r="V194" s="54"/>
      <c r="W194" s="86"/>
      <c r="X194" s="54"/>
      <c r="Y194" s="78"/>
      <c r="Z194" s="54"/>
      <c r="AA194" s="70" t="s">
        <v>525</v>
      </c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54" t="s">
        <v>2918</v>
      </c>
      <c r="AR194" s="83" t="s">
        <v>2919</v>
      </c>
      <c r="AS194" s="83" t="s">
        <v>2920</v>
      </c>
      <c r="AT194" s="93" t="s">
        <v>2921</v>
      </c>
      <c r="AU194" s="93" t="s">
        <v>2921</v>
      </c>
      <c r="AV194" s="93" t="s">
        <v>2921</v>
      </c>
      <c r="AW194" s="83" t="s">
        <v>2922</v>
      </c>
      <c r="AX194" s="83">
        <v>1.0</v>
      </c>
      <c r="AY194" s="83">
        <v>0.0</v>
      </c>
      <c r="AZ194" s="83" t="s">
        <v>2923</v>
      </c>
      <c r="BA194" s="83" t="s">
        <v>2924</v>
      </c>
      <c r="BB194" s="83" t="s">
        <v>2925</v>
      </c>
      <c r="BC194" s="54" t="s">
        <v>34</v>
      </c>
      <c r="BD194" s="70" t="str">
        <f t="shared" si="1"/>
        <v>Ica</v>
      </c>
      <c r="BE194" s="67" t="s">
        <v>143</v>
      </c>
      <c r="BF194" s="67" t="s">
        <v>144</v>
      </c>
      <c r="BG194" s="67" t="s">
        <v>142</v>
      </c>
      <c r="BH194" s="67"/>
      <c r="BI194" s="67"/>
      <c r="BJ194" s="67"/>
      <c r="BK194" s="67"/>
      <c r="BL194" s="67" t="s">
        <v>283</v>
      </c>
      <c r="BM194" s="67" t="s">
        <v>146</v>
      </c>
      <c r="BN194" s="100">
        <v>84.0</v>
      </c>
      <c r="BO194" s="102" t="s">
        <v>2305</v>
      </c>
      <c r="BP194" s="67" t="s">
        <v>141</v>
      </c>
      <c r="BQ194" s="79" t="s">
        <v>144</v>
      </c>
      <c r="BR194" s="67" t="s">
        <v>149</v>
      </c>
      <c r="BS194" s="102" t="s">
        <v>149</v>
      </c>
      <c r="BT194" s="106">
        <v>46228.0</v>
      </c>
      <c r="BU194" s="107">
        <v>1.0</v>
      </c>
      <c r="BV194" s="108">
        <f t="shared" si="2"/>
        <v>46227</v>
      </c>
      <c r="BW194" s="108">
        <f t="shared" si="12"/>
        <v>46228</v>
      </c>
      <c r="BX194" s="102" t="str">
        <f t="shared" si="13"/>
        <v>09</v>
      </c>
      <c r="BY194" s="107">
        <f t="shared" si="5"/>
        <v>5</v>
      </c>
      <c r="BZ194" s="107">
        <f t="array" ref="BZ194">IF($A194&lt;&gt;"",INDEX(LISTA!$M$2:$N$27,MATCH($BC194,LISTA!$N$2:$N$27,0),1),"")</f>
        <v>13</v>
      </c>
      <c r="CA194" s="67">
        <f t="shared" si="6"/>
        <v>7</v>
      </c>
      <c r="CB194" s="114">
        <f t="shared" si="7"/>
        <v>7</v>
      </c>
      <c r="CC194" s="67">
        <v>5.8180707E7</v>
      </c>
    </row>
    <row r="195" ht="15.0" hidden="1" customHeight="1" outlineLevel="1">
      <c r="A195" s="59">
        <v>46224.40876048611</v>
      </c>
      <c r="B195" s="115" t="s">
        <v>105</v>
      </c>
      <c r="C195" s="54" t="s">
        <v>100</v>
      </c>
      <c r="D195" s="56" t="s">
        <v>319</v>
      </c>
      <c r="E195" s="69">
        <v>46228.375</v>
      </c>
      <c r="F195" s="73"/>
      <c r="G195" s="60" t="s">
        <v>2926</v>
      </c>
      <c r="H195" s="60" t="s">
        <v>2927</v>
      </c>
      <c r="I195" s="67" t="s">
        <v>363</v>
      </c>
      <c r="J195" s="79" t="s">
        <v>2928</v>
      </c>
      <c r="K195" s="67" t="s">
        <v>109</v>
      </c>
      <c r="L195" s="79" t="s">
        <v>2929</v>
      </c>
      <c r="M195" s="83" t="s">
        <v>2930</v>
      </c>
      <c r="N195" s="78">
        <v>24320.0</v>
      </c>
      <c r="O195" s="80" t="s">
        <v>24</v>
      </c>
      <c r="P195" s="156" t="s">
        <v>1283</v>
      </c>
      <c r="Q195" s="54"/>
      <c r="R195" s="84" t="s">
        <v>1284</v>
      </c>
      <c r="S195" s="84"/>
      <c r="T195" s="54"/>
      <c r="U195" s="86"/>
      <c r="V195" s="54"/>
      <c r="W195" s="86"/>
      <c r="X195" s="54"/>
      <c r="Y195" s="78"/>
      <c r="Z195" s="54"/>
      <c r="AA195" s="70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54" t="s">
        <v>1341</v>
      </c>
      <c r="AR195" s="83" t="s">
        <v>2109</v>
      </c>
      <c r="AS195" s="83" t="s">
        <v>2931</v>
      </c>
      <c r="AT195" s="93" t="s">
        <v>2932</v>
      </c>
      <c r="AU195" s="93" t="s">
        <v>2932</v>
      </c>
      <c r="AV195" s="93" t="s">
        <v>2933</v>
      </c>
      <c r="AW195" s="83" t="s">
        <v>2934</v>
      </c>
      <c r="AX195" s="83">
        <v>1.0</v>
      </c>
      <c r="AY195" s="83">
        <v>0.0</v>
      </c>
      <c r="AZ195" s="83" t="s">
        <v>2935</v>
      </c>
      <c r="BA195" s="83" t="s">
        <v>2936</v>
      </c>
      <c r="BB195" s="83" t="s">
        <v>2937</v>
      </c>
      <c r="BC195" s="54" t="s">
        <v>24</v>
      </c>
      <c r="BD195" s="54" t="str">
        <f t="shared" si="1"/>
        <v>Santa</v>
      </c>
      <c r="BE195" s="67" t="s">
        <v>143</v>
      </c>
      <c r="BF195" s="67" t="s">
        <v>141</v>
      </c>
      <c r="BG195" s="67" t="s">
        <v>142</v>
      </c>
      <c r="BH195" s="67"/>
      <c r="BI195" s="67"/>
      <c r="BJ195" s="67"/>
      <c r="BK195" s="67"/>
      <c r="BL195" s="67" t="s">
        <v>145</v>
      </c>
      <c r="BM195" s="67" t="s">
        <v>146</v>
      </c>
      <c r="BN195" s="100">
        <v>150.0</v>
      </c>
      <c r="BO195" s="102" t="s">
        <v>615</v>
      </c>
      <c r="BP195" s="67" t="s">
        <v>144</v>
      </c>
      <c r="BQ195" s="79" t="s">
        <v>141</v>
      </c>
      <c r="BR195" s="67">
        <v>2.0</v>
      </c>
      <c r="BS195" s="102" t="s">
        <v>149</v>
      </c>
      <c r="BT195" s="106">
        <v>46228.0</v>
      </c>
      <c r="BU195" s="107">
        <v>2.0</v>
      </c>
      <c r="BV195" s="108">
        <f t="shared" si="2"/>
        <v>46224</v>
      </c>
      <c r="BW195" s="108">
        <f t="shared" si="12"/>
        <v>46228</v>
      </c>
      <c r="BX195" s="102" t="str">
        <f t="shared" si="13"/>
        <v>09</v>
      </c>
      <c r="BY195" s="107">
        <f t="shared" si="5"/>
        <v>5</v>
      </c>
      <c r="BZ195" s="107">
        <f t="array" ref="BZ195">IF($A195&lt;&gt;"",INDEX(LISTA!$M$2:$N$27,MATCH($BC195,LISTA!$N$2:$N$27,0),1),"")</f>
        <v>5</v>
      </c>
      <c r="CA195" s="67">
        <f t="shared" si="6"/>
        <v>7</v>
      </c>
      <c r="CB195" s="114">
        <f t="shared" si="7"/>
        <v>7</v>
      </c>
      <c r="CC195" s="67">
        <v>5.8185867E7</v>
      </c>
    </row>
    <row r="196" ht="15.0" hidden="1" customHeight="1" outlineLevel="1">
      <c r="A196" s="59">
        <v>46227.533925138894</v>
      </c>
      <c r="B196" s="115" t="s">
        <v>105</v>
      </c>
      <c r="C196" s="54" t="s">
        <v>100</v>
      </c>
      <c r="D196" s="56" t="s">
        <v>319</v>
      </c>
      <c r="E196" s="69">
        <v>46228.583333333336</v>
      </c>
      <c r="F196" s="73"/>
      <c r="G196" s="60" t="s">
        <v>2938</v>
      </c>
      <c r="H196" s="60" t="s">
        <v>2939</v>
      </c>
      <c r="I196" s="67" t="s">
        <v>350</v>
      </c>
      <c r="J196" s="79" t="s">
        <v>2940</v>
      </c>
      <c r="K196" s="67" t="s">
        <v>109</v>
      </c>
      <c r="L196" s="79" t="s">
        <v>2941</v>
      </c>
      <c r="M196" s="83" t="s">
        <v>2942</v>
      </c>
      <c r="N196" s="78">
        <v>34875.0</v>
      </c>
      <c r="O196" s="80" t="s">
        <v>31</v>
      </c>
      <c r="P196" s="156" t="s">
        <v>715</v>
      </c>
      <c r="Q196" s="54"/>
      <c r="R196" s="84"/>
      <c r="S196" s="84"/>
      <c r="T196" s="54"/>
      <c r="U196" s="86"/>
      <c r="V196" s="54"/>
      <c r="W196" s="86"/>
      <c r="X196" s="54" t="s">
        <v>1012</v>
      </c>
      <c r="Y196" s="78"/>
      <c r="Z196" s="54"/>
      <c r="AA196" s="70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54" t="s">
        <v>2697</v>
      </c>
      <c r="AR196" s="83" t="s">
        <v>2943</v>
      </c>
      <c r="AS196" s="83" t="s">
        <v>2944</v>
      </c>
      <c r="AT196" s="93" t="s">
        <v>2940</v>
      </c>
      <c r="AU196" s="93" t="s">
        <v>2940</v>
      </c>
      <c r="AV196" s="93" t="s">
        <v>2940</v>
      </c>
      <c r="AW196" s="83" t="s">
        <v>2945</v>
      </c>
      <c r="AX196" s="83">
        <v>6.0</v>
      </c>
      <c r="AY196" s="83">
        <v>601.0</v>
      </c>
      <c r="AZ196" s="83" t="s">
        <v>2946</v>
      </c>
      <c r="BA196" s="83" t="s">
        <v>2947</v>
      </c>
      <c r="BB196" s="83" t="s">
        <v>2948</v>
      </c>
      <c r="BC196" s="54" t="s">
        <v>31</v>
      </c>
      <c r="BD196" s="54" t="str">
        <f t="shared" si="1"/>
        <v>Cusco</v>
      </c>
      <c r="BE196" s="67" t="s">
        <v>140</v>
      </c>
      <c r="BF196" s="67" t="s">
        <v>141</v>
      </c>
      <c r="BG196" s="67" t="s">
        <v>142</v>
      </c>
      <c r="BH196" s="67"/>
      <c r="BI196" s="67"/>
      <c r="BJ196" s="67"/>
      <c r="BK196" s="67"/>
      <c r="BL196" s="67" t="s">
        <v>147</v>
      </c>
      <c r="BM196" s="67" t="s">
        <v>146</v>
      </c>
      <c r="BN196" s="100">
        <v>110.0</v>
      </c>
      <c r="BO196" s="102" t="s">
        <v>182</v>
      </c>
      <c r="BP196" s="67" t="s">
        <v>144</v>
      </c>
      <c r="BQ196" s="79" t="s">
        <v>141</v>
      </c>
      <c r="BR196" s="67" t="s">
        <v>149</v>
      </c>
      <c r="BS196" s="102">
        <v>1.0</v>
      </c>
      <c r="BT196" s="106">
        <v>46228.0</v>
      </c>
      <c r="BU196" s="107">
        <v>3.0</v>
      </c>
      <c r="BV196" s="108">
        <f t="shared" si="2"/>
        <v>46227</v>
      </c>
      <c r="BW196" s="108">
        <f t="shared" si="12"/>
        <v>46228</v>
      </c>
      <c r="BX196" s="102" t="str">
        <f t="shared" si="13"/>
        <v>14</v>
      </c>
      <c r="BY196" s="107">
        <f t="shared" si="5"/>
        <v>5</v>
      </c>
      <c r="BZ196" s="107">
        <f t="array" ref="BZ196">IF($A196&lt;&gt;"",INDEX(LISTA!$M$2:$N$27,MATCH($BC196,LISTA!$N$2:$N$27,0),1),"")</f>
        <v>10</v>
      </c>
      <c r="CA196" s="67">
        <f t="shared" si="6"/>
        <v>7</v>
      </c>
      <c r="CB196" s="114">
        <f t="shared" si="7"/>
        <v>7</v>
      </c>
      <c r="CC196" s="67">
        <v>5.8182114E7</v>
      </c>
    </row>
    <row r="197" ht="15.0" hidden="1" customHeight="1" outlineLevel="1">
      <c r="A197" s="59">
        <v>46225.44526974537</v>
      </c>
      <c r="B197" s="115" t="s">
        <v>105</v>
      </c>
      <c r="C197" s="54" t="s">
        <v>100</v>
      </c>
      <c r="D197" s="56" t="s">
        <v>319</v>
      </c>
      <c r="E197" s="69">
        <v>46228.583333333336</v>
      </c>
      <c r="F197" s="73"/>
      <c r="G197" s="60" t="s">
        <v>2949</v>
      </c>
      <c r="H197" s="60" t="s">
        <v>2950</v>
      </c>
      <c r="I197" s="67" t="s">
        <v>293</v>
      </c>
      <c r="J197" s="79" t="s">
        <v>2951</v>
      </c>
      <c r="K197" s="67" t="s">
        <v>109</v>
      </c>
      <c r="L197" s="79" t="s">
        <v>2952</v>
      </c>
      <c r="M197" s="83" t="s">
        <v>2953</v>
      </c>
      <c r="N197" s="78">
        <v>32364.0</v>
      </c>
      <c r="O197" s="80" t="s">
        <v>29</v>
      </c>
      <c r="P197" s="156" t="s">
        <v>2954</v>
      </c>
      <c r="Q197" s="54"/>
      <c r="R197" s="84"/>
      <c r="S197" s="84"/>
      <c r="T197" s="54"/>
      <c r="U197" s="86"/>
      <c r="V197" s="54"/>
      <c r="W197" s="86"/>
      <c r="X197" s="54"/>
      <c r="Y197" s="78"/>
      <c r="Z197" s="54"/>
      <c r="AA197" s="70"/>
      <c r="AB197" s="83"/>
      <c r="AC197" s="83"/>
      <c r="AD197" s="83" t="s">
        <v>805</v>
      </c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54" t="s">
        <v>2955</v>
      </c>
      <c r="AR197" s="83" t="s">
        <v>2956</v>
      </c>
      <c r="AS197" s="83" t="s">
        <v>2957</v>
      </c>
      <c r="AT197" s="93" t="s">
        <v>2951</v>
      </c>
      <c r="AU197" s="93" t="s">
        <v>2951</v>
      </c>
      <c r="AV197" s="93" t="s">
        <v>2951</v>
      </c>
      <c r="AW197" s="83" t="s">
        <v>2958</v>
      </c>
      <c r="AX197" s="83">
        <v>3.0</v>
      </c>
      <c r="AY197" s="83">
        <v>0.0</v>
      </c>
      <c r="AZ197" s="83" t="s">
        <v>2959</v>
      </c>
      <c r="BA197" s="83" t="s">
        <v>2960</v>
      </c>
      <c r="BB197" s="83" t="s">
        <v>2961</v>
      </c>
      <c r="BC197" s="54" t="s">
        <v>40</v>
      </c>
      <c r="BD197" s="54" t="str">
        <f t="shared" si="1"/>
        <v>Chiclayo</v>
      </c>
      <c r="BE197" s="67" t="s">
        <v>140</v>
      </c>
      <c r="BF197" s="67" t="s">
        <v>144</v>
      </c>
      <c r="BG197" s="67" t="s">
        <v>142</v>
      </c>
      <c r="BH197" s="67"/>
      <c r="BI197" s="67"/>
      <c r="BJ197" s="67"/>
      <c r="BK197" s="67"/>
      <c r="BL197" s="67" t="s">
        <v>147</v>
      </c>
      <c r="BM197" s="67" t="s">
        <v>1142</v>
      </c>
      <c r="BN197" s="100">
        <v>89.0</v>
      </c>
      <c r="BO197" s="102" t="s">
        <v>148</v>
      </c>
      <c r="BP197" s="67" t="s">
        <v>141</v>
      </c>
      <c r="BQ197" s="79" t="s">
        <v>141</v>
      </c>
      <c r="BR197" s="67" t="s">
        <v>149</v>
      </c>
      <c r="BS197" s="102">
        <v>1.0</v>
      </c>
      <c r="BT197" s="106">
        <v>46228.0</v>
      </c>
      <c r="BU197" s="107">
        <v>4.0</v>
      </c>
      <c r="BV197" s="108">
        <f t="shared" si="2"/>
        <v>46225</v>
      </c>
      <c r="BW197" s="108">
        <f t="shared" si="12"/>
        <v>46228</v>
      </c>
      <c r="BX197" s="102" t="str">
        <f t="shared" si="13"/>
        <v>14</v>
      </c>
      <c r="BY197" s="107">
        <f t="shared" si="5"/>
        <v>5</v>
      </c>
      <c r="BZ197" s="107">
        <f t="array" ref="BZ197">IF($A197&lt;&gt;"",INDEX(LISTA!$M$2:$N$27,MATCH($BC197,LISTA!$N$2:$N$27,0),1),"")</f>
        <v>16</v>
      </c>
      <c r="CA197" s="67">
        <f t="shared" si="6"/>
        <v>7</v>
      </c>
      <c r="CB197" s="114">
        <f t="shared" si="7"/>
        <v>7</v>
      </c>
      <c r="CC197" s="67">
        <v>5.8167508E7</v>
      </c>
    </row>
    <row r="198" ht="15.0" hidden="1" customHeight="1" outlineLevel="1">
      <c r="A198" s="59">
        <v>46227.695980833334</v>
      </c>
      <c r="B198" s="115" t="s">
        <v>105</v>
      </c>
      <c r="C198" s="54" t="s">
        <v>100</v>
      </c>
      <c r="D198" s="56" t="s">
        <v>319</v>
      </c>
      <c r="E198" s="69">
        <v>46228.583333333336</v>
      </c>
      <c r="F198" s="73"/>
      <c r="G198" s="60" t="s">
        <v>2962</v>
      </c>
      <c r="H198" s="60" t="s">
        <v>2963</v>
      </c>
      <c r="I198" s="67" t="s">
        <v>367</v>
      </c>
      <c r="J198" s="79" t="s">
        <v>2964</v>
      </c>
      <c r="K198" s="67" t="s">
        <v>109</v>
      </c>
      <c r="L198" s="79" t="s">
        <v>2965</v>
      </c>
      <c r="M198" s="83" t="s">
        <v>2966</v>
      </c>
      <c r="N198" s="78">
        <v>33297.0</v>
      </c>
      <c r="O198" s="80" t="s">
        <v>24</v>
      </c>
      <c r="P198" s="156" t="s">
        <v>1283</v>
      </c>
      <c r="Q198" s="54"/>
      <c r="R198" s="84" t="s">
        <v>1284</v>
      </c>
      <c r="S198" s="84"/>
      <c r="T198" s="54"/>
      <c r="U198" s="86"/>
      <c r="V198" s="54"/>
      <c r="W198" s="86"/>
      <c r="X198" s="54"/>
      <c r="Y198" s="78"/>
      <c r="Z198" s="54"/>
      <c r="AA198" s="70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54" t="s">
        <v>2967</v>
      </c>
      <c r="AR198" s="83" t="s">
        <v>2656</v>
      </c>
      <c r="AS198" s="83" t="s">
        <v>2968</v>
      </c>
      <c r="AT198" s="93" t="s">
        <v>2969</v>
      </c>
      <c r="AU198" s="93" t="s">
        <v>2969</v>
      </c>
      <c r="AV198" s="93" t="s">
        <v>2969</v>
      </c>
      <c r="AW198" s="83" t="s">
        <v>2970</v>
      </c>
      <c r="AX198" s="83">
        <v>2.0</v>
      </c>
      <c r="AY198" s="83" t="s">
        <v>1767</v>
      </c>
      <c r="AZ198" s="83" t="s">
        <v>2971</v>
      </c>
      <c r="BA198" s="83" t="s">
        <v>2972</v>
      </c>
      <c r="BB198" s="83" t="s">
        <v>2973</v>
      </c>
      <c r="BC198" s="54" t="s">
        <v>24</v>
      </c>
      <c r="BD198" s="54" t="str">
        <f t="shared" si="1"/>
        <v>Santa</v>
      </c>
      <c r="BE198" s="67" t="s">
        <v>140</v>
      </c>
      <c r="BF198" s="67" t="s">
        <v>144</v>
      </c>
      <c r="BG198" s="67" t="s">
        <v>142</v>
      </c>
      <c r="BH198" s="67"/>
      <c r="BI198" s="67"/>
      <c r="BJ198" s="67"/>
      <c r="BK198" s="67"/>
      <c r="BL198" s="67" t="s">
        <v>145</v>
      </c>
      <c r="BM198" s="67" t="s">
        <v>146</v>
      </c>
      <c r="BN198" s="100">
        <v>170.0</v>
      </c>
      <c r="BO198" s="102" t="s">
        <v>148</v>
      </c>
      <c r="BP198" s="67" t="s">
        <v>144</v>
      </c>
      <c r="BQ198" s="79" t="s">
        <v>141</v>
      </c>
      <c r="BR198" s="67">
        <v>2.0</v>
      </c>
      <c r="BS198" s="102">
        <v>1.0</v>
      </c>
      <c r="BT198" s="106">
        <v>46228.0</v>
      </c>
      <c r="BU198" s="107">
        <v>5.0</v>
      </c>
      <c r="BV198" s="108">
        <f t="shared" si="2"/>
        <v>46227</v>
      </c>
      <c r="BW198" s="108">
        <f t="shared" si="12"/>
        <v>46228</v>
      </c>
      <c r="BX198" s="102" t="str">
        <f t="shared" si="13"/>
        <v>14</v>
      </c>
      <c r="BY198" s="107">
        <f t="shared" si="5"/>
        <v>5</v>
      </c>
      <c r="BZ198" s="107">
        <f t="array" ref="BZ198">IF($A198&lt;&gt;"",INDEX(LISTA!$M$2:$N$27,MATCH($BC198,LISTA!$N$2:$N$27,0),1),"")</f>
        <v>5</v>
      </c>
      <c r="CA198" s="67">
        <f t="shared" si="6"/>
        <v>7</v>
      </c>
      <c r="CB198" s="114">
        <f t="shared" si="7"/>
        <v>7</v>
      </c>
      <c r="CC198" s="67">
        <v>5.8184417E7</v>
      </c>
    </row>
    <row r="199" ht="15.0" hidden="1" customHeight="1" outlineLevel="1">
      <c r="A199" s="59">
        <v>46225.800494027775</v>
      </c>
      <c r="B199" s="115" t="s">
        <v>105</v>
      </c>
      <c r="C199" s="54" t="s">
        <v>100</v>
      </c>
      <c r="D199" s="56" t="s">
        <v>101</v>
      </c>
      <c r="E199" s="69">
        <v>46231.583333333336</v>
      </c>
      <c r="F199" s="73"/>
      <c r="G199" s="60" t="s">
        <v>2974</v>
      </c>
      <c r="H199" s="60" t="s">
        <v>2975</v>
      </c>
      <c r="I199" s="67" t="s">
        <v>107</v>
      </c>
      <c r="J199" s="79" t="s">
        <v>2976</v>
      </c>
      <c r="K199" s="67" t="s">
        <v>109</v>
      </c>
      <c r="L199" s="79" t="s">
        <v>2977</v>
      </c>
      <c r="M199" s="83" t="s">
        <v>2978</v>
      </c>
      <c r="N199" s="78">
        <v>28687.0</v>
      </c>
      <c r="O199" s="80" t="s">
        <v>31</v>
      </c>
      <c r="P199" s="156" t="s">
        <v>1070</v>
      </c>
      <c r="Q199" s="54"/>
      <c r="R199" s="84"/>
      <c r="S199" s="84"/>
      <c r="T199" s="54"/>
      <c r="U199" s="86"/>
      <c r="V199" s="54"/>
      <c r="W199" s="86"/>
      <c r="X199" s="54" t="s">
        <v>1012</v>
      </c>
      <c r="Y199" s="78"/>
      <c r="Z199" s="54"/>
      <c r="AA199" s="70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54" t="s">
        <v>2979</v>
      </c>
      <c r="AR199" s="83" t="s">
        <v>2980</v>
      </c>
      <c r="AS199" s="83" t="s">
        <v>2981</v>
      </c>
      <c r="AT199" s="93" t="s">
        <v>2982</v>
      </c>
      <c r="AU199" s="93" t="s">
        <v>2982</v>
      </c>
      <c r="AV199" s="93" t="s">
        <v>2982</v>
      </c>
      <c r="AW199" s="83" t="s">
        <v>2983</v>
      </c>
      <c r="AX199" s="83">
        <v>1.0</v>
      </c>
      <c r="AY199" s="83">
        <v>1.0</v>
      </c>
      <c r="AZ199" s="83" t="s">
        <v>2984</v>
      </c>
      <c r="BA199" s="83" t="s">
        <v>2985</v>
      </c>
      <c r="BB199" s="83" t="s">
        <v>2986</v>
      </c>
      <c r="BC199" s="54" t="s">
        <v>31</v>
      </c>
      <c r="BD199" s="54" t="str">
        <f t="shared" si="1"/>
        <v>Cusco</v>
      </c>
      <c r="BE199" s="67" t="s">
        <v>143</v>
      </c>
      <c r="BF199" s="67" t="s">
        <v>141</v>
      </c>
      <c r="BG199" s="67" t="s">
        <v>142</v>
      </c>
      <c r="BH199" s="67"/>
      <c r="BI199" s="67"/>
      <c r="BJ199" s="67"/>
      <c r="BK199" s="67"/>
      <c r="BL199" s="67" t="s">
        <v>147</v>
      </c>
      <c r="BM199" s="67" t="s">
        <v>1897</v>
      </c>
      <c r="BN199" s="100">
        <v>89.0</v>
      </c>
      <c r="BO199" s="102" t="s">
        <v>148</v>
      </c>
      <c r="BP199" s="67" t="s">
        <v>141</v>
      </c>
      <c r="BQ199" s="79" t="s">
        <v>141</v>
      </c>
      <c r="BR199" s="67" t="s">
        <v>149</v>
      </c>
      <c r="BS199" s="102" t="s">
        <v>149</v>
      </c>
      <c r="BT199" s="106">
        <v>46228.0</v>
      </c>
      <c r="BU199" s="107">
        <v>6.0</v>
      </c>
      <c r="BV199" s="108">
        <f t="shared" si="2"/>
        <v>46225</v>
      </c>
      <c r="BW199" s="108">
        <v>46228.0</v>
      </c>
      <c r="BX199" s="102" t="str">
        <f t="shared" si="13"/>
        <v>14</v>
      </c>
      <c r="BY199" s="107">
        <f t="shared" si="5"/>
        <v>5</v>
      </c>
      <c r="BZ199" s="107">
        <f t="array" ref="BZ199">IF($A199&lt;&gt;"",INDEX(LISTA!$M$2:$N$27,MATCH($BC199,LISTA!$N$2:$N$27,0),1),"")</f>
        <v>10</v>
      </c>
      <c r="CA199" s="67">
        <f t="shared" si="6"/>
        <v>7</v>
      </c>
      <c r="CB199" s="114">
        <f t="shared" si="7"/>
        <v>7</v>
      </c>
      <c r="CC199" s="67">
        <v>5.81893E7</v>
      </c>
    </row>
    <row r="200" ht="15.0" hidden="1" customHeight="1" outlineLevel="1">
      <c r="A200" s="59">
        <v>46228.61321480324</v>
      </c>
      <c r="B200" s="115" t="s">
        <v>105</v>
      </c>
      <c r="C200" s="54" t="s">
        <v>100</v>
      </c>
      <c r="D200" s="56" t="s">
        <v>319</v>
      </c>
      <c r="E200" s="69">
        <v>46230.583333333336</v>
      </c>
      <c r="F200" s="73"/>
      <c r="G200" s="60" t="s">
        <v>2987</v>
      </c>
      <c r="H200" s="60" t="s">
        <v>2988</v>
      </c>
      <c r="I200" s="67" t="s">
        <v>374</v>
      </c>
      <c r="J200" s="79" t="s">
        <v>2989</v>
      </c>
      <c r="K200" s="67" t="s">
        <v>109</v>
      </c>
      <c r="L200" s="79" t="s">
        <v>2990</v>
      </c>
      <c r="M200" s="83" t="s">
        <v>2991</v>
      </c>
      <c r="N200" s="78">
        <v>27192.0</v>
      </c>
      <c r="O200" s="80" t="s">
        <v>46</v>
      </c>
      <c r="P200" s="70">
        <v>200000.0</v>
      </c>
      <c r="Q200" s="54"/>
      <c r="R200" s="84"/>
      <c r="S200" s="84"/>
      <c r="T200" s="54"/>
      <c r="U200" s="86"/>
      <c r="V200" s="54"/>
      <c r="W200" s="86"/>
      <c r="X200" s="54"/>
      <c r="Y200" s="78"/>
      <c r="Z200" s="54"/>
      <c r="AA200" s="70"/>
      <c r="AB200" s="83"/>
      <c r="AC200" s="83"/>
      <c r="AD200" s="83"/>
      <c r="AE200" s="83"/>
      <c r="AF200" s="83" t="s">
        <v>165</v>
      </c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54" t="s">
        <v>2992</v>
      </c>
      <c r="AR200" s="83" t="s">
        <v>2993</v>
      </c>
      <c r="AS200" s="83" t="s">
        <v>2994</v>
      </c>
      <c r="AT200" s="93" t="s">
        <v>2989</v>
      </c>
      <c r="AU200" s="93" t="s">
        <v>2989</v>
      </c>
      <c r="AV200" s="93" t="s">
        <v>2989</v>
      </c>
      <c r="AW200" s="83" t="s">
        <v>2995</v>
      </c>
      <c r="AX200" s="83">
        <v>2.0</v>
      </c>
      <c r="AY200" s="83">
        <v>0.0</v>
      </c>
      <c r="AZ200" s="83" t="s">
        <v>2996</v>
      </c>
      <c r="BA200" s="83" t="s">
        <v>2997</v>
      </c>
      <c r="BB200" s="83" t="s">
        <v>2998</v>
      </c>
      <c r="BC200" s="54" t="s">
        <v>41</v>
      </c>
      <c r="BD200" s="54" t="str">
        <f t="shared" si="1"/>
        <v>San Martín de Porres</v>
      </c>
      <c r="BE200" s="67" t="s">
        <v>140</v>
      </c>
      <c r="BF200" s="67" t="s">
        <v>141</v>
      </c>
      <c r="BG200" s="67" t="s">
        <v>142</v>
      </c>
      <c r="BH200" s="67"/>
      <c r="BI200" s="67"/>
      <c r="BJ200" s="67"/>
      <c r="BK200" s="67"/>
      <c r="BL200" s="67" t="s">
        <v>147</v>
      </c>
      <c r="BM200" s="67" t="s">
        <v>146</v>
      </c>
      <c r="BN200" s="100">
        <v>89.0</v>
      </c>
      <c r="BO200" s="102" t="s">
        <v>148</v>
      </c>
      <c r="BP200" s="67" t="s">
        <v>141</v>
      </c>
      <c r="BQ200" s="79" t="s">
        <v>141</v>
      </c>
      <c r="BR200" s="67" t="s">
        <v>149</v>
      </c>
      <c r="BS200" s="102">
        <v>1.0</v>
      </c>
      <c r="BT200" s="106">
        <v>46228.0</v>
      </c>
      <c r="BU200" s="107">
        <v>7.0</v>
      </c>
      <c r="BV200" s="108">
        <f t="shared" si="2"/>
        <v>46228</v>
      </c>
      <c r="BW200" s="108">
        <f>IF($E200&lt;&gt;"",DATE(YEAR($E200),MONTH($E200),DAY($E200)),"")</f>
        <v>46230</v>
      </c>
      <c r="BX200" s="102" t="str">
        <f t="shared" si="13"/>
        <v>14</v>
      </c>
      <c r="BY200" s="107">
        <f t="shared" si="5"/>
        <v>5</v>
      </c>
      <c r="BZ200" s="107">
        <f t="array" ref="BZ200">IF($A200&lt;&gt;"",INDEX(LISTA!$M$2:$N$27,MATCH($BC200,LISTA!$N$2:$N$27,0),1),"")</f>
        <v>1</v>
      </c>
      <c r="CA200" s="67">
        <f t="shared" si="6"/>
        <v>7</v>
      </c>
      <c r="CB200" s="114">
        <f t="shared" si="7"/>
        <v>7</v>
      </c>
      <c r="CC200" s="67">
        <v>5.8189698E7</v>
      </c>
    </row>
    <row r="201" ht="15.0" hidden="1" customHeight="1" outlineLevel="1">
      <c r="A201" s="59">
        <v>46221.499721203705</v>
      </c>
      <c r="B201" s="115" t="s">
        <v>105</v>
      </c>
      <c r="C201" s="54" t="s">
        <v>100</v>
      </c>
      <c r="D201" s="56" t="s">
        <v>319</v>
      </c>
      <c r="E201" s="69">
        <v>46228.583333333336</v>
      </c>
      <c r="F201" s="73"/>
      <c r="G201" s="60" t="s">
        <v>2999</v>
      </c>
      <c r="H201" s="60" t="s">
        <v>3000</v>
      </c>
      <c r="I201" s="67" t="s">
        <v>382</v>
      </c>
      <c r="J201" s="79" t="s">
        <v>3001</v>
      </c>
      <c r="K201" s="67" t="s">
        <v>109</v>
      </c>
      <c r="L201" s="79" t="s">
        <v>3002</v>
      </c>
      <c r="M201" s="83" t="s">
        <v>3003</v>
      </c>
      <c r="N201" s="78">
        <v>34002.0</v>
      </c>
      <c r="O201" s="80" t="s">
        <v>23</v>
      </c>
      <c r="P201" s="156" t="s">
        <v>3004</v>
      </c>
      <c r="Q201" s="54"/>
      <c r="R201" s="84"/>
      <c r="S201" s="84"/>
      <c r="T201" s="54"/>
      <c r="U201" s="86"/>
      <c r="V201" s="54"/>
      <c r="W201" s="86"/>
      <c r="X201" s="54"/>
      <c r="Y201" s="78"/>
      <c r="Z201" s="54"/>
      <c r="AA201" s="70"/>
      <c r="AB201" s="83"/>
      <c r="AC201" s="83"/>
      <c r="AD201" s="83"/>
      <c r="AE201" s="83"/>
      <c r="AF201" s="83" t="s">
        <v>972</v>
      </c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54" t="s">
        <v>3005</v>
      </c>
      <c r="AR201" s="83" t="s">
        <v>3006</v>
      </c>
      <c r="AS201" s="83" t="s">
        <v>3007</v>
      </c>
      <c r="AT201" s="93" t="s">
        <v>3001</v>
      </c>
      <c r="AU201" s="93" t="s">
        <v>3001</v>
      </c>
      <c r="AV201" s="93" t="s">
        <v>3001</v>
      </c>
      <c r="AW201" s="83" t="s">
        <v>3008</v>
      </c>
      <c r="AX201" s="83">
        <v>3.0</v>
      </c>
      <c r="AY201" s="83">
        <v>305.0</v>
      </c>
      <c r="AZ201" s="83" t="s">
        <v>3009</v>
      </c>
      <c r="BA201" s="83" t="s">
        <v>3010</v>
      </c>
      <c r="BB201" s="83" t="s">
        <v>3011</v>
      </c>
      <c r="BC201" s="54" t="s">
        <v>41</v>
      </c>
      <c r="BD201" s="54" t="str">
        <f t="shared" si="1"/>
        <v>San Juan de Lurigancho</v>
      </c>
      <c r="BE201" s="67" t="s">
        <v>143</v>
      </c>
      <c r="BF201" s="67" t="s">
        <v>144</v>
      </c>
      <c r="BG201" s="67" t="s">
        <v>142</v>
      </c>
      <c r="BH201" s="67"/>
      <c r="BI201" s="67"/>
      <c r="BJ201" s="67"/>
      <c r="BK201" s="67"/>
      <c r="BL201" s="67" t="s">
        <v>147</v>
      </c>
      <c r="BM201" s="67" t="s">
        <v>247</v>
      </c>
      <c r="BN201" s="100">
        <v>89.0</v>
      </c>
      <c r="BO201" s="102" t="s">
        <v>148</v>
      </c>
      <c r="BP201" s="67" t="s">
        <v>141</v>
      </c>
      <c r="BQ201" s="79" t="s">
        <v>141</v>
      </c>
      <c r="BR201" s="67" t="s">
        <v>149</v>
      </c>
      <c r="BS201" s="102" t="s">
        <v>149</v>
      </c>
      <c r="BT201" s="106">
        <v>46229.0</v>
      </c>
      <c r="BU201" s="107">
        <v>1.0</v>
      </c>
      <c r="BV201" s="108">
        <f t="shared" si="2"/>
        <v>46221</v>
      </c>
      <c r="BW201" s="108">
        <v>46228.0</v>
      </c>
      <c r="BX201" s="102">
        <v>14.0</v>
      </c>
      <c r="BY201" s="107">
        <f t="shared" si="5"/>
        <v>5</v>
      </c>
      <c r="BZ201" s="107">
        <f t="array" ref="BZ201">IF($A201&lt;&gt;"",INDEX(LISTA!$M$2:$N$27,MATCH($BC201,LISTA!$N$2:$N$27,0),1),"")</f>
        <v>1</v>
      </c>
      <c r="CA201" s="67">
        <f t="shared" si="6"/>
        <v>7</v>
      </c>
      <c r="CB201" s="114">
        <f t="shared" si="7"/>
        <v>7</v>
      </c>
      <c r="CC201" s="67">
        <v>5.8144486E7</v>
      </c>
    </row>
    <row r="202" ht="15.0" hidden="1" customHeight="1" outlineLevel="1">
      <c r="A202" s="59">
        <v>46224.50714939815</v>
      </c>
      <c r="B202" s="115" t="s">
        <v>105</v>
      </c>
      <c r="C202" s="54" t="s">
        <v>100</v>
      </c>
      <c r="D202" s="56" t="s">
        <v>319</v>
      </c>
      <c r="E202" s="69">
        <v>46228.583333333336</v>
      </c>
      <c r="F202" s="73"/>
      <c r="G202" s="60" t="s">
        <v>3012</v>
      </c>
      <c r="H202" s="60" t="s">
        <v>3013</v>
      </c>
      <c r="I202" s="67" t="s">
        <v>378</v>
      </c>
      <c r="J202" s="79" t="s">
        <v>3014</v>
      </c>
      <c r="K202" s="67" t="s">
        <v>109</v>
      </c>
      <c r="L202" s="79" t="s">
        <v>3015</v>
      </c>
      <c r="M202" s="83" t="s">
        <v>3016</v>
      </c>
      <c r="N202" s="78">
        <v>38662.0</v>
      </c>
      <c r="O202" s="80" t="s">
        <v>39</v>
      </c>
      <c r="P202" s="70">
        <v>120101.0</v>
      </c>
      <c r="Q202" s="54"/>
      <c r="R202" s="84"/>
      <c r="S202" s="84"/>
      <c r="T202" s="54"/>
      <c r="U202" s="86"/>
      <c r="V202" s="54"/>
      <c r="W202" s="86"/>
      <c r="X202" s="54"/>
      <c r="Y202" s="78"/>
      <c r="Z202" s="54"/>
      <c r="AA202" s="70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 t="s">
        <v>1926</v>
      </c>
      <c r="AQ202" s="54" t="s">
        <v>3017</v>
      </c>
      <c r="AR202" s="83" t="s">
        <v>3018</v>
      </c>
      <c r="AS202" s="83" t="s">
        <v>3019</v>
      </c>
      <c r="AT202" s="93" t="s">
        <v>3020</v>
      </c>
      <c r="AU202" s="93" t="s">
        <v>3020</v>
      </c>
      <c r="AV202" s="93" t="s">
        <v>3020</v>
      </c>
      <c r="AW202" s="83" t="s">
        <v>3021</v>
      </c>
      <c r="AX202" s="83">
        <v>1.0</v>
      </c>
      <c r="AY202" s="83" t="s">
        <v>2739</v>
      </c>
      <c r="AZ202" s="83" t="s">
        <v>3022</v>
      </c>
      <c r="BA202" s="83" t="s">
        <v>3023</v>
      </c>
      <c r="BB202" s="83" t="s">
        <v>3024</v>
      </c>
      <c r="BC202" s="54" t="s">
        <v>52</v>
      </c>
      <c r="BD202" s="54" t="str">
        <f t="shared" si="1"/>
        <v>Coronel Portillo</v>
      </c>
      <c r="BE202" s="67" t="s">
        <v>140</v>
      </c>
      <c r="BF202" s="67" t="s">
        <v>141</v>
      </c>
      <c r="BG202" s="67" t="s">
        <v>142</v>
      </c>
      <c r="BH202" s="67"/>
      <c r="BI202" s="67"/>
      <c r="BJ202" s="67"/>
      <c r="BK202" s="67"/>
      <c r="BL202" s="67" t="s">
        <v>147</v>
      </c>
      <c r="BM202" s="67" t="s">
        <v>146</v>
      </c>
      <c r="BN202" s="100">
        <v>89.0</v>
      </c>
      <c r="BO202" s="102" t="s">
        <v>148</v>
      </c>
      <c r="BP202" s="67" t="s">
        <v>141</v>
      </c>
      <c r="BQ202" s="79" t="s">
        <v>141</v>
      </c>
      <c r="BR202" s="67" t="s">
        <v>149</v>
      </c>
      <c r="BS202" s="102">
        <v>1.0</v>
      </c>
      <c r="BT202" s="106">
        <v>46229.0</v>
      </c>
      <c r="BU202" s="107">
        <v>2.0</v>
      </c>
      <c r="BV202" s="108">
        <f t="shared" si="2"/>
        <v>46224</v>
      </c>
      <c r="BW202" s="108">
        <f t="shared" ref="BW202:BW255" si="14">IF($E202&lt;&gt;"",DATE(YEAR($E202),MONTH($E202),DAY($E202)),"")</f>
        <v>46228</v>
      </c>
      <c r="BX202" s="102" t="str">
        <f t="shared" ref="BX202:BX1148" si="15">IF($E202&lt;&gt;"",TEXT($E202,"HH"),"")</f>
        <v>14</v>
      </c>
      <c r="BY202" s="107">
        <f t="shared" si="5"/>
        <v>5</v>
      </c>
      <c r="BZ202" s="107">
        <f t="array" ref="BZ202">IF($A202&lt;&gt;"",INDEX(LISTA!$M$2:$N$27,MATCH($BC202,LISTA!$N$2:$N$27,0),1),"")</f>
        <v>26</v>
      </c>
      <c r="CA202" s="67">
        <f t="shared" si="6"/>
        <v>7</v>
      </c>
      <c r="CB202" s="114">
        <f t="shared" si="7"/>
        <v>7</v>
      </c>
      <c r="CC202" s="67">
        <v>5.8160382E7</v>
      </c>
    </row>
    <row r="203" ht="15.0" hidden="1" customHeight="1" outlineLevel="1">
      <c r="A203" s="59">
        <v>46227.74824755787</v>
      </c>
      <c r="B203" s="115" t="s">
        <v>105</v>
      </c>
      <c r="C203" s="54" t="s">
        <v>100</v>
      </c>
      <c r="D203" s="56" t="s">
        <v>319</v>
      </c>
      <c r="E203" s="69">
        <v>46230.375</v>
      </c>
      <c r="F203" s="73"/>
      <c r="G203" s="60" t="s">
        <v>3025</v>
      </c>
      <c r="H203" s="60" t="s">
        <v>3026</v>
      </c>
      <c r="I203" s="67" t="s">
        <v>355</v>
      </c>
      <c r="J203" s="79" t="s">
        <v>3027</v>
      </c>
      <c r="K203" s="67" t="s">
        <v>109</v>
      </c>
      <c r="L203" s="79" t="s">
        <v>3028</v>
      </c>
      <c r="M203" s="83" t="s">
        <v>3029</v>
      </c>
      <c r="N203" s="78">
        <v>25680.0</v>
      </c>
      <c r="O203" s="80" t="s">
        <v>39</v>
      </c>
      <c r="P203" s="70">
        <v>130100.0</v>
      </c>
      <c r="Q203" s="54"/>
      <c r="R203" s="84"/>
      <c r="S203" s="84"/>
      <c r="T203" s="54"/>
      <c r="U203" s="86"/>
      <c r="V203" s="54"/>
      <c r="W203" s="86"/>
      <c r="X203" s="54"/>
      <c r="Y203" s="78"/>
      <c r="Z203" s="54"/>
      <c r="AA203" s="70"/>
      <c r="AB203" s="83"/>
      <c r="AC203" s="83" t="s">
        <v>1690</v>
      </c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54" t="s">
        <v>3030</v>
      </c>
      <c r="AR203" s="83" t="s">
        <v>3031</v>
      </c>
      <c r="AS203" s="83" t="s">
        <v>3032</v>
      </c>
      <c r="AT203" s="93" t="s">
        <v>3027</v>
      </c>
      <c r="AU203" s="93" t="s">
        <v>3027</v>
      </c>
      <c r="AV203" s="93" t="s">
        <v>3027</v>
      </c>
      <c r="AW203" s="83" t="s">
        <v>3033</v>
      </c>
      <c r="AX203" s="83">
        <v>3.0</v>
      </c>
      <c r="AY203" s="83">
        <v>303.0</v>
      </c>
      <c r="AZ203" s="83" t="s">
        <v>3034</v>
      </c>
      <c r="BA203" s="83" t="s">
        <v>3035</v>
      </c>
      <c r="BB203" s="83" t="s">
        <v>3036</v>
      </c>
      <c r="BC203" s="54" t="s">
        <v>39</v>
      </c>
      <c r="BD203" s="54" t="str">
        <f t="shared" si="1"/>
        <v>Trujillo</v>
      </c>
      <c r="BE203" s="67" t="s">
        <v>140</v>
      </c>
      <c r="BF203" s="67" t="s">
        <v>144</v>
      </c>
      <c r="BG203" s="67" t="s">
        <v>142</v>
      </c>
      <c r="BH203" s="67"/>
      <c r="BI203" s="67"/>
      <c r="BJ203" s="67"/>
      <c r="BK203" s="67"/>
      <c r="BL203" s="67" t="s">
        <v>147</v>
      </c>
      <c r="BM203" s="67" t="s">
        <v>146</v>
      </c>
      <c r="BN203" s="100">
        <v>89.0</v>
      </c>
      <c r="BO203" s="102" t="s">
        <v>148</v>
      </c>
      <c r="BP203" s="67" t="s">
        <v>141</v>
      </c>
      <c r="BQ203" s="79" t="s">
        <v>141</v>
      </c>
      <c r="BR203" s="67" t="s">
        <v>149</v>
      </c>
      <c r="BS203" s="102">
        <v>1.0</v>
      </c>
      <c r="BT203" s="106">
        <v>46230.0</v>
      </c>
      <c r="BU203" s="107">
        <v>1.0</v>
      </c>
      <c r="BV203" s="108">
        <f t="shared" si="2"/>
        <v>46227</v>
      </c>
      <c r="BW203" s="108">
        <f t="shared" si="14"/>
        <v>46230</v>
      </c>
      <c r="BX203" s="102" t="str">
        <f t="shared" si="15"/>
        <v>09</v>
      </c>
      <c r="BY203" s="107">
        <f t="shared" si="5"/>
        <v>5</v>
      </c>
      <c r="BZ203" s="107">
        <f t="array" ref="BZ203">IF($A203&lt;&gt;"",INDEX(LISTA!$M$2:$N$27,MATCH($BC203,LISTA!$N$2:$N$27,0),1),"")</f>
        <v>15</v>
      </c>
      <c r="CA203" s="67">
        <f t="shared" si="6"/>
        <v>7</v>
      </c>
      <c r="CB203" s="114">
        <f t="shared" si="7"/>
        <v>7</v>
      </c>
      <c r="CC203" s="67">
        <v>5.8185513E7</v>
      </c>
    </row>
    <row r="204" ht="15.0" hidden="1" customHeight="1" outlineLevel="1">
      <c r="A204" s="59">
        <v>46228.67325289352</v>
      </c>
      <c r="B204" s="115" t="s">
        <v>105</v>
      </c>
      <c r="C204" s="54" t="s">
        <v>100</v>
      </c>
      <c r="D204" s="56" t="s">
        <v>319</v>
      </c>
      <c r="E204" s="69">
        <v>46230.583333333336</v>
      </c>
      <c r="F204" s="73"/>
      <c r="G204" s="60" t="s">
        <v>3037</v>
      </c>
      <c r="H204" s="60" t="s">
        <v>3038</v>
      </c>
      <c r="I204" s="67" t="s">
        <v>367</v>
      </c>
      <c r="J204" s="79" t="s">
        <v>3039</v>
      </c>
      <c r="K204" s="67" t="s">
        <v>109</v>
      </c>
      <c r="L204" s="79" t="s">
        <v>3040</v>
      </c>
      <c r="M204" s="83" t="s">
        <v>3041</v>
      </c>
      <c r="N204" s="78">
        <v>27728.0</v>
      </c>
      <c r="O204" s="80" t="s">
        <v>41</v>
      </c>
      <c r="P204" s="70">
        <v>150000.0</v>
      </c>
      <c r="Q204" s="54"/>
      <c r="R204" s="84"/>
      <c r="S204" s="84"/>
      <c r="T204" s="54"/>
      <c r="U204" s="86"/>
      <c r="V204" s="54"/>
      <c r="W204" s="86"/>
      <c r="X204" s="54"/>
      <c r="Y204" s="78"/>
      <c r="Z204" s="54"/>
      <c r="AA204" s="70"/>
      <c r="AB204" s="83"/>
      <c r="AC204" s="83"/>
      <c r="AD204" s="83"/>
      <c r="AE204" s="83"/>
      <c r="AF204" s="83" t="s">
        <v>3042</v>
      </c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54" t="s">
        <v>3043</v>
      </c>
      <c r="AR204" s="83" t="s">
        <v>3044</v>
      </c>
      <c r="AS204" s="83" t="s">
        <v>3045</v>
      </c>
      <c r="AT204" s="93" t="s">
        <v>3039</v>
      </c>
      <c r="AU204" s="93" t="s">
        <v>3039</v>
      </c>
      <c r="AV204" s="93" t="s">
        <v>3039</v>
      </c>
      <c r="AW204" s="83" t="s">
        <v>3046</v>
      </c>
      <c r="AX204" s="83">
        <v>2.0</v>
      </c>
      <c r="AY204" s="83" t="s">
        <v>1767</v>
      </c>
      <c r="AZ204" s="83" t="s">
        <v>3047</v>
      </c>
      <c r="BA204" s="83" t="s">
        <v>3048</v>
      </c>
      <c r="BB204" s="83" t="s">
        <v>3049</v>
      </c>
      <c r="BC204" s="54" t="s">
        <v>41</v>
      </c>
      <c r="BD204" s="54" t="str">
        <f t="shared" si="1"/>
        <v>Villa El Salvador</v>
      </c>
      <c r="BE204" s="67" t="s">
        <v>140</v>
      </c>
      <c r="BF204" s="67" t="s">
        <v>141</v>
      </c>
      <c r="BG204" s="67" t="s">
        <v>142</v>
      </c>
      <c r="BH204" s="67"/>
      <c r="BI204" s="67"/>
      <c r="BJ204" s="67"/>
      <c r="BK204" s="67"/>
      <c r="BL204" s="67" t="s">
        <v>147</v>
      </c>
      <c r="BM204" s="67" t="s">
        <v>146</v>
      </c>
      <c r="BN204" s="100">
        <v>89.0</v>
      </c>
      <c r="BO204" s="102" t="s">
        <v>148</v>
      </c>
      <c r="BP204" s="67" t="s">
        <v>141</v>
      </c>
      <c r="BQ204" s="79" t="s">
        <v>141</v>
      </c>
      <c r="BR204" s="67" t="s">
        <v>149</v>
      </c>
      <c r="BS204" s="102">
        <v>1.0</v>
      </c>
      <c r="BT204" s="106">
        <v>46230.0</v>
      </c>
      <c r="BU204" s="107">
        <v>2.0</v>
      </c>
      <c r="BV204" s="108">
        <f t="shared" si="2"/>
        <v>46228</v>
      </c>
      <c r="BW204" s="108">
        <f t="shared" si="14"/>
        <v>46230</v>
      </c>
      <c r="BX204" s="102" t="str">
        <f t="shared" si="15"/>
        <v>14</v>
      </c>
      <c r="BY204" s="107">
        <f t="shared" si="5"/>
        <v>5</v>
      </c>
      <c r="BZ204" s="107">
        <f t="array" ref="BZ204">IF($A204&lt;&gt;"",INDEX(LISTA!$M$2:$N$27,MATCH($BC204,LISTA!$N$2:$N$27,0),1),"")</f>
        <v>1</v>
      </c>
      <c r="CA204" s="67">
        <f t="shared" si="6"/>
        <v>7</v>
      </c>
      <c r="CB204" s="114">
        <f t="shared" si="7"/>
        <v>7</v>
      </c>
      <c r="CC204" s="67">
        <v>5.8191039E7</v>
      </c>
    </row>
    <row r="205" ht="15.0" hidden="1" customHeight="1" outlineLevel="1">
      <c r="A205" s="59">
        <v>46228.36440730324</v>
      </c>
      <c r="B205" s="115" t="s">
        <v>105</v>
      </c>
      <c r="C205" s="54" t="s">
        <v>100</v>
      </c>
      <c r="D205" s="56" t="s">
        <v>101</v>
      </c>
      <c r="E205" s="69">
        <v>46231.375</v>
      </c>
      <c r="F205" s="73"/>
      <c r="G205" s="60" t="s">
        <v>3050</v>
      </c>
      <c r="H205" s="60" t="s">
        <v>3051</v>
      </c>
      <c r="I205" s="67" t="s">
        <v>378</v>
      </c>
      <c r="J205" s="79" t="s">
        <v>3052</v>
      </c>
      <c r="K205" s="67" t="s">
        <v>109</v>
      </c>
      <c r="L205" s="79" t="s">
        <v>3053</v>
      </c>
      <c r="M205" s="83" t="s">
        <v>3054</v>
      </c>
      <c r="N205" s="78">
        <v>29484.0</v>
      </c>
      <c r="O205" s="80" t="s">
        <v>40</v>
      </c>
      <c r="P205" s="70">
        <v>130102.0</v>
      </c>
      <c r="Q205" s="54"/>
      <c r="R205" s="84"/>
      <c r="S205" s="84"/>
      <c r="T205" s="54"/>
      <c r="U205" s="86"/>
      <c r="V205" s="54"/>
      <c r="W205" s="86"/>
      <c r="X205" s="54"/>
      <c r="Y205" s="78"/>
      <c r="Z205" s="54"/>
      <c r="AA205" s="70"/>
      <c r="AB205" s="83"/>
      <c r="AC205" s="83"/>
      <c r="AD205" s="83"/>
      <c r="AE205" s="83"/>
      <c r="AF205" s="83" t="s">
        <v>300</v>
      </c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54" t="s">
        <v>2146</v>
      </c>
      <c r="AR205" s="83" t="s">
        <v>125</v>
      </c>
      <c r="AS205" s="83" t="s">
        <v>3055</v>
      </c>
      <c r="AT205" s="93" t="s">
        <v>3052</v>
      </c>
      <c r="AU205" s="93" t="s">
        <v>3052</v>
      </c>
      <c r="AV205" s="93" t="s">
        <v>3052</v>
      </c>
      <c r="AW205" s="83" t="s">
        <v>3056</v>
      </c>
      <c r="AX205" s="83">
        <v>3.0</v>
      </c>
      <c r="AY205" s="83" t="s">
        <v>2739</v>
      </c>
      <c r="AZ205" s="83" t="s">
        <v>3057</v>
      </c>
      <c r="BA205" s="83" t="s">
        <v>3058</v>
      </c>
      <c r="BB205" s="83" t="s">
        <v>3059</v>
      </c>
      <c r="BC205" s="54" t="s">
        <v>41</v>
      </c>
      <c r="BD205" s="54" t="str">
        <f t="shared" si="1"/>
        <v>Ate</v>
      </c>
      <c r="BE205" s="67" t="s">
        <v>140</v>
      </c>
      <c r="BF205" s="67" t="s">
        <v>141</v>
      </c>
      <c r="BG205" s="67" t="s">
        <v>142</v>
      </c>
      <c r="BH205" s="67"/>
      <c r="BI205" s="67"/>
      <c r="BJ205" s="67"/>
      <c r="BK205" s="67"/>
      <c r="BL205" s="67" t="s">
        <v>145</v>
      </c>
      <c r="BM205" s="67" t="s">
        <v>146</v>
      </c>
      <c r="BN205" s="100">
        <v>170.0</v>
      </c>
      <c r="BO205" s="102" t="s">
        <v>148</v>
      </c>
      <c r="BP205" s="67" t="s">
        <v>144</v>
      </c>
      <c r="BQ205" s="79" t="s">
        <v>141</v>
      </c>
      <c r="BR205" s="67">
        <v>2.0</v>
      </c>
      <c r="BS205" s="102">
        <v>1.0</v>
      </c>
      <c r="BT205" s="106">
        <v>46230.0</v>
      </c>
      <c r="BU205" s="107">
        <v>3.0</v>
      </c>
      <c r="BV205" s="108">
        <f t="shared" si="2"/>
        <v>46228</v>
      </c>
      <c r="BW205" s="108">
        <f t="shared" si="14"/>
        <v>46231</v>
      </c>
      <c r="BX205" s="102" t="str">
        <f t="shared" si="15"/>
        <v>09</v>
      </c>
      <c r="BY205" s="107">
        <f t="shared" si="5"/>
        <v>5</v>
      </c>
      <c r="BZ205" s="107">
        <f t="array" ref="BZ205">IF($A205&lt;&gt;"",INDEX(LISTA!$M$2:$N$27,MATCH($BC205,LISTA!$N$2:$N$27,0),1),"")</f>
        <v>1</v>
      </c>
      <c r="CA205" s="67">
        <f t="shared" si="6"/>
        <v>7</v>
      </c>
      <c r="CB205" s="114">
        <f t="shared" si="7"/>
        <v>7</v>
      </c>
      <c r="CC205" s="67">
        <v>5.8195527E7</v>
      </c>
    </row>
    <row r="206" ht="15.0" hidden="1" customHeight="1" outlineLevel="1">
      <c r="A206" s="59">
        <v>46227.434500821764</v>
      </c>
      <c r="B206" s="115" t="s">
        <v>105</v>
      </c>
      <c r="C206" s="54" t="s">
        <v>100</v>
      </c>
      <c r="D206" s="56" t="s">
        <v>319</v>
      </c>
      <c r="E206" s="69">
        <v>46230.583333333336</v>
      </c>
      <c r="F206" s="73"/>
      <c r="G206" s="60" t="s">
        <v>3060</v>
      </c>
      <c r="H206" s="60" t="s">
        <v>3061</v>
      </c>
      <c r="I206" s="67" t="s">
        <v>363</v>
      </c>
      <c r="J206" s="79" t="s">
        <v>3062</v>
      </c>
      <c r="K206" s="67" t="s">
        <v>109</v>
      </c>
      <c r="L206" s="79" t="s">
        <v>3063</v>
      </c>
      <c r="M206" s="83" t="s">
        <v>3064</v>
      </c>
      <c r="N206" s="78">
        <v>32338.0</v>
      </c>
      <c r="O206" s="80" t="s">
        <v>48</v>
      </c>
      <c r="P206" s="70">
        <v>210000.0</v>
      </c>
      <c r="Q206" s="54"/>
      <c r="R206" s="84"/>
      <c r="S206" s="84"/>
      <c r="T206" s="54"/>
      <c r="U206" s="86"/>
      <c r="V206" s="54"/>
      <c r="W206" s="86"/>
      <c r="X206" s="54"/>
      <c r="Y206" s="78"/>
      <c r="Z206" s="54"/>
      <c r="AA206" s="70"/>
      <c r="AB206" s="83"/>
      <c r="AC206" s="83"/>
      <c r="AD206" s="83"/>
      <c r="AE206" s="83"/>
      <c r="AF206" s="83"/>
      <c r="AG206" s="83"/>
      <c r="AH206" s="83"/>
      <c r="AI206" s="83" t="s">
        <v>3065</v>
      </c>
      <c r="AJ206" s="83"/>
      <c r="AK206" s="83"/>
      <c r="AL206" s="83"/>
      <c r="AM206" s="83"/>
      <c r="AN206" s="83"/>
      <c r="AO206" s="83"/>
      <c r="AP206" s="83"/>
      <c r="AQ206" s="54" t="s">
        <v>127</v>
      </c>
      <c r="AR206" s="83" t="s">
        <v>2247</v>
      </c>
      <c r="AS206" s="83" t="s">
        <v>3066</v>
      </c>
      <c r="AT206" s="93" t="s">
        <v>3067</v>
      </c>
      <c r="AU206" s="93" t="s">
        <v>3067</v>
      </c>
      <c r="AV206" s="93" t="s">
        <v>3067</v>
      </c>
      <c r="AW206" s="83" t="s">
        <v>3068</v>
      </c>
      <c r="AX206" s="83">
        <v>1.0</v>
      </c>
      <c r="AY206" s="83">
        <v>0.0</v>
      </c>
      <c r="AZ206" s="83" t="s">
        <v>3069</v>
      </c>
      <c r="BA206" s="83" t="s">
        <v>3070</v>
      </c>
      <c r="BB206" s="83" t="s">
        <v>3071</v>
      </c>
      <c r="BC206" s="54" t="s">
        <v>44</v>
      </c>
      <c r="BD206" s="54" t="str">
        <f t="shared" si="1"/>
        <v>Mariscal Nieto</v>
      </c>
      <c r="BE206" s="67" t="s">
        <v>140</v>
      </c>
      <c r="BF206" s="67" t="s">
        <v>141</v>
      </c>
      <c r="BG206" s="67" t="s">
        <v>142</v>
      </c>
      <c r="BH206" s="67"/>
      <c r="BI206" s="67"/>
      <c r="BJ206" s="67"/>
      <c r="BK206" s="67"/>
      <c r="BL206" s="67" t="s">
        <v>283</v>
      </c>
      <c r="BM206" s="67" t="s">
        <v>146</v>
      </c>
      <c r="BN206" s="100">
        <v>84.0</v>
      </c>
      <c r="BO206" s="102" t="s">
        <v>2305</v>
      </c>
      <c r="BP206" s="67" t="s">
        <v>141</v>
      </c>
      <c r="BQ206" s="79" t="s">
        <v>144</v>
      </c>
      <c r="BR206" s="67" t="s">
        <v>149</v>
      </c>
      <c r="BS206" s="102" t="s">
        <v>149</v>
      </c>
      <c r="BT206" s="106">
        <v>46230.0</v>
      </c>
      <c r="BU206" s="107">
        <v>4.0</v>
      </c>
      <c r="BV206" s="108">
        <f t="shared" si="2"/>
        <v>46227</v>
      </c>
      <c r="BW206" s="108">
        <f t="shared" si="14"/>
        <v>46230</v>
      </c>
      <c r="BX206" s="102" t="str">
        <f t="shared" si="15"/>
        <v>14</v>
      </c>
      <c r="BY206" s="107">
        <f t="shared" si="5"/>
        <v>5</v>
      </c>
      <c r="BZ206" s="107">
        <f t="array" ref="BZ206">IF($A206&lt;&gt;"",INDEX(LISTA!$M$2:$N$27,MATCH($BC206,LISTA!$N$2:$N$27,0),1),"")</f>
        <v>19</v>
      </c>
      <c r="CA206" s="67">
        <f t="shared" si="6"/>
        <v>7</v>
      </c>
      <c r="CB206" s="114">
        <f t="shared" si="7"/>
        <v>7</v>
      </c>
      <c r="CC206" s="67">
        <v>5.8180081E7</v>
      </c>
    </row>
    <row r="207" ht="15.0" hidden="1" customHeight="1" outlineLevel="1">
      <c r="A207" s="59">
        <v>46228.488139189816</v>
      </c>
      <c r="B207" s="115" t="s">
        <v>105</v>
      </c>
      <c r="C207" s="54" t="s">
        <v>100</v>
      </c>
      <c r="D207" s="56" t="s">
        <v>319</v>
      </c>
      <c r="E207" s="69">
        <v>46230.583333333336</v>
      </c>
      <c r="F207" s="73"/>
      <c r="G207" s="60" t="s">
        <v>3072</v>
      </c>
      <c r="H207" s="60" t="s">
        <v>3073</v>
      </c>
      <c r="I207" s="67" t="s">
        <v>293</v>
      </c>
      <c r="J207" s="79" t="s">
        <v>3074</v>
      </c>
      <c r="K207" s="67" t="s">
        <v>109</v>
      </c>
      <c r="L207" s="79" t="s">
        <v>3075</v>
      </c>
      <c r="M207" s="83" t="s">
        <v>3076</v>
      </c>
      <c r="N207" s="78">
        <v>34544.0</v>
      </c>
      <c r="O207" s="80" t="s">
        <v>50</v>
      </c>
      <c r="P207" s="70">
        <v>220113.0</v>
      </c>
      <c r="Q207" s="54"/>
      <c r="R207" s="84"/>
      <c r="S207" s="84"/>
      <c r="T207" s="54" t="s">
        <v>122</v>
      </c>
      <c r="U207" s="86"/>
      <c r="V207" s="54"/>
      <c r="W207" s="86"/>
      <c r="X207" s="54"/>
      <c r="Y207" s="78"/>
      <c r="Z207" s="54"/>
      <c r="AA207" s="70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54" t="s">
        <v>3077</v>
      </c>
      <c r="AR207" s="83" t="s">
        <v>2016</v>
      </c>
      <c r="AS207" s="83" t="s">
        <v>3078</v>
      </c>
      <c r="AT207" s="93" t="s">
        <v>3079</v>
      </c>
      <c r="AU207" s="93" t="s">
        <v>3074</v>
      </c>
      <c r="AV207" s="93" t="s">
        <v>3074</v>
      </c>
      <c r="AW207" s="83" t="s">
        <v>3080</v>
      </c>
      <c r="AX207" s="83">
        <v>3.0</v>
      </c>
      <c r="AY207" s="83">
        <v>2.0</v>
      </c>
      <c r="AZ207" s="83" t="s">
        <v>3081</v>
      </c>
      <c r="BA207" s="83" t="s">
        <v>3082</v>
      </c>
      <c r="BB207" s="83" t="s">
        <v>3083</v>
      </c>
      <c r="BC207" s="54" t="s">
        <v>27</v>
      </c>
      <c r="BD207" s="54" t="str">
        <f t="shared" si="1"/>
        <v>Arequipa</v>
      </c>
      <c r="BE207" s="67" t="s">
        <v>143</v>
      </c>
      <c r="BF207" s="67" t="s">
        <v>144</v>
      </c>
      <c r="BG207" s="67" t="s">
        <v>142</v>
      </c>
      <c r="BH207" s="67"/>
      <c r="BI207" s="67"/>
      <c r="BJ207" s="67"/>
      <c r="BK207" s="67"/>
      <c r="BL207" s="67" t="s">
        <v>147</v>
      </c>
      <c r="BM207" s="67" t="s">
        <v>146</v>
      </c>
      <c r="BN207" s="100">
        <v>69.0</v>
      </c>
      <c r="BO207" s="102" t="s">
        <v>615</v>
      </c>
      <c r="BP207" s="67" t="s">
        <v>141</v>
      </c>
      <c r="BQ207" s="79" t="s">
        <v>141</v>
      </c>
      <c r="BR207" s="67" t="s">
        <v>149</v>
      </c>
      <c r="BS207" s="102" t="s">
        <v>149</v>
      </c>
      <c r="BT207" s="106">
        <v>46230.0</v>
      </c>
      <c r="BU207" s="107">
        <v>5.0</v>
      </c>
      <c r="BV207" s="108">
        <f t="shared" si="2"/>
        <v>46228</v>
      </c>
      <c r="BW207" s="108">
        <f t="shared" si="14"/>
        <v>46230</v>
      </c>
      <c r="BX207" s="102" t="str">
        <f t="shared" si="15"/>
        <v>14</v>
      </c>
      <c r="BY207" s="107">
        <f t="shared" si="5"/>
        <v>5</v>
      </c>
      <c r="BZ207" s="107">
        <f t="array" ref="BZ207">IF($A207&lt;&gt;"",INDEX(LISTA!$M$2:$N$27,MATCH($BC207,LISTA!$N$2:$N$27,0),1),"")</f>
        <v>7</v>
      </c>
      <c r="CA207" s="67">
        <f t="shared" si="6"/>
        <v>7</v>
      </c>
      <c r="CB207" s="114">
        <f t="shared" si="7"/>
        <v>7</v>
      </c>
      <c r="CC207" s="67">
        <v>5.8188902E7</v>
      </c>
    </row>
    <row r="208" ht="15.0" hidden="1" customHeight="1" outlineLevel="1">
      <c r="A208" s="59">
        <v>46228.440986574074</v>
      </c>
      <c r="B208" s="115" t="s">
        <v>105</v>
      </c>
      <c r="C208" s="54" t="s">
        <v>100</v>
      </c>
      <c r="D208" s="56" t="s">
        <v>319</v>
      </c>
      <c r="E208" s="69">
        <v>46230.583333333336</v>
      </c>
      <c r="F208" s="73" t="s">
        <v>3084</v>
      </c>
      <c r="G208" s="60" t="s">
        <v>3085</v>
      </c>
      <c r="H208" s="60" t="s">
        <v>3086</v>
      </c>
      <c r="I208" s="67" t="s">
        <v>293</v>
      </c>
      <c r="J208" s="79" t="s">
        <v>3087</v>
      </c>
      <c r="K208" s="67" t="s">
        <v>109</v>
      </c>
      <c r="L208" s="79" t="s">
        <v>3088</v>
      </c>
      <c r="M208" s="83" t="s">
        <v>3089</v>
      </c>
      <c r="N208" s="78">
        <v>35426.0</v>
      </c>
      <c r="O208" s="80" t="s">
        <v>46</v>
      </c>
      <c r="P208" s="70">
        <v>190601.0</v>
      </c>
      <c r="Q208" s="54"/>
      <c r="R208" s="84"/>
      <c r="S208" s="84"/>
      <c r="T208" s="54"/>
      <c r="U208" s="86"/>
      <c r="V208" s="54"/>
      <c r="W208" s="86"/>
      <c r="X208" s="54"/>
      <c r="Y208" s="78"/>
      <c r="Z208" s="54"/>
      <c r="AA208" s="70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 t="s">
        <v>1232</v>
      </c>
      <c r="AL208" s="83"/>
      <c r="AM208" s="83"/>
      <c r="AN208" s="83"/>
      <c r="AO208" s="83"/>
      <c r="AP208" s="83"/>
      <c r="AQ208" s="54" t="s">
        <v>1440</v>
      </c>
      <c r="AR208" s="83" t="s">
        <v>2016</v>
      </c>
      <c r="AS208" s="83" t="s">
        <v>3090</v>
      </c>
      <c r="AT208" s="93" t="s">
        <v>3087</v>
      </c>
      <c r="AU208" s="93" t="s">
        <v>3087</v>
      </c>
      <c r="AV208" s="93" t="s">
        <v>3087</v>
      </c>
      <c r="AW208" s="83" t="s">
        <v>3091</v>
      </c>
      <c r="AX208" s="83">
        <v>3.0</v>
      </c>
      <c r="AY208" s="83" t="s">
        <v>3092</v>
      </c>
      <c r="AZ208" s="83" t="s">
        <v>3093</v>
      </c>
      <c r="BA208" s="83" t="s">
        <v>3094</v>
      </c>
      <c r="BB208" s="83" t="s">
        <v>3095</v>
      </c>
      <c r="BC208" s="54" t="s">
        <v>46</v>
      </c>
      <c r="BD208" s="54" t="str">
        <f t="shared" si="1"/>
        <v>Sullana</v>
      </c>
      <c r="BE208" s="67" t="s">
        <v>140</v>
      </c>
      <c r="BF208" s="67" t="s">
        <v>144</v>
      </c>
      <c r="BG208" s="67" t="s">
        <v>142</v>
      </c>
      <c r="BH208" s="67"/>
      <c r="BI208" s="67"/>
      <c r="BJ208" s="67"/>
      <c r="BK208" s="67"/>
      <c r="BL208" s="67" t="s">
        <v>145</v>
      </c>
      <c r="BM208" s="67" t="s">
        <v>146</v>
      </c>
      <c r="BN208" s="100">
        <v>150.0</v>
      </c>
      <c r="BO208" s="102" t="s">
        <v>615</v>
      </c>
      <c r="BP208" s="67" t="s">
        <v>144</v>
      </c>
      <c r="BQ208" s="79" t="s">
        <v>141</v>
      </c>
      <c r="BR208" s="67">
        <v>2.0</v>
      </c>
      <c r="BS208" s="102" t="s">
        <v>149</v>
      </c>
      <c r="BT208" s="106">
        <v>46231.0</v>
      </c>
      <c r="BU208" s="107">
        <v>1.0</v>
      </c>
      <c r="BV208" s="108">
        <f t="shared" si="2"/>
        <v>46228</v>
      </c>
      <c r="BW208" s="108">
        <f t="shared" si="14"/>
        <v>46230</v>
      </c>
      <c r="BX208" s="102" t="str">
        <f t="shared" si="15"/>
        <v>14</v>
      </c>
      <c r="BY208" s="107">
        <f t="shared" si="5"/>
        <v>5</v>
      </c>
      <c r="BZ208" s="107">
        <f t="array" ref="BZ208">IF($A208&lt;&gt;"",INDEX(LISTA!$M$2:$N$27,MATCH($BC208,LISTA!$N$2:$N$27,0),1),"")</f>
        <v>21</v>
      </c>
      <c r="CA208" s="67">
        <f t="shared" si="6"/>
        <v>7</v>
      </c>
      <c r="CB208" s="114">
        <f t="shared" si="7"/>
        <v>7</v>
      </c>
      <c r="CC208" s="67">
        <v>5.8188416E7</v>
      </c>
    </row>
    <row r="209" ht="15.0" hidden="1" customHeight="1" outlineLevel="1">
      <c r="A209" s="59">
        <v>46228.63304789352</v>
      </c>
      <c r="B209" s="115" t="s">
        <v>105</v>
      </c>
      <c r="C209" s="54" t="s">
        <v>100</v>
      </c>
      <c r="D209" s="56" t="s">
        <v>101</v>
      </c>
      <c r="E209" s="69">
        <v>46231.375</v>
      </c>
      <c r="F209" s="73" t="s">
        <v>3096</v>
      </c>
      <c r="G209" s="60" t="s">
        <v>3097</v>
      </c>
      <c r="H209" s="60" t="s">
        <v>3098</v>
      </c>
      <c r="I209" s="67" t="s">
        <v>107</v>
      </c>
      <c r="J209" s="79" t="s">
        <v>3099</v>
      </c>
      <c r="K209" s="67" t="s">
        <v>109</v>
      </c>
      <c r="L209" s="79" t="s">
        <v>3100</v>
      </c>
      <c r="M209" s="83" t="s">
        <v>3101</v>
      </c>
      <c r="N209" s="78">
        <v>31222.0</v>
      </c>
      <c r="O209" s="80" t="s">
        <v>37</v>
      </c>
      <c r="P209" s="70">
        <v>150501.0</v>
      </c>
      <c r="Q209" s="54"/>
      <c r="R209" s="84"/>
      <c r="S209" s="84"/>
      <c r="T209" s="54" t="s">
        <v>122</v>
      </c>
      <c r="U209" s="86"/>
      <c r="V209" s="54"/>
      <c r="W209" s="86"/>
      <c r="X209" s="54"/>
      <c r="Y209" s="78"/>
      <c r="Z209" s="54"/>
      <c r="AA209" s="70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54" t="s">
        <v>3102</v>
      </c>
      <c r="AR209" s="83" t="s">
        <v>3103</v>
      </c>
      <c r="AS209" s="83" t="s">
        <v>3104</v>
      </c>
      <c r="AT209" s="93" t="s">
        <v>3099</v>
      </c>
      <c r="AU209" s="93" t="s">
        <v>3099</v>
      </c>
      <c r="AV209" s="93" t="s">
        <v>3099</v>
      </c>
      <c r="AW209" s="83" t="s">
        <v>3105</v>
      </c>
      <c r="AX209" s="83">
        <v>2.0</v>
      </c>
      <c r="AY209" s="83">
        <v>0.0</v>
      </c>
      <c r="AZ209" s="83" t="s">
        <v>3106</v>
      </c>
      <c r="BA209" s="83" t="s">
        <v>3107</v>
      </c>
      <c r="BB209" s="83" t="s">
        <v>3108</v>
      </c>
      <c r="BC209" s="54" t="s">
        <v>27</v>
      </c>
      <c r="BD209" s="54" t="str">
        <f t="shared" si="1"/>
        <v>Arequipa</v>
      </c>
      <c r="BE209" s="67" t="s">
        <v>140</v>
      </c>
      <c r="BF209" s="67" t="s">
        <v>141</v>
      </c>
      <c r="BG209" s="67" t="s">
        <v>142</v>
      </c>
      <c r="BH209" s="67"/>
      <c r="BI209" s="67"/>
      <c r="BJ209" s="67"/>
      <c r="BK209" s="67"/>
      <c r="BL209" s="67" t="s">
        <v>145</v>
      </c>
      <c r="BM209" s="67" t="s">
        <v>146</v>
      </c>
      <c r="BN209" s="100">
        <v>170.0</v>
      </c>
      <c r="BO209" s="102" t="s">
        <v>148</v>
      </c>
      <c r="BP209" s="67" t="s">
        <v>141</v>
      </c>
      <c r="BQ209" s="79" t="s">
        <v>141</v>
      </c>
      <c r="BR209" s="67">
        <v>2.0</v>
      </c>
      <c r="BS209" s="102">
        <v>1.0</v>
      </c>
      <c r="BT209" s="106">
        <v>46231.0</v>
      </c>
      <c r="BU209" s="107">
        <v>2.0</v>
      </c>
      <c r="BV209" s="108">
        <f t="shared" si="2"/>
        <v>46228</v>
      </c>
      <c r="BW209" s="108">
        <f t="shared" si="14"/>
        <v>46231</v>
      </c>
      <c r="BX209" s="102" t="str">
        <f t="shared" si="15"/>
        <v>09</v>
      </c>
      <c r="BY209" s="107">
        <f t="shared" si="5"/>
        <v>5</v>
      </c>
      <c r="BZ209" s="107">
        <f t="array" ref="BZ209">IF($A209&lt;&gt;"",INDEX(LISTA!$M$2:$N$27,MATCH($BC209,LISTA!$N$2:$N$27,0),1),"")</f>
        <v>7</v>
      </c>
      <c r="CA209" s="67">
        <f t="shared" si="6"/>
        <v>7</v>
      </c>
      <c r="CB209" s="114">
        <f t="shared" si="7"/>
        <v>7</v>
      </c>
      <c r="CC209" s="67">
        <v>5.8199078E7</v>
      </c>
    </row>
    <row r="210" ht="15.0" hidden="1" customHeight="1" outlineLevel="1">
      <c r="A210" s="59">
        <v>46230.46218634259</v>
      </c>
      <c r="B210" s="115" t="s">
        <v>105</v>
      </c>
      <c r="C210" s="54" t="s">
        <v>100</v>
      </c>
      <c r="D210" s="56" t="s">
        <v>101</v>
      </c>
      <c r="E210" s="69">
        <v>46231.375</v>
      </c>
      <c r="F210" s="73"/>
      <c r="G210" s="60" t="s">
        <v>3109</v>
      </c>
      <c r="H210" s="60" t="s">
        <v>3110</v>
      </c>
      <c r="I210" s="67" t="s">
        <v>380</v>
      </c>
      <c r="J210" s="79" t="s">
        <v>3111</v>
      </c>
      <c r="K210" s="67" t="s">
        <v>109</v>
      </c>
      <c r="L210" s="79" t="s">
        <v>3112</v>
      </c>
      <c r="M210" s="83" t="s">
        <v>3113</v>
      </c>
      <c r="N210" s="78">
        <v>34905.0</v>
      </c>
      <c r="O210" s="80" t="s">
        <v>41</v>
      </c>
      <c r="P210" s="70">
        <v>140108.0</v>
      </c>
      <c r="Q210" s="54"/>
      <c r="R210" s="84"/>
      <c r="S210" s="84"/>
      <c r="T210" s="54"/>
      <c r="U210" s="86"/>
      <c r="V210" s="54"/>
      <c r="W210" s="86"/>
      <c r="X210" s="54"/>
      <c r="Y210" s="78"/>
      <c r="Z210" s="54"/>
      <c r="AA210" s="70"/>
      <c r="AB210" s="83"/>
      <c r="AC210" s="83"/>
      <c r="AD210" s="83"/>
      <c r="AE210" s="83"/>
      <c r="AF210" s="83" t="s">
        <v>792</v>
      </c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54" t="s">
        <v>3114</v>
      </c>
      <c r="AR210" s="83" t="s">
        <v>741</v>
      </c>
      <c r="AS210" s="83" t="s">
        <v>3115</v>
      </c>
      <c r="AT210" s="93" t="s">
        <v>3111</v>
      </c>
      <c r="AU210" s="93" t="s">
        <v>3111</v>
      </c>
      <c r="AV210" s="93" t="s">
        <v>3111</v>
      </c>
      <c r="AW210" s="83" t="s">
        <v>3116</v>
      </c>
      <c r="AX210" s="83">
        <v>2.0</v>
      </c>
      <c r="AY210" s="83">
        <v>1.0</v>
      </c>
      <c r="AZ210" s="83" t="s">
        <v>3117</v>
      </c>
      <c r="BA210" s="83" t="s">
        <v>1767</v>
      </c>
      <c r="BB210" s="83" t="s">
        <v>3118</v>
      </c>
      <c r="BC210" s="54" t="s">
        <v>41</v>
      </c>
      <c r="BD210" s="54" t="str">
        <f t="shared" si="1"/>
        <v>Los Olivos</v>
      </c>
      <c r="BE210" s="67" t="s">
        <v>140</v>
      </c>
      <c r="BF210" s="67" t="s">
        <v>141</v>
      </c>
      <c r="BG210" s="67" t="s">
        <v>142</v>
      </c>
      <c r="BH210" s="67"/>
      <c r="BI210" s="67"/>
      <c r="BJ210" s="67"/>
      <c r="BK210" s="67"/>
      <c r="BL210" s="67" t="s">
        <v>147</v>
      </c>
      <c r="BM210" s="67" t="s">
        <v>1142</v>
      </c>
      <c r="BN210" s="100">
        <v>89.0</v>
      </c>
      <c r="BO210" s="102" t="s">
        <v>148</v>
      </c>
      <c r="BP210" s="67" t="s">
        <v>141</v>
      </c>
      <c r="BQ210" s="79" t="s">
        <v>141</v>
      </c>
      <c r="BR210" s="67" t="s">
        <v>149</v>
      </c>
      <c r="BS210" s="102">
        <v>1.0</v>
      </c>
      <c r="BT210" s="106">
        <v>46231.0</v>
      </c>
      <c r="BU210" s="107">
        <v>3.0</v>
      </c>
      <c r="BV210" s="108">
        <f t="shared" si="2"/>
        <v>46230</v>
      </c>
      <c r="BW210" s="108">
        <f t="shared" si="14"/>
        <v>46231</v>
      </c>
      <c r="BX210" s="102" t="str">
        <f t="shared" si="15"/>
        <v>09</v>
      </c>
      <c r="BY210" s="107">
        <f t="shared" si="5"/>
        <v>5</v>
      </c>
      <c r="BZ210" s="107">
        <f t="array" ref="BZ210">IF($A210&lt;&gt;"",INDEX(LISTA!$M$2:$N$27,MATCH($BC210,LISTA!$N$2:$N$27,0),1),"")</f>
        <v>1</v>
      </c>
      <c r="CA210" s="67">
        <f t="shared" si="6"/>
        <v>7</v>
      </c>
      <c r="CB210" s="114">
        <f t="shared" si="7"/>
        <v>7</v>
      </c>
      <c r="CC210" s="67">
        <v>5.8196851E7</v>
      </c>
    </row>
    <row r="211" ht="15.0" hidden="1" customHeight="1" outlineLevel="1">
      <c r="A211" s="59">
        <v>46227.7115074537</v>
      </c>
      <c r="B211" s="115" t="s">
        <v>105</v>
      </c>
      <c r="C211" s="54" t="s">
        <v>100</v>
      </c>
      <c r="D211" s="56" t="s">
        <v>319</v>
      </c>
      <c r="E211" s="69">
        <v>46231.583333333336</v>
      </c>
      <c r="F211" s="73"/>
      <c r="G211" s="60" t="s">
        <v>3119</v>
      </c>
      <c r="H211" s="60" t="s">
        <v>3120</v>
      </c>
      <c r="I211" s="67" t="s">
        <v>374</v>
      </c>
      <c r="J211" s="79" t="s">
        <v>3121</v>
      </c>
      <c r="K211" s="67" t="s">
        <v>109</v>
      </c>
      <c r="L211" s="79" t="s">
        <v>3122</v>
      </c>
      <c r="M211" s="83" t="s">
        <v>3123</v>
      </c>
      <c r="N211" s="78">
        <v>30747.0</v>
      </c>
      <c r="O211" s="80" t="s">
        <v>52</v>
      </c>
      <c r="P211" s="70">
        <v>250101.0</v>
      </c>
      <c r="Q211" s="54"/>
      <c r="R211" s="84"/>
      <c r="S211" s="84"/>
      <c r="T211" s="54"/>
      <c r="U211" s="86"/>
      <c r="V211" s="54"/>
      <c r="W211" s="86"/>
      <c r="X211" s="54"/>
      <c r="Y211" s="78"/>
      <c r="Z211" s="54"/>
      <c r="AA211" s="70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 t="s">
        <v>1926</v>
      </c>
      <c r="AQ211" s="54" t="s">
        <v>234</v>
      </c>
      <c r="AR211" s="83" t="s">
        <v>310</v>
      </c>
      <c r="AS211" s="83" t="s">
        <v>3124</v>
      </c>
      <c r="AT211" s="93" t="s">
        <v>3121</v>
      </c>
      <c r="AU211" s="93" t="s">
        <v>3121</v>
      </c>
      <c r="AV211" s="93" t="s">
        <v>3121</v>
      </c>
      <c r="AW211" s="83" t="s">
        <v>3125</v>
      </c>
      <c r="AX211" s="83">
        <v>1.0</v>
      </c>
      <c r="AY211" s="83">
        <v>1.0</v>
      </c>
      <c r="AZ211" s="83" t="s">
        <v>3126</v>
      </c>
      <c r="BA211" s="83" t="s">
        <v>2677</v>
      </c>
      <c r="BB211" s="83" t="s">
        <v>3127</v>
      </c>
      <c r="BC211" s="54" t="s">
        <v>52</v>
      </c>
      <c r="BD211" s="54" t="str">
        <f t="shared" si="1"/>
        <v>Coronel Portillo</v>
      </c>
      <c r="BE211" s="67" t="s">
        <v>140</v>
      </c>
      <c r="BF211" s="67" t="s">
        <v>144</v>
      </c>
      <c r="BG211" s="67" t="s">
        <v>142</v>
      </c>
      <c r="BH211" s="67"/>
      <c r="BI211" s="67"/>
      <c r="BJ211" s="67"/>
      <c r="BK211" s="67"/>
      <c r="BL211" s="67" t="s">
        <v>147</v>
      </c>
      <c r="BM211" s="67" t="s">
        <v>146</v>
      </c>
      <c r="BN211" s="100">
        <v>89.0</v>
      </c>
      <c r="BO211" s="102" t="s">
        <v>148</v>
      </c>
      <c r="BP211" s="67" t="s">
        <v>141</v>
      </c>
      <c r="BQ211" s="79" t="s">
        <v>141</v>
      </c>
      <c r="BR211" s="67" t="s">
        <v>149</v>
      </c>
      <c r="BS211" s="102">
        <v>1.0</v>
      </c>
      <c r="BT211" s="106">
        <v>46231.0</v>
      </c>
      <c r="BU211" s="107">
        <v>4.0</v>
      </c>
      <c r="BV211" s="108">
        <f t="shared" si="2"/>
        <v>46227</v>
      </c>
      <c r="BW211" s="108">
        <f t="shared" si="14"/>
        <v>46231</v>
      </c>
      <c r="BX211" s="102" t="str">
        <f t="shared" si="15"/>
        <v>14</v>
      </c>
      <c r="BY211" s="107">
        <f t="shared" si="5"/>
        <v>5</v>
      </c>
      <c r="BZ211" s="107">
        <f t="array" ref="BZ211">IF($A211&lt;&gt;"",INDEX(LISTA!$M$2:$N$27,MATCH($BC211,LISTA!$N$2:$N$27,0),1),"")</f>
        <v>26</v>
      </c>
      <c r="CA211" s="67">
        <f t="shared" si="6"/>
        <v>7</v>
      </c>
      <c r="CB211" s="114">
        <f t="shared" si="7"/>
        <v>7</v>
      </c>
      <c r="CC211" s="67">
        <v>5.8184701E7</v>
      </c>
    </row>
    <row r="212" ht="15.0" hidden="1" customHeight="1" outlineLevel="1">
      <c r="A212" s="59">
        <v>46221.46626865741</v>
      </c>
      <c r="B212" s="62" t="s">
        <v>105</v>
      </c>
      <c r="C212" s="54" t="s">
        <v>100</v>
      </c>
      <c r="D212" s="56" t="s">
        <v>319</v>
      </c>
      <c r="E212" s="69">
        <v>46228.375</v>
      </c>
      <c r="F212" s="73"/>
      <c r="G212" s="60" t="s">
        <v>3128</v>
      </c>
      <c r="H212" s="60" t="s">
        <v>3129</v>
      </c>
      <c r="I212" s="67" t="s">
        <v>360</v>
      </c>
      <c r="J212" s="79" t="s">
        <v>3130</v>
      </c>
      <c r="K212" s="67" t="s">
        <v>109</v>
      </c>
      <c r="L212" s="79" t="s">
        <v>3131</v>
      </c>
      <c r="M212" s="83" t="s">
        <v>3132</v>
      </c>
      <c r="N212" s="78">
        <v>33196.0</v>
      </c>
      <c r="O212" s="80" t="s">
        <v>41</v>
      </c>
      <c r="P212" s="70">
        <v>150000.0</v>
      </c>
      <c r="Q212" s="54"/>
      <c r="R212" s="84"/>
      <c r="S212" s="84"/>
      <c r="T212" s="54"/>
      <c r="U212" s="86"/>
      <c r="V212" s="54"/>
      <c r="W212" s="86"/>
      <c r="X212" s="54"/>
      <c r="Y212" s="78"/>
      <c r="Z212" s="54"/>
      <c r="AA212" s="70"/>
      <c r="AB212" s="83"/>
      <c r="AC212" s="83"/>
      <c r="AD212" s="83"/>
      <c r="AE212" s="83"/>
      <c r="AF212" s="83" t="s">
        <v>268</v>
      </c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54" t="s">
        <v>3133</v>
      </c>
      <c r="AR212" s="83" t="s">
        <v>3134</v>
      </c>
      <c r="AS212" s="83" t="s">
        <v>3135</v>
      </c>
      <c r="AT212" s="93" t="s">
        <v>3136</v>
      </c>
      <c r="AU212" s="93" t="s">
        <v>3136</v>
      </c>
      <c r="AV212" s="93" t="s">
        <v>3136</v>
      </c>
      <c r="AW212" s="83" t="s">
        <v>3137</v>
      </c>
      <c r="AX212" s="83">
        <v>2.0</v>
      </c>
      <c r="AY212" s="83">
        <v>204.0</v>
      </c>
      <c r="AZ212" s="83" t="s">
        <v>3138</v>
      </c>
      <c r="BA212" s="83" t="s">
        <v>3139</v>
      </c>
      <c r="BB212" s="83" t="s">
        <v>3140</v>
      </c>
      <c r="BC212" s="54" t="s">
        <v>41</v>
      </c>
      <c r="BD212" s="54" t="str">
        <f t="shared" si="1"/>
        <v>Lince</v>
      </c>
      <c r="BE212" s="67" t="s">
        <v>143</v>
      </c>
      <c r="BF212" s="67" t="s">
        <v>141</v>
      </c>
      <c r="BG212" s="67" t="s">
        <v>142</v>
      </c>
      <c r="BH212" s="67"/>
      <c r="BI212" s="67"/>
      <c r="BJ212" s="67"/>
      <c r="BK212" s="67"/>
      <c r="BL212" s="67" t="s">
        <v>145</v>
      </c>
      <c r="BM212" s="67" t="s">
        <v>146</v>
      </c>
      <c r="BN212" s="100">
        <v>170.0</v>
      </c>
      <c r="BO212" s="102" t="s">
        <v>148</v>
      </c>
      <c r="BP212" s="67" t="s">
        <v>141</v>
      </c>
      <c r="BQ212" s="79" t="s">
        <v>141</v>
      </c>
      <c r="BR212" s="67">
        <v>2.0</v>
      </c>
      <c r="BS212" s="102" t="s">
        <v>149</v>
      </c>
      <c r="BT212" s="106">
        <v>46231.0</v>
      </c>
      <c r="BU212" s="107">
        <v>8.0</v>
      </c>
      <c r="BV212" s="108">
        <f t="shared" si="2"/>
        <v>46221</v>
      </c>
      <c r="BW212" s="108">
        <f t="shared" si="14"/>
        <v>46228</v>
      </c>
      <c r="BX212" s="102" t="str">
        <f t="shared" si="15"/>
        <v>09</v>
      </c>
      <c r="BY212" s="107">
        <f t="shared" si="5"/>
        <v>5</v>
      </c>
      <c r="BZ212" s="107">
        <f t="array" ref="BZ212">IF($A212&lt;&gt;"",INDEX(LISTA!$M$2:$N$27,MATCH($BC212,LISTA!$N$2:$N$27,0),1),"")</f>
        <v>1</v>
      </c>
      <c r="CA212" s="67">
        <f t="shared" si="6"/>
        <v>7</v>
      </c>
      <c r="CB212" s="114">
        <f t="shared" si="7"/>
        <v>7</v>
      </c>
      <c r="CC212" s="67">
        <v>5.8143686E7</v>
      </c>
    </row>
    <row r="213" ht="15.0" hidden="1" customHeight="1" outlineLevel="1">
      <c r="A213" s="59">
        <v>46230.532137476854</v>
      </c>
      <c r="B213" s="115" t="s">
        <v>105</v>
      </c>
      <c r="C213" s="54" t="s">
        <v>100</v>
      </c>
      <c r="D213" s="56" t="s">
        <v>319</v>
      </c>
      <c r="E213" s="69">
        <v>46232.583333333336</v>
      </c>
      <c r="F213" s="73"/>
      <c r="G213" s="60" t="s">
        <v>3141</v>
      </c>
      <c r="H213" s="60" t="s">
        <v>3142</v>
      </c>
      <c r="I213" s="67" t="s">
        <v>384</v>
      </c>
      <c r="J213" s="79" t="s">
        <v>3143</v>
      </c>
      <c r="K213" s="67" t="s">
        <v>109</v>
      </c>
      <c r="L213" s="79" t="s">
        <v>3144</v>
      </c>
      <c r="M213" s="83" t="s">
        <v>3145</v>
      </c>
      <c r="N213" s="78">
        <v>37419.0</v>
      </c>
      <c r="O213" s="80" t="s">
        <v>41</v>
      </c>
      <c r="P213" s="70">
        <v>150110.0</v>
      </c>
      <c r="Q213" s="54"/>
      <c r="R213" s="84"/>
      <c r="S213" s="84"/>
      <c r="T213" s="54"/>
      <c r="U213" s="86"/>
      <c r="V213" s="54"/>
      <c r="W213" s="86"/>
      <c r="X213" s="54"/>
      <c r="Y213" s="78"/>
      <c r="Z213" s="54"/>
      <c r="AA213" s="70"/>
      <c r="AB213" s="83"/>
      <c r="AC213" s="83"/>
      <c r="AD213" s="83"/>
      <c r="AE213" s="83"/>
      <c r="AF213" s="83" t="s">
        <v>691</v>
      </c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54" t="s">
        <v>3146</v>
      </c>
      <c r="AR213" s="83" t="s">
        <v>3147</v>
      </c>
      <c r="AS213" s="83" t="s">
        <v>3148</v>
      </c>
      <c r="AT213" s="93" t="s">
        <v>3143</v>
      </c>
      <c r="AU213" s="93" t="s">
        <v>3143</v>
      </c>
      <c r="AV213" s="93" t="s">
        <v>3149</v>
      </c>
      <c r="AW213" s="83" t="s">
        <v>3150</v>
      </c>
      <c r="AX213" s="83">
        <v>2.0</v>
      </c>
      <c r="AY213" s="83" t="s">
        <v>1657</v>
      </c>
      <c r="AZ213" s="83" t="s">
        <v>3151</v>
      </c>
      <c r="BA213" s="83" t="s">
        <v>3152</v>
      </c>
      <c r="BB213" s="83" t="s">
        <v>3153</v>
      </c>
      <c r="BC213" s="54" t="s">
        <v>41</v>
      </c>
      <c r="BD213" s="54" t="str">
        <f t="shared" si="1"/>
        <v>Comas</v>
      </c>
      <c r="BE213" s="67" t="s">
        <v>140</v>
      </c>
      <c r="BF213" s="67" t="s">
        <v>141</v>
      </c>
      <c r="BG213" s="67" t="s">
        <v>142</v>
      </c>
      <c r="BH213" s="67"/>
      <c r="BI213" s="67"/>
      <c r="BJ213" s="67"/>
      <c r="BK213" s="67"/>
      <c r="BL213" s="67" t="s">
        <v>147</v>
      </c>
      <c r="BM213" s="67" t="s">
        <v>146</v>
      </c>
      <c r="BN213" s="100">
        <v>89.0</v>
      </c>
      <c r="BO213" s="102" t="s">
        <v>148</v>
      </c>
      <c r="BP213" s="67" t="s">
        <v>141</v>
      </c>
      <c r="BQ213" s="79" t="s">
        <v>141</v>
      </c>
      <c r="BR213" s="67" t="s">
        <v>149</v>
      </c>
      <c r="BS213" s="102">
        <v>1.0</v>
      </c>
      <c r="BT213" s="106">
        <v>46232.0</v>
      </c>
      <c r="BU213" s="107">
        <v>1.0</v>
      </c>
      <c r="BV213" s="108">
        <f t="shared" si="2"/>
        <v>46230</v>
      </c>
      <c r="BW213" s="108">
        <f t="shared" si="14"/>
        <v>46232</v>
      </c>
      <c r="BX213" s="102" t="str">
        <f t="shared" si="15"/>
        <v>14</v>
      </c>
      <c r="BY213" s="107">
        <f t="shared" si="5"/>
        <v>5</v>
      </c>
      <c r="BZ213" s="107">
        <f t="array" ref="BZ213">IF($A213&lt;&gt;"",INDEX(LISTA!$M$2:$N$27,MATCH($BC213,LISTA!$N$2:$N$27,0),1),"")</f>
        <v>1</v>
      </c>
      <c r="CA213" s="67">
        <f t="shared" si="6"/>
        <v>7</v>
      </c>
      <c r="CB213" s="114">
        <f t="shared" si="7"/>
        <v>7</v>
      </c>
      <c r="CC213" s="67">
        <v>5.8198239E7</v>
      </c>
    </row>
    <row r="214" ht="15.0" hidden="1" customHeight="1" outlineLevel="1">
      <c r="A214" s="59">
        <v>46230.77013778935</v>
      </c>
      <c r="B214" s="115" t="s">
        <v>105</v>
      </c>
      <c r="C214" s="54" t="s">
        <v>100</v>
      </c>
      <c r="D214" s="56" t="s">
        <v>319</v>
      </c>
      <c r="E214" s="69">
        <v>46232.583333333336</v>
      </c>
      <c r="F214" s="73"/>
      <c r="G214" s="60" t="s">
        <v>3154</v>
      </c>
      <c r="H214" s="60" t="s">
        <v>3155</v>
      </c>
      <c r="I214" s="67" t="s">
        <v>374</v>
      </c>
      <c r="J214" s="79" t="s">
        <v>3156</v>
      </c>
      <c r="K214" s="67" t="s">
        <v>109</v>
      </c>
      <c r="L214" s="79" t="s">
        <v>3157</v>
      </c>
      <c r="M214" s="83" t="s">
        <v>3158</v>
      </c>
      <c r="N214" s="78">
        <v>18372.0</v>
      </c>
      <c r="O214" s="80" t="s">
        <v>24</v>
      </c>
      <c r="P214" s="156" t="s">
        <v>449</v>
      </c>
      <c r="Q214" s="54"/>
      <c r="R214" s="84" t="s">
        <v>450</v>
      </c>
      <c r="S214" s="84"/>
      <c r="T214" s="54"/>
      <c r="U214" s="86"/>
      <c r="V214" s="54"/>
      <c r="W214" s="86"/>
      <c r="X214" s="54"/>
      <c r="Y214" s="78"/>
      <c r="Z214" s="54"/>
      <c r="AA214" s="70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54" t="s">
        <v>1640</v>
      </c>
      <c r="AR214" s="83" t="s">
        <v>3159</v>
      </c>
      <c r="AS214" s="83" t="s">
        <v>3160</v>
      </c>
      <c r="AT214" s="93" t="s">
        <v>3156</v>
      </c>
      <c r="AU214" s="93" t="s">
        <v>3161</v>
      </c>
      <c r="AV214" s="93" t="s">
        <v>3161</v>
      </c>
      <c r="AW214" s="83" t="s">
        <v>3162</v>
      </c>
      <c r="AX214" s="83">
        <v>1.0</v>
      </c>
      <c r="AY214" s="83">
        <v>1.0</v>
      </c>
      <c r="AZ214" s="83" t="s">
        <v>3163</v>
      </c>
      <c r="BA214" s="83" t="s">
        <v>1767</v>
      </c>
      <c r="BB214" s="83" t="s">
        <v>3164</v>
      </c>
      <c r="BC214" s="54" t="s">
        <v>24</v>
      </c>
      <c r="BD214" s="54" t="str">
        <f t="shared" si="1"/>
        <v>Huaraz</v>
      </c>
      <c r="BE214" s="67" t="s">
        <v>140</v>
      </c>
      <c r="BF214" s="67" t="s">
        <v>144</v>
      </c>
      <c r="BG214" s="67" t="s">
        <v>142</v>
      </c>
      <c r="BH214" s="67"/>
      <c r="BI214" s="67"/>
      <c r="BJ214" s="67"/>
      <c r="BK214" s="67"/>
      <c r="BL214" s="67" t="s">
        <v>147</v>
      </c>
      <c r="BM214" s="67" t="s">
        <v>146</v>
      </c>
      <c r="BN214" s="100">
        <v>89.0</v>
      </c>
      <c r="BO214" s="102" t="s">
        <v>148</v>
      </c>
      <c r="BP214" s="67" t="s">
        <v>141</v>
      </c>
      <c r="BQ214" s="79" t="s">
        <v>141</v>
      </c>
      <c r="BR214" s="67" t="s">
        <v>149</v>
      </c>
      <c r="BS214" s="102" t="s">
        <v>149</v>
      </c>
      <c r="BT214" s="106">
        <v>46232.0</v>
      </c>
      <c r="BU214" s="107">
        <v>2.0</v>
      </c>
      <c r="BV214" s="108">
        <f t="shared" si="2"/>
        <v>46230</v>
      </c>
      <c r="BW214" s="108">
        <f t="shared" si="14"/>
        <v>46232</v>
      </c>
      <c r="BX214" s="102" t="str">
        <f t="shared" si="15"/>
        <v>14</v>
      </c>
      <c r="BY214" s="107">
        <f t="shared" si="5"/>
        <v>5</v>
      </c>
      <c r="BZ214" s="107">
        <f t="array" ref="BZ214">IF($A214&lt;&gt;"",INDEX(LISTA!$M$2:$N$27,MATCH($BC214,LISTA!$N$2:$N$27,0),1),"")</f>
        <v>5</v>
      </c>
      <c r="CA214" s="67">
        <f t="shared" si="6"/>
        <v>7</v>
      </c>
      <c r="CB214" s="114">
        <f t="shared" si="7"/>
        <v>7</v>
      </c>
      <c r="CC214" s="67">
        <v>5.8202099E7</v>
      </c>
    </row>
    <row r="215" ht="15.0" hidden="1" customHeight="1" outlineLevel="1">
      <c r="A215" s="59">
        <v>46228.49151063657</v>
      </c>
      <c r="B215" s="115" t="s">
        <v>105</v>
      </c>
      <c r="C215" s="54" t="s">
        <v>100</v>
      </c>
      <c r="D215" s="56" t="s">
        <v>319</v>
      </c>
      <c r="E215" s="69">
        <v>46233.375</v>
      </c>
      <c r="F215" s="73"/>
      <c r="G215" s="60" t="s">
        <v>3165</v>
      </c>
      <c r="H215" s="60" t="s">
        <v>3166</v>
      </c>
      <c r="I215" s="67" t="s">
        <v>378</v>
      </c>
      <c r="J215" s="79" t="s">
        <v>3167</v>
      </c>
      <c r="K215" s="67" t="s">
        <v>109</v>
      </c>
      <c r="L215" s="79" t="s">
        <v>3168</v>
      </c>
      <c r="M215" s="83" t="s">
        <v>3169</v>
      </c>
      <c r="N215" s="78">
        <v>34759.0</v>
      </c>
      <c r="O215" s="80" t="s">
        <v>24</v>
      </c>
      <c r="P215" s="156" t="s">
        <v>449</v>
      </c>
      <c r="Q215" s="54"/>
      <c r="R215" s="84" t="s">
        <v>450</v>
      </c>
      <c r="S215" s="84"/>
      <c r="T215" s="54"/>
      <c r="U215" s="86"/>
      <c r="V215" s="54"/>
      <c r="W215" s="86"/>
      <c r="X215" s="54"/>
      <c r="Y215" s="78"/>
      <c r="Z215" s="54"/>
      <c r="AA215" s="70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54" t="s">
        <v>3170</v>
      </c>
      <c r="AR215" s="83" t="s">
        <v>717</v>
      </c>
      <c r="AS215" s="83" t="s">
        <v>3171</v>
      </c>
      <c r="AT215" s="93" t="s">
        <v>3167</v>
      </c>
      <c r="AU215" s="93" t="s">
        <v>3167</v>
      </c>
      <c r="AV215" s="93" t="s">
        <v>3167</v>
      </c>
      <c r="AW215" s="83" t="s">
        <v>3172</v>
      </c>
      <c r="AX215" s="83">
        <v>2.0</v>
      </c>
      <c r="AY215" s="83" t="s">
        <v>2739</v>
      </c>
      <c r="AZ215" s="83" t="s">
        <v>3173</v>
      </c>
      <c r="BA215" s="83" t="s">
        <v>3174</v>
      </c>
      <c r="BB215" s="83" t="s">
        <v>3175</v>
      </c>
      <c r="BC215" s="54" t="s">
        <v>24</v>
      </c>
      <c r="BD215" s="54" t="str">
        <f t="shared" si="1"/>
        <v>Huaraz</v>
      </c>
      <c r="BE215" s="67" t="s">
        <v>140</v>
      </c>
      <c r="BF215" s="67" t="s">
        <v>141</v>
      </c>
      <c r="BG215" s="67" t="s">
        <v>142</v>
      </c>
      <c r="BH215" s="67"/>
      <c r="BI215" s="67"/>
      <c r="BJ215" s="67"/>
      <c r="BK215" s="67"/>
      <c r="BL215" s="67" t="s">
        <v>147</v>
      </c>
      <c r="BM215" s="67" t="s">
        <v>146</v>
      </c>
      <c r="BN215" s="100">
        <v>89.0</v>
      </c>
      <c r="BO215" s="102" t="s">
        <v>148</v>
      </c>
      <c r="BP215" s="67" t="s">
        <v>141</v>
      </c>
      <c r="BQ215" s="79" t="s">
        <v>141</v>
      </c>
      <c r="BR215" s="67" t="s">
        <v>149</v>
      </c>
      <c r="BS215" s="102">
        <v>1.0</v>
      </c>
      <c r="BT215" s="106">
        <v>46233.0</v>
      </c>
      <c r="BU215" s="107">
        <v>1.0</v>
      </c>
      <c r="BV215" s="108">
        <f t="shared" si="2"/>
        <v>46228</v>
      </c>
      <c r="BW215" s="108">
        <f t="shared" si="14"/>
        <v>46233</v>
      </c>
      <c r="BX215" s="102" t="str">
        <f t="shared" si="15"/>
        <v>09</v>
      </c>
      <c r="BY215" s="107">
        <f t="shared" si="5"/>
        <v>5</v>
      </c>
      <c r="BZ215" s="107">
        <f t="array" ref="BZ215">IF($A215&lt;&gt;"",INDEX(LISTA!$M$2:$N$27,MATCH($BC215,LISTA!$N$2:$N$27,0),1),"")</f>
        <v>5</v>
      </c>
      <c r="CA215" s="67">
        <f t="shared" si="6"/>
        <v>7</v>
      </c>
      <c r="CB215" s="114">
        <f t="shared" si="7"/>
        <v>7</v>
      </c>
      <c r="CC215" s="67">
        <v>5.8188606E7</v>
      </c>
    </row>
    <row r="216" ht="15.0" hidden="1" customHeight="1" outlineLevel="1">
      <c r="A216" s="59">
        <v>46230.52130310185</v>
      </c>
      <c r="B216" s="115" t="s">
        <v>105</v>
      </c>
      <c r="C216" s="54" t="s">
        <v>100</v>
      </c>
      <c r="D216" s="56" t="s">
        <v>319</v>
      </c>
      <c r="E216" s="69">
        <v>46233.375</v>
      </c>
      <c r="F216" s="73"/>
      <c r="G216" s="60" t="s">
        <v>3176</v>
      </c>
      <c r="H216" s="60" t="s">
        <v>3177</v>
      </c>
      <c r="I216" s="67" t="s">
        <v>386</v>
      </c>
      <c r="J216" s="79" t="s">
        <v>3178</v>
      </c>
      <c r="K216" s="67" t="s">
        <v>109</v>
      </c>
      <c r="L216" s="79" t="s">
        <v>3179</v>
      </c>
      <c r="M216" s="83" t="s">
        <v>3180</v>
      </c>
      <c r="N216" s="78">
        <v>23656.0</v>
      </c>
      <c r="O216" s="80" t="s">
        <v>37</v>
      </c>
      <c r="P216" s="70">
        <v>140101.0</v>
      </c>
      <c r="Q216" s="54"/>
      <c r="R216" s="84"/>
      <c r="S216" s="84"/>
      <c r="T216" s="54"/>
      <c r="U216" s="86"/>
      <c r="V216" s="54"/>
      <c r="W216" s="86"/>
      <c r="X216" s="54"/>
      <c r="Y216" s="78"/>
      <c r="Z216" s="54"/>
      <c r="AA216" s="70"/>
      <c r="AB216" s="83"/>
      <c r="AC216" s="83"/>
      <c r="AD216" s="83"/>
      <c r="AE216" s="83"/>
      <c r="AF216" s="83" t="s">
        <v>2735</v>
      </c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54" t="s">
        <v>3181</v>
      </c>
      <c r="AR216" s="83" t="s">
        <v>3182</v>
      </c>
      <c r="AS216" s="83" t="s">
        <v>3183</v>
      </c>
      <c r="AT216" s="93" t="s">
        <v>3178</v>
      </c>
      <c r="AU216" s="93" t="s">
        <v>3178</v>
      </c>
      <c r="AV216" s="93" t="s">
        <v>3178</v>
      </c>
      <c r="AW216" s="83" t="s">
        <v>3184</v>
      </c>
      <c r="AX216" s="83">
        <v>1.0</v>
      </c>
      <c r="AY216" s="83" t="s">
        <v>3185</v>
      </c>
      <c r="AZ216" s="83" t="s">
        <v>3186</v>
      </c>
      <c r="BA216" s="83" t="s">
        <v>3187</v>
      </c>
      <c r="BB216" s="83" t="s">
        <v>3188</v>
      </c>
      <c r="BC216" s="54" t="s">
        <v>41</v>
      </c>
      <c r="BD216" s="54" t="str">
        <f t="shared" si="1"/>
        <v>San Miguel</v>
      </c>
      <c r="BE216" s="67" t="s">
        <v>140</v>
      </c>
      <c r="BF216" s="67" t="s">
        <v>141</v>
      </c>
      <c r="BG216" s="67" t="s">
        <v>142</v>
      </c>
      <c r="BH216" s="67"/>
      <c r="BI216" s="67"/>
      <c r="BJ216" s="67"/>
      <c r="BK216" s="67"/>
      <c r="BL216" s="67" t="s">
        <v>213</v>
      </c>
      <c r="BM216" s="67" t="s">
        <v>146</v>
      </c>
      <c r="BN216" s="100">
        <v>110.0</v>
      </c>
      <c r="BO216" s="102" t="s">
        <v>182</v>
      </c>
      <c r="BP216" s="67" t="s">
        <v>144</v>
      </c>
      <c r="BQ216" s="79" t="s">
        <v>141</v>
      </c>
      <c r="BR216" s="67" t="s">
        <v>149</v>
      </c>
      <c r="BS216" s="102">
        <v>1.0</v>
      </c>
      <c r="BT216" s="106">
        <v>46233.0</v>
      </c>
      <c r="BU216" s="107">
        <v>2.0</v>
      </c>
      <c r="BV216" s="108">
        <f t="shared" si="2"/>
        <v>46230</v>
      </c>
      <c r="BW216" s="108">
        <f t="shared" si="14"/>
        <v>46233</v>
      </c>
      <c r="BX216" s="102" t="str">
        <f t="shared" si="15"/>
        <v>09</v>
      </c>
      <c r="BY216" s="107">
        <f t="shared" si="5"/>
        <v>5</v>
      </c>
      <c r="BZ216" s="107">
        <f t="array" ref="BZ216">IF($A216&lt;&gt;"",INDEX(LISTA!$M$2:$N$27,MATCH($BC216,LISTA!$N$2:$N$27,0),1),"")</f>
        <v>1</v>
      </c>
      <c r="CA216" s="67">
        <f t="shared" si="6"/>
        <v>7</v>
      </c>
      <c r="CB216" s="114">
        <f t="shared" si="7"/>
        <v>7</v>
      </c>
      <c r="CC216" s="67">
        <v>5.8198171E7</v>
      </c>
    </row>
    <row r="217" ht="15.0" hidden="1" customHeight="1" outlineLevel="1">
      <c r="A217" s="59">
        <v>46233.48568616898</v>
      </c>
      <c r="B217" s="115" t="s">
        <v>105</v>
      </c>
      <c r="C217" s="54" t="s">
        <v>100</v>
      </c>
      <c r="D217" s="56" t="s">
        <v>319</v>
      </c>
      <c r="E217" s="69">
        <v>46234.375</v>
      </c>
      <c r="F217" s="73"/>
      <c r="G217" s="60" t="s">
        <v>3189</v>
      </c>
      <c r="H217" s="60" t="s">
        <v>3190</v>
      </c>
      <c r="I217" s="67" t="s">
        <v>386</v>
      </c>
      <c r="J217" s="79" t="s">
        <v>3191</v>
      </c>
      <c r="K217" s="67" t="s">
        <v>109</v>
      </c>
      <c r="L217" s="79" t="s">
        <v>3192</v>
      </c>
      <c r="M217" s="83" t="s">
        <v>3193</v>
      </c>
      <c r="N217" s="78">
        <v>27584.0</v>
      </c>
      <c r="O217" s="80" t="s">
        <v>36</v>
      </c>
      <c r="P217" s="70">
        <v>110330.0</v>
      </c>
      <c r="Q217" s="54"/>
      <c r="R217" s="84"/>
      <c r="S217" s="84"/>
      <c r="T217" s="54"/>
      <c r="U217" s="86"/>
      <c r="V217" s="54"/>
      <c r="W217" s="86"/>
      <c r="X217" s="54"/>
      <c r="Y217" s="78"/>
      <c r="Z217" s="54"/>
      <c r="AA217" s="70"/>
      <c r="AB217" s="83"/>
      <c r="AC217" s="83"/>
      <c r="AD217" s="83"/>
      <c r="AE217" s="83"/>
      <c r="AF217" s="83" t="s">
        <v>300</v>
      </c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54" t="s">
        <v>3194</v>
      </c>
      <c r="AR217" s="83" t="s">
        <v>3195</v>
      </c>
      <c r="AS217" s="83" t="s">
        <v>3196</v>
      </c>
      <c r="AT217" s="93" t="s">
        <v>3197</v>
      </c>
      <c r="AU217" s="93" t="s">
        <v>3197</v>
      </c>
      <c r="AV217" s="93" t="s">
        <v>3197</v>
      </c>
      <c r="AW217" s="83" t="s">
        <v>3198</v>
      </c>
      <c r="AX217" s="83">
        <v>2.0</v>
      </c>
      <c r="AY217" s="83" t="s">
        <v>1657</v>
      </c>
      <c r="AZ217" s="83" t="s">
        <v>3199</v>
      </c>
      <c r="BA217" s="83" t="s">
        <v>3200</v>
      </c>
      <c r="BB217" s="83" t="s">
        <v>3201</v>
      </c>
      <c r="BC217" s="54" t="s">
        <v>41</v>
      </c>
      <c r="BD217" s="54" t="str">
        <f t="shared" si="1"/>
        <v>Ate</v>
      </c>
      <c r="BE217" s="67" t="s">
        <v>140</v>
      </c>
      <c r="BF217" s="67" t="s">
        <v>141</v>
      </c>
      <c r="BG217" s="67" t="s">
        <v>142</v>
      </c>
      <c r="BH217" s="67"/>
      <c r="BI217" s="67"/>
      <c r="BJ217" s="67"/>
      <c r="BK217" s="67"/>
      <c r="BL217" s="67" t="s">
        <v>147</v>
      </c>
      <c r="BM217" s="67" t="s">
        <v>146</v>
      </c>
      <c r="BN217" s="100">
        <v>89.0</v>
      </c>
      <c r="BO217" s="102" t="s">
        <v>148</v>
      </c>
      <c r="BP217" s="67" t="s">
        <v>141</v>
      </c>
      <c r="BQ217" s="79" t="s">
        <v>141</v>
      </c>
      <c r="BR217" s="67" t="s">
        <v>149</v>
      </c>
      <c r="BS217" s="102">
        <v>1.0</v>
      </c>
      <c r="BT217" s="106">
        <v>46234.0</v>
      </c>
      <c r="BU217" s="107">
        <v>1.0</v>
      </c>
      <c r="BV217" s="108">
        <f t="shared" si="2"/>
        <v>46233</v>
      </c>
      <c r="BW217" s="108">
        <f t="shared" si="14"/>
        <v>46234</v>
      </c>
      <c r="BX217" s="102" t="str">
        <f t="shared" si="15"/>
        <v>09</v>
      </c>
      <c r="BY217" s="107">
        <f t="shared" si="5"/>
        <v>5</v>
      </c>
      <c r="BZ217" s="107">
        <f t="array" ref="BZ217">IF($A217&lt;&gt;"",INDEX(LISTA!$M$2:$N$27,MATCH($BC217,LISTA!$N$2:$N$27,0),1),"")</f>
        <v>1</v>
      </c>
      <c r="CA217" s="67">
        <f t="shared" si="6"/>
        <v>7</v>
      </c>
      <c r="CB217" s="114">
        <f t="shared" si="7"/>
        <v>7</v>
      </c>
      <c r="CC217" s="67">
        <v>5.821259E7</v>
      </c>
    </row>
    <row r="218" ht="15.0" hidden="1" customHeight="1" outlineLevel="1">
      <c r="A218" s="59">
        <v>46233.44597064814</v>
      </c>
      <c r="B218" s="115" t="s">
        <v>105</v>
      </c>
      <c r="C218" s="54" t="s">
        <v>100</v>
      </c>
      <c r="D218" s="56" t="s">
        <v>319</v>
      </c>
      <c r="E218" s="69">
        <v>46234.375</v>
      </c>
      <c r="F218" s="73"/>
      <c r="G218" s="60" t="s">
        <v>3202</v>
      </c>
      <c r="H218" s="60" t="s">
        <v>3203</v>
      </c>
      <c r="I218" s="67" t="s">
        <v>378</v>
      </c>
      <c r="J218" s="79" t="s">
        <v>3204</v>
      </c>
      <c r="K218" s="67" t="s">
        <v>109</v>
      </c>
      <c r="L218" s="79" t="s">
        <v>3205</v>
      </c>
      <c r="M218" s="83" t="s">
        <v>3206</v>
      </c>
      <c r="N218" s="78">
        <v>31889.0</v>
      </c>
      <c r="O218" s="80" t="s">
        <v>36</v>
      </c>
      <c r="P218" s="70">
        <v>110101.0</v>
      </c>
      <c r="Q218" s="54"/>
      <c r="R218" s="84"/>
      <c r="S218" s="84"/>
      <c r="T218" s="54"/>
      <c r="U218" s="86"/>
      <c r="V218" s="54"/>
      <c r="W218" s="86"/>
      <c r="X218" s="54"/>
      <c r="Y218" s="78"/>
      <c r="Z218" s="54"/>
      <c r="AA218" s="70"/>
      <c r="AB218" s="83" t="s">
        <v>766</v>
      </c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54" t="s">
        <v>3207</v>
      </c>
      <c r="AR218" s="83" t="s">
        <v>905</v>
      </c>
      <c r="AS218" s="83" t="s">
        <v>3208</v>
      </c>
      <c r="AT218" s="93" t="s">
        <v>3204</v>
      </c>
      <c r="AU218" s="93" t="s">
        <v>3204</v>
      </c>
      <c r="AV218" s="93" t="s">
        <v>3204</v>
      </c>
      <c r="AW218" s="83" t="s">
        <v>3209</v>
      </c>
      <c r="AX218" s="83">
        <v>1.0</v>
      </c>
      <c r="AY218" s="83" t="s">
        <v>2739</v>
      </c>
      <c r="AZ218" s="83" t="s">
        <v>3210</v>
      </c>
      <c r="BA218" s="83" t="s">
        <v>3211</v>
      </c>
      <c r="BB218" s="83" t="s">
        <v>3212</v>
      </c>
      <c r="BC218" s="54" t="s">
        <v>36</v>
      </c>
      <c r="BD218" s="54" t="str">
        <f t="shared" si="1"/>
        <v>Huancayo</v>
      </c>
      <c r="BE218" s="67" t="s">
        <v>140</v>
      </c>
      <c r="BF218" s="67" t="s">
        <v>144</v>
      </c>
      <c r="BG218" s="67" t="s">
        <v>142</v>
      </c>
      <c r="BH218" s="67"/>
      <c r="BI218" s="67"/>
      <c r="BJ218" s="67"/>
      <c r="BK218" s="67"/>
      <c r="BL218" s="67" t="s">
        <v>147</v>
      </c>
      <c r="BM218" s="67" t="s">
        <v>146</v>
      </c>
      <c r="BN218" s="100">
        <v>89.0</v>
      </c>
      <c r="BO218" s="102" t="s">
        <v>148</v>
      </c>
      <c r="BP218" s="67" t="s">
        <v>141</v>
      </c>
      <c r="BQ218" s="79" t="s">
        <v>141</v>
      </c>
      <c r="BR218" s="67" t="s">
        <v>149</v>
      </c>
      <c r="BS218" s="102">
        <v>1.0</v>
      </c>
      <c r="BT218" s="106">
        <v>46234.0</v>
      </c>
      <c r="BU218" s="107">
        <v>2.0</v>
      </c>
      <c r="BV218" s="108">
        <f t="shared" si="2"/>
        <v>46233</v>
      </c>
      <c r="BW218" s="108">
        <f t="shared" si="14"/>
        <v>46234</v>
      </c>
      <c r="BX218" s="102" t="str">
        <f t="shared" si="15"/>
        <v>09</v>
      </c>
      <c r="BY218" s="107">
        <f t="shared" si="5"/>
        <v>5</v>
      </c>
      <c r="BZ218" s="107">
        <f t="array" ref="BZ218">IF($A218&lt;&gt;"",INDEX(LISTA!$M$2:$N$27,MATCH($BC218,LISTA!$N$2:$N$27,0),1),"")</f>
        <v>14</v>
      </c>
      <c r="CA218" s="67">
        <f t="shared" si="6"/>
        <v>7</v>
      </c>
      <c r="CB218" s="114">
        <f t="shared" si="7"/>
        <v>7</v>
      </c>
      <c r="CC218" s="67">
        <v>5.8211714E7</v>
      </c>
    </row>
    <row r="219" ht="15.0" hidden="1" customHeight="1" outlineLevel="1">
      <c r="A219" s="59">
        <v>46228.548479467594</v>
      </c>
      <c r="B219" s="115" t="s">
        <v>105</v>
      </c>
      <c r="C219" s="54" t="s">
        <v>100</v>
      </c>
      <c r="D219" s="56" t="s">
        <v>319</v>
      </c>
      <c r="E219" s="69">
        <v>46234.375</v>
      </c>
      <c r="F219" s="73"/>
      <c r="G219" s="60" t="s">
        <v>3213</v>
      </c>
      <c r="H219" s="60" t="s">
        <v>3214</v>
      </c>
      <c r="I219" s="67" t="s">
        <v>384</v>
      </c>
      <c r="J219" s="79" t="s">
        <v>3215</v>
      </c>
      <c r="K219" s="67" t="s">
        <v>109</v>
      </c>
      <c r="L219" s="79" t="s">
        <v>3216</v>
      </c>
      <c r="M219" s="83" t="s">
        <v>3217</v>
      </c>
      <c r="N219" s="78">
        <v>22906.0</v>
      </c>
      <c r="O219" s="80" t="s">
        <v>24</v>
      </c>
      <c r="P219" s="156" t="s">
        <v>3218</v>
      </c>
      <c r="Q219" s="54"/>
      <c r="R219" s="84"/>
      <c r="S219" s="84"/>
      <c r="T219" s="54"/>
      <c r="U219" s="86"/>
      <c r="V219" s="54"/>
      <c r="W219" s="86"/>
      <c r="X219" s="54"/>
      <c r="Y219" s="78"/>
      <c r="Z219" s="54"/>
      <c r="AA219" s="70"/>
      <c r="AB219" s="83"/>
      <c r="AC219" s="83"/>
      <c r="AD219" s="83"/>
      <c r="AE219" s="83"/>
      <c r="AF219" s="83" t="s">
        <v>691</v>
      </c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54" t="s">
        <v>3219</v>
      </c>
      <c r="AR219" s="83" t="s">
        <v>645</v>
      </c>
      <c r="AS219" s="83" t="s">
        <v>3220</v>
      </c>
      <c r="AT219" s="93" t="s">
        <v>3215</v>
      </c>
      <c r="AU219" s="93" t="s">
        <v>3221</v>
      </c>
      <c r="AV219" s="93" t="s">
        <v>3222</v>
      </c>
      <c r="AW219" s="83" t="s">
        <v>3223</v>
      </c>
      <c r="AX219" s="83">
        <v>2.0</v>
      </c>
      <c r="AY219" s="83" t="s">
        <v>3224</v>
      </c>
      <c r="AZ219" s="83" t="s">
        <v>3225</v>
      </c>
      <c r="BA219" s="83" t="s">
        <v>3226</v>
      </c>
      <c r="BB219" s="83" t="s">
        <v>3227</v>
      </c>
      <c r="BC219" s="54" t="s">
        <v>41</v>
      </c>
      <c r="BD219" s="54" t="str">
        <f t="shared" si="1"/>
        <v>Comas</v>
      </c>
      <c r="BE219" s="67" t="s">
        <v>140</v>
      </c>
      <c r="BF219" s="67" t="s">
        <v>144</v>
      </c>
      <c r="BG219" s="67" t="s">
        <v>142</v>
      </c>
      <c r="BH219" s="67"/>
      <c r="BI219" s="67"/>
      <c r="BJ219" s="67"/>
      <c r="BK219" s="67"/>
      <c r="BL219" s="67" t="s">
        <v>283</v>
      </c>
      <c r="BM219" s="67" t="s">
        <v>146</v>
      </c>
      <c r="BN219" s="100">
        <v>94.0</v>
      </c>
      <c r="BO219" s="102" t="s">
        <v>148</v>
      </c>
      <c r="BP219" s="67" t="s">
        <v>141</v>
      </c>
      <c r="BQ219" s="79" t="s">
        <v>144</v>
      </c>
      <c r="BR219" s="67" t="s">
        <v>149</v>
      </c>
      <c r="BS219" s="102">
        <v>1.0</v>
      </c>
      <c r="BT219" s="106">
        <v>46234.0</v>
      </c>
      <c r="BU219" s="107">
        <v>3.0</v>
      </c>
      <c r="BV219" s="108">
        <f t="shared" si="2"/>
        <v>46228</v>
      </c>
      <c r="BW219" s="108">
        <f t="shared" si="14"/>
        <v>46234</v>
      </c>
      <c r="BX219" s="102" t="str">
        <f t="shared" si="15"/>
        <v>09</v>
      </c>
      <c r="BY219" s="107">
        <f t="shared" si="5"/>
        <v>5</v>
      </c>
      <c r="BZ219" s="107">
        <f t="array" ref="BZ219">IF($A219&lt;&gt;"",INDEX(LISTA!$M$2:$N$27,MATCH($BC219,LISTA!$N$2:$N$27,0),1),"")</f>
        <v>1</v>
      </c>
      <c r="CA219" s="67">
        <f t="shared" si="6"/>
        <v>7</v>
      </c>
      <c r="CB219" s="114">
        <f t="shared" si="7"/>
        <v>7</v>
      </c>
      <c r="CC219" s="67">
        <v>5.8189484E7</v>
      </c>
    </row>
    <row r="220" ht="15.0" hidden="1" customHeight="1" outlineLevel="1">
      <c r="A220" s="59">
        <v>46230.734887928236</v>
      </c>
      <c r="B220" s="115" t="s">
        <v>105</v>
      </c>
      <c r="C220" s="54" t="s">
        <v>100</v>
      </c>
      <c r="D220" s="56" t="s">
        <v>319</v>
      </c>
      <c r="E220" s="69">
        <v>46234.375</v>
      </c>
      <c r="F220" s="73"/>
      <c r="G220" s="60" t="s">
        <v>3228</v>
      </c>
      <c r="H220" s="60" t="s">
        <v>3229</v>
      </c>
      <c r="I220" s="67" t="s">
        <v>367</v>
      </c>
      <c r="J220" s="79" t="s">
        <v>3230</v>
      </c>
      <c r="K220" s="67" t="s">
        <v>109</v>
      </c>
      <c r="L220" s="79" t="s">
        <v>3231</v>
      </c>
      <c r="M220" s="83" t="s">
        <v>3232</v>
      </c>
      <c r="N220" s="78">
        <v>37279.0</v>
      </c>
      <c r="O220" s="80" t="s">
        <v>50</v>
      </c>
      <c r="P220" s="70">
        <v>230000.0</v>
      </c>
      <c r="Q220" s="54"/>
      <c r="R220" s="84"/>
      <c r="S220" s="84"/>
      <c r="T220" s="54"/>
      <c r="U220" s="86"/>
      <c r="V220" s="54"/>
      <c r="W220" s="86"/>
      <c r="X220" s="54"/>
      <c r="Y220" s="78"/>
      <c r="Z220" s="54"/>
      <c r="AA220" s="70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 t="s">
        <v>866</v>
      </c>
      <c r="AO220" s="83"/>
      <c r="AP220" s="83"/>
      <c r="AQ220" s="54" t="s">
        <v>3233</v>
      </c>
      <c r="AR220" s="83" t="s">
        <v>3234</v>
      </c>
      <c r="AS220" s="83" t="s">
        <v>3235</v>
      </c>
      <c r="AT220" s="93" t="s">
        <v>3230</v>
      </c>
      <c r="AU220" s="93" t="s">
        <v>3230</v>
      </c>
      <c r="AV220" s="93" t="s">
        <v>3230</v>
      </c>
      <c r="AW220" s="83" t="s">
        <v>3236</v>
      </c>
      <c r="AX220" s="83">
        <v>2.0</v>
      </c>
      <c r="AY220" s="83" t="s">
        <v>1767</v>
      </c>
      <c r="AZ220" s="83" t="s">
        <v>3237</v>
      </c>
      <c r="BA220" s="83" t="s">
        <v>3238</v>
      </c>
      <c r="BB220" s="83" t="s">
        <v>3239</v>
      </c>
      <c r="BC220" s="54" t="s">
        <v>50</v>
      </c>
      <c r="BD220" s="54" t="str">
        <f t="shared" si="1"/>
        <v>Tacna</v>
      </c>
      <c r="BE220" s="67" t="s">
        <v>143</v>
      </c>
      <c r="BF220" s="67" t="s">
        <v>144</v>
      </c>
      <c r="BG220" s="67" t="s">
        <v>142</v>
      </c>
      <c r="BH220" s="67"/>
      <c r="BI220" s="67"/>
      <c r="BJ220" s="67"/>
      <c r="BK220" s="67"/>
      <c r="BL220" s="67" t="s">
        <v>147</v>
      </c>
      <c r="BM220" s="67" t="s">
        <v>146</v>
      </c>
      <c r="BN220" s="100">
        <v>89.0</v>
      </c>
      <c r="BO220" s="102" t="s">
        <v>148</v>
      </c>
      <c r="BP220" s="67" t="s">
        <v>141</v>
      </c>
      <c r="BQ220" s="79" t="s">
        <v>141</v>
      </c>
      <c r="BR220" s="67" t="s">
        <v>149</v>
      </c>
      <c r="BS220" s="102" t="s">
        <v>149</v>
      </c>
      <c r="BT220" s="106">
        <v>46234.0</v>
      </c>
      <c r="BU220" s="107">
        <v>4.0</v>
      </c>
      <c r="BV220" s="108">
        <f t="shared" si="2"/>
        <v>46230</v>
      </c>
      <c r="BW220" s="108">
        <f t="shared" si="14"/>
        <v>46234</v>
      </c>
      <c r="BX220" s="102" t="str">
        <f t="shared" si="15"/>
        <v>09</v>
      </c>
      <c r="BY220" s="107">
        <f t="shared" si="5"/>
        <v>5</v>
      </c>
      <c r="BZ220" s="107">
        <f t="array" ref="BZ220">IF($A220&lt;&gt;"",INDEX(LISTA!$M$2:$N$27,MATCH($BC220,LISTA!$N$2:$N$27,0),1),"")</f>
        <v>24</v>
      </c>
      <c r="CA220" s="67">
        <f t="shared" si="6"/>
        <v>7</v>
      </c>
      <c r="CB220" s="114">
        <f t="shared" si="7"/>
        <v>7</v>
      </c>
      <c r="CC220" s="67">
        <v>5.820116E7</v>
      </c>
    </row>
    <row r="221" ht="15.0" hidden="1" customHeight="1" outlineLevel="1">
      <c r="A221" s="59">
        <v>46233.46071210648</v>
      </c>
      <c r="B221" s="115" t="s">
        <v>105</v>
      </c>
      <c r="C221" s="54" t="s">
        <v>100</v>
      </c>
      <c r="D221" s="56" t="s">
        <v>319</v>
      </c>
      <c r="E221" s="69">
        <v>46234.583333333336</v>
      </c>
      <c r="F221" s="73"/>
      <c r="G221" s="60" t="s">
        <v>3240</v>
      </c>
      <c r="H221" s="60" t="s">
        <v>3241</v>
      </c>
      <c r="I221" s="67" t="s">
        <v>363</v>
      </c>
      <c r="J221" s="79" t="s">
        <v>3242</v>
      </c>
      <c r="K221" s="67" t="s">
        <v>109</v>
      </c>
      <c r="L221" s="79" t="s">
        <v>3243</v>
      </c>
      <c r="M221" s="83" t="s">
        <v>3244</v>
      </c>
      <c r="N221" s="78">
        <v>34759.0</v>
      </c>
      <c r="O221" s="80" t="s">
        <v>40</v>
      </c>
      <c r="P221" s="70">
        <v>130101.0</v>
      </c>
      <c r="Q221" s="54"/>
      <c r="R221" s="84"/>
      <c r="S221" s="84"/>
      <c r="T221" s="54"/>
      <c r="U221" s="86"/>
      <c r="V221" s="54"/>
      <c r="W221" s="86"/>
      <c r="X221" s="54"/>
      <c r="Y221" s="78"/>
      <c r="Z221" s="54"/>
      <c r="AA221" s="70"/>
      <c r="AB221" s="83"/>
      <c r="AC221" s="83"/>
      <c r="AD221" s="83" t="s">
        <v>805</v>
      </c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54" t="s">
        <v>3245</v>
      </c>
      <c r="AR221" s="83" t="s">
        <v>2016</v>
      </c>
      <c r="AS221" s="83" t="s">
        <v>3246</v>
      </c>
      <c r="AT221" s="93" t="s">
        <v>3242</v>
      </c>
      <c r="AU221" s="93" t="s">
        <v>3242</v>
      </c>
      <c r="AV221" s="93" t="s">
        <v>3242</v>
      </c>
      <c r="AW221" s="83" t="s">
        <v>3247</v>
      </c>
      <c r="AX221" s="83">
        <v>1.0</v>
      </c>
      <c r="AY221" s="83" t="s">
        <v>174</v>
      </c>
      <c r="AZ221" s="83" t="s">
        <v>3248</v>
      </c>
      <c r="BA221" s="83" t="s">
        <v>3249</v>
      </c>
      <c r="BB221" s="83" t="s">
        <v>3250</v>
      </c>
      <c r="BC221" s="54" t="s">
        <v>40</v>
      </c>
      <c r="BD221" s="54" t="str">
        <f t="shared" si="1"/>
        <v>Chiclayo</v>
      </c>
      <c r="BE221" s="67" t="s">
        <v>140</v>
      </c>
      <c r="BF221" s="67" t="s">
        <v>141</v>
      </c>
      <c r="BG221" s="67" t="s">
        <v>142</v>
      </c>
      <c r="BH221" s="67"/>
      <c r="BI221" s="67"/>
      <c r="BJ221" s="67"/>
      <c r="BK221" s="67"/>
      <c r="BL221" s="67" t="s">
        <v>147</v>
      </c>
      <c r="BM221" s="67" t="s">
        <v>1172</v>
      </c>
      <c r="BN221" s="100">
        <v>69.0</v>
      </c>
      <c r="BO221" s="102" t="s">
        <v>615</v>
      </c>
      <c r="BP221" s="67" t="s">
        <v>141</v>
      </c>
      <c r="BQ221" s="79" t="s">
        <v>141</v>
      </c>
      <c r="BR221" s="67" t="s">
        <v>149</v>
      </c>
      <c r="BS221" s="102" t="s">
        <v>149</v>
      </c>
      <c r="BT221" s="106">
        <v>46234.0</v>
      </c>
      <c r="BU221" s="107">
        <v>5.0</v>
      </c>
      <c r="BV221" s="108">
        <f t="shared" si="2"/>
        <v>46233</v>
      </c>
      <c r="BW221" s="108">
        <f t="shared" si="14"/>
        <v>46234</v>
      </c>
      <c r="BX221" s="102" t="str">
        <f t="shared" si="15"/>
        <v>14</v>
      </c>
      <c r="BY221" s="107">
        <f t="shared" si="5"/>
        <v>5</v>
      </c>
      <c r="BZ221" s="107">
        <f t="array" ref="BZ221">IF($A221&lt;&gt;"",INDEX(LISTA!$M$2:$N$27,MATCH($BC221,LISTA!$N$2:$N$27,0),1),"")</f>
        <v>16</v>
      </c>
      <c r="CA221" s="67">
        <f t="shared" si="6"/>
        <v>7</v>
      </c>
      <c r="CB221" s="114">
        <f t="shared" si="7"/>
        <v>7</v>
      </c>
      <c r="CC221" s="67">
        <v>5.8211176E7</v>
      </c>
    </row>
    <row r="222" ht="15.0" hidden="1" customHeight="1" outlineLevel="1">
      <c r="A222" s="59">
        <v>46234.53038836806</v>
      </c>
      <c r="B222" s="115" t="s">
        <v>105</v>
      </c>
      <c r="C222" s="54" t="s">
        <v>100</v>
      </c>
      <c r="D222" s="56" t="s">
        <v>101</v>
      </c>
      <c r="E222" s="69">
        <v>46235.375</v>
      </c>
      <c r="F222" s="73"/>
      <c r="G222" s="60" t="s">
        <v>3251</v>
      </c>
      <c r="H222" s="60" t="s">
        <v>3252</v>
      </c>
      <c r="I222" s="67" t="s">
        <v>293</v>
      </c>
      <c r="J222" s="79" t="s">
        <v>3253</v>
      </c>
      <c r="K222" s="67" t="s">
        <v>109</v>
      </c>
      <c r="L222" s="79" t="s">
        <v>3254</v>
      </c>
      <c r="M222" s="83" t="s">
        <v>3255</v>
      </c>
      <c r="N222" s="78">
        <v>19402.0</v>
      </c>
      <c r="O222" s="80" t="s">
        <v>46</v>
      </c>
      <c r="P222" s="70">
        <v>200101.0</v>
      </c>
      <c r="Q222" s="54"/>
      <c r="R222" s="84"/>
      <c r="S222" s="84"/>
      <c r="T222" s="54" t="s">
        <v>122</v>
      </c>
      <c r="U222" s="86"/>
      <c r="V222" s="54"/>
      <c r="W222" s="86"/>
      <c r="X222" s="54"/>
      <c r="Y222" s="78"/>
      <c r="Z222" s="54"/>
      <c r="AA222" s="70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54" t="s">
        <v>3256</v>
      </c>
      <c r="AR222" s="83" t="s">
        <v>3257</v>
      </c>
      <c r="AS222" s="83" t="s">
        <v>3258</v>
      </c>
      <c r="AT222" s="93" t="s">
        <v>3253</v>
      </c>
      <c r="AU222" s="93" t="s">
        <v>3253</v>
      </c>
      <c r="AV222" s="93" t="s">
        <v>3253</v>
      </c>
      <c r="AW222" s="83" t="s">
        <v>3259</v>
      </c>
      <c r="AX222" s="83">
        <v>2.0</v>
      </c>
      <c r="AY222" s="83">
        <v>0.0</v>
      </c>
      <c r="AZ222" s="83" t="s">
        <v>3260</v>
      </c>
      <c r="BA222" s="83" t="s">
        <v>3261</v>
      </c>
      <c r="BB222" s="83" t="s">
        <v>3262</v>
      </c>
      <c r="BC222" s="54" t="s">
        <v>27</v>
      </c>
      <c r="BD222" s="54" t="str">
        <f t="shared" si="1"/>
        <v>Arequipa</v>
      </c>
      <c r="BE222" s="67" t="s">
        <v>140</v>
      </c>
      <c r="BF222" s="67" t="s">
        <v>144</v>
      </c>
      <c r="BG222" s="67" t="s">
        <v>142</v>
      </c>
      <c r="BH222" s="67"/>
      <c r="BI222" s="67"/>
      <c r="BJ222" s="67"/>
      <c r="BK222" s="67"/>
      <c r="BL222" s="67" t="s">
        <v>283</v>
      </c>
      <c r="BM222" s="67" t="s">
        <v>146</v>
      </c>
      <c r="BN222" s="100">
        <v>94.0</v>
      </c>
      <c r="BO222" s="102" t="s">
        <v>148</v>
      </c>
      <c r="BP222" s="67" t="s">
        <v>141</v>
      </c>
      <c r="BQ222" s="79" t="s">
        <v>144</v>
      </c>
      <c r="BR222" s="67" t="s">
        <v>149</v>
      </c>
      <c r="BS222" s="102">
        <v>1.0</v>
      </c>
      <c r="BT222" s="106">
        <v>46234.0</v>
      </c>
      <c r="BU222" s="107">
        <v>6.0</v>
      </c>
      <c r="BV222" s="108">
        <f t="shared" si="2"/>
        <v>46234</v>
      </c>
      <c r="BW222" s="108">
        <f t="shared" si="14"/>
        <v>46235</v>
      </c>
      <c r="BX222" s="102" t="str">
        <f t="shared" si="15"/>
        <v>09</v>
      </c>
      <c r="BY222" s="107">
        <f t="shared" si="5"/>
        <v>5</v>
      </c>
      <c r="BZ222" s="107">
        <f t="array" ref="BZ222">IF($A222&lt;&gt;"",INDEX(LISTA!$M$2:$N$27,MATCH($BC222,LISTA!$N$2:$N$27,0),1),"")</f>
        <v>7</v>
      </c>
      <c r="CA222" s="67">
        <f t="shared" si="6"/>
        <v>7</v>
      </c>
      <c r="CB222" s="114">
        <f t="shared" si="7"/>
        <v>7</v>
      </c>
      <c r="CC222" s="67">
        <v>5.8221548E7</v>
      </c>
    </row>
    <row r="223" ht="15.0" hidden="1" customHeight="1" outlineLevel="1">
      <c r="A223" s="59">
        <v>46233.403165185184</v>
      </c>
      <c r="B223" s="115" t="s">
        <v>105</v>
      </c>
      <c r="C223" s="54" t="s">
        <v>100</v>
      </c>
      <c r="D223" s="56" t="s">
        <v>319</v>
      </c>
      <c r="E223" s="69">
        <v>46234.583333333336</v>
      </c>
      <c r="F223" s="73"/>
      <c r="G223" s="60" t="s">
        <v>3263</v>
      </c>
      <c r="H223" s="60" t="s">
        <v>3264</v>
      </c>
      <c r="I223" s="67" t="s">
        <v>378</v>
      </c>
      <c r="J223" s="79" t="s">
        <v>3265</v>
      </c>
      <c r="K223" s="67" t="s">
        <v>109</v>
      </c>
      <c r="L223" s="79" t="s">
        <v>3266</v>
      </c>
      <c r="M223" s="83" t="s">
        <v>3267</v>
      </c>
      <c r="N223" s="78">
        <v>27322.0</v>
      </c>
      <c r="O223" s="80" t="s">
        <v>37</v>
      </c>
      <c r="P223" s="70">
        <v>140101.0</v>
      </c>
      <c r="Q223" s="54"/>
      <c r="R223" s="84"/>
      <c r="S223" s="84"/>
      <c r="T223" s="54"/>
      <c r="U223" s="86"/>
      <c r="V223" s="54"/>
      <c r="W223" s="86"/>
      <c r="X223" s="54"/>
      <c r="Y223" s="78"/>
      <c r="Z223" s="54"/>
      <c r="AA223" s="70"/>
      <c r="AB223" s="83"/>
      <c r="AC223" s="83"/>
      <c r="AD223" s="83"/>
      <c r="AE223" s="83"/>
      <c r="AF223" s="83" t="s">
        <v>792</v>
      </c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54" t="s">
        <v>3268</v>
      </c>
      <c r="AR223" s="83" t="s">
        <v>3269</v>
      </c>
      <c r="AS223" s="83" t="s">
        <v>3270</v>
      </c>
      <c r="AT223" s="93" t="s">
        <v>3271</v>
      </c>
      <c r="AU223" s="93" t="s">
        <v>3271</v>
      </c>
      <c r="AV223" s="93" t="s">
        <v>3271</v>
      </c>
      <c r="AW223" s="83" t="s">
        <v>3272</v>
      </c>
      <c r="AX223" s="83">
        <v>3.0</v>
      </c>
      <c r="AY223" s="83">
        <v>301.0</v>
      </c>
      <c r="AZ223" s="83" t="s">
        <v>3273</v>
      </c>
      <c r="BA223" s="83" t="s">
        <v>3274</v>
      </c>
      <c r="BB223" s="83" t="s">
        <v>3275</v>
      </c>
      <c r="BC223" s="54" t="s">
        <v>41</v>
      </c>
      <c r="BD223" s="54" t="str">
        <f t="shared" si="1"/>
        <v>Los Olivos</v>
      </c>
      <c r="BE223" s="67" t="s">
        <v>140</v>
      </c>
      <c r="BF223" s="67" t="s">
        <v>144</v>
      </c>
      <c r="BG223" s="67" t="s">
        <v>142</v>
      </c>
      <c r="BH223" s="67"/>
      <c r="BI223" s="67"/>
      <c r="BJ223" s="67"/>
      <c r="BK223" s="67"/>
      <c r="BL223" s="67" t="s">
        <v>145</v>
      </c>
      <c r="BM223" s="67" t="s">
        <v>146</v>
      </c>
      <c r="BN223" s="100">
        <v>150.0</v>
      </c>
      <c r="BO223" s="102" t="s">
        <v>615</v>
      </c>
      <c r="BP223" s="67" t="s">
        <v>141</v>
      </c>
      <c r="BQ223" s="79" t="s">
        <v>141</v>
      </c>
      <c r="BR223" s="67">
        <v>2.0</v>
      </c>
      <c r="BS223" s="102" t="s">
        <v>149</v>
      </c>
      <c r="BT223" s="106">
        <v>46234.0</v>
      </c>
      <c r="BU223" s="107">
        <v>7.0</v>
      </c>
      <c r="BV223" s="108">
        <f t="shared" si="2"/>
        <v>46233</v>
      </c>
      <c r="BW223" s="108">
        <f t="shared" si="14"/>
        <v>46234</v>
      </c>
      <c r="BX223" s="102" t="str">
        <f t="shared" si="15"/>
        <v>14</v>
      </c>
      <c r="BY223" s="107">
        <f t="shared" si="5"/>
        <v>5</v>
      </c>
      <c r="BZ223" s="107">
        <f t="array" ref="BZ223">IF($A223&lt;&gt;"",INDEX(LISTA!$M$2:$N$27,MATCH($BC223,LISTA!$N$2:$N$27,0),1),"")</f>
        <v>1</v>
      </c>
      <c r="CA223" s="67">
        <f t="shared" si="6"/>
        <v>7</v>
      </c>
      <c r="CB223" s="114">
        <f t="shared" si="7"/>
        <v>7</v>
      </c>
      <c r="CC223" s="67">
        <v>5.8211102E7</v>
      </c>
    </row>
    <row r="224" ht="15.0" hidden="1" customHeight="1" outlineLevel="1">
      <c r="A224" s="59">
        <v>46234.44950340278</v>
      </c>
      <c r="B224" s="115" t="s">
        <v>105</v>
      </c>
      <c r="C224" s="54" t="s">
        <v>100</v>
      </c>
      <c r="D224" s="56" t="s">
        <v>319</v>
      </c>
      <c r="E224" s="69">
        <v>46234.583333333336</v>
      </c>
      <c r="F224" s="73"/>
      <c r="G224" s="60" t="s">
        <v>3276</v>
      </c>
      <c r="H224" s="60" t="s">
        <v>3277</v>
      </c>
      <c r="I224" s="67" t="s">
        <v>382</v>
      </c>
      <c r="J224" s="79" t="s">
        <v>3278</v>
      </c>
      <c r="K224" s="67" t="s">
        <v>109</v>
      </c>
      <c r="L224" s="79" t="s">
        <v>3279</v>
      </c>
      <c r="M224" s="83" t="s">
        <v>3280</v>
      </c>
      <c r="N224" s="78">
        <v>30339.0</v>
      </c>
      <c r="O224" s="80" t="s">
        <v>48</v>
      </c>
      <c r="P224" s="70">
        <v>210101.0</v>
      </c>
      <c r="Q224" s="54"/>
      <c r="R224" s="84"/>
      <c r="S224" s="84"/>
      <c r="T224" s="54"/>
      <c r="U224" s="86"/>
      <c r="V224" s="54"/>
      <c r="W224" s="86"/>
      <c r="X224" s="54"/>
      <c r="Y224" s="78"/>
      <c r="Z224" s="54"/>
      <c r="AA224" s="70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 t="s">
        <v>2669</v>
      </c>
      <c r="AM224" s="83"/>
      <c r="AN224" s="83"/>
      <c r="AO224" s="83"/>
      <c r="AP224" s="83"/>
      <c r="AQ224" s="54" t="s">
        <v>3281</v>
      </c>
      <c r="AR224" s="83" t="s">
        <v>3282</v>
      </c>
      <c r="AS224" s="83" t="s">
        <v>3283</v>
      </c>
      <c r="AT224" s="93" t="s">
        <v>3278</v>
      </c>
      <c r="AU224" s="93" t="s">
        <v>3278</v>
      </c>
      <c r="AV224" s="93" t="s">
        <v>3278</v>
      </c>
      <c r="AW224" s="83" t="s">
        <v>3284</v>
      </c>
      <c r="AX224" s="83">
        <v>4.0</v>
      </c>
      <c r="AY224" s="83">
        <v>0.0</v>
      </c>
      <c r="AZ224" s="83" t="s">
        <v>3285</v>
      </c>
      <c r="BA224" s="83" t="s">
        <v>3286</v>
      </c>
      <c r="BB224" s="83" t="s">
        <v>3287</v>
      </c>
      <c r="BC224" s="54" t="s">
        <v>48</v>
      </c>
      <c r="BD224" s="54" t="str">
        <f t="shared" si="1"/>
        <v>Puno</v>
      </c>
      <c r="BE224" s="67" t="s">
        <v>140</v>
      </c>
      <c r="BF224" s="67" t="s">
        <v>144</v>
      </c>
      <c r="BG224" s="67" t="s">
        <v>142</v>
      </c>
      <c r="BH224" s="67"/>
      <c r="BI224" s="67"/>
      <c r="BJ224" s="67"/>
      <c r="BK224" s="67"/>
      <c r="BL224" s="67" t="s">
        <v>213</v>
      </c>
      <c r="BM224" s="67" t="s">
        <v>146</v>
      </c>
      <c r="BN224" s="100">
        <v>110.0</v>
      </c>
      <c r="BO224" s="102" t="s">
        <v>182</v>
      </c>
      <c r="BP224" s="67" t="s">
        <v>144</v>
      </c>
      <c r="BQ224" s="79" t="s">
        <v>141</v>
      </c>
      <c r="BR224" s="67" t="s">
        <v>149</v>
      </c>
      <c r="BS224" s="102">
        <v>1.0</v>
      </c>
      <c r="BT224" s="106">
        <v>46234.0</v>
      </c>
      <c r="BU224" s="107">
        <v>9.0</v>
      </c>
      <c r="BV224" s="108">
        <f t="shared" si="2"/>
        <v>46234</v>
      </c>
      <c r="BW224" s="108">
        <f t="shared" si="14"/>
        <v>46234</v>
      </c>
      <c r="BX224" s="102" t="str">
        <f t="shared" si="15"/>
        <v>14</v>
      </c>
      <c r="BY224" s="107">
        <f t="shared" si="5"/>
        <v>5</v>
      </c>
      <c r="BZ224" s="107">
        <f t="array" ref="BZ224">IF($A224&lt;&gt;"",INDEX(LISTA!$M$2:$N$27,MATCH($BC224,LISTA!$N$2:$N$27,0),1),"")</f>
        <v>22</v>
      </c>
      <c r="CA224" s="67">
        <f t="shared" si="6"/>
        <v>7</v>
      </c>
      <c r="CB224" s="114">
        <f t="shared" si="7"/>
        <v>7</v>
      </c>
      <c r="CC224" s="67">
        <v>5.8220089E7</v>
      </c>
    </row>
    <row r="225" ht="15.0" hidden="1" customHeight="1" outlineLevel="1">
      <c r="A225" s="59">
        <v>46234.61042025463</v>
      </c>
      <c r="B225" s="115" t="s">
        <v>105</v>
      </c>
      <c r="C225" s="54" t="s">
        <v>100</v>
      </c>
      <c r="D225" s="56" t="s">
        <v>101</v>
      </c>
      <c r="E225" s="69">
        <v>46234.666666666664</v>
      </c>
      <c r="F225" s="73" t="s">
        <v>3288</v>
      </c>
      <c r="G225" s="60" t="s">
        <v>3289</v>
      </c>
      <c r="H225" s="60" t="s">
        <v>3290</v>
      </c>
      <c r="I225" s="67" t="s">
        <v>369</v>
      </c>
      <c r="J225" s="79" t="s">
        <v>3291</v>
      </c>
      <c r="K225" s="67" t="s">
        <v>109</v>
      </c>
      <c r="L225" s="79" t="s">
        <v>3292</v>
      </c>
      <c r="M225" s="83" t="s">
        <v>3293</v>
      </c>
      <c r="N225" s="78">
        <v>23750.0</v>
      </c>
      <c r="O225" s="80" t="s">
        <v>41</v>
      </c>
      <c r="P225" s="70">
        <v>140101.0</v>
      </c>
      <c r="Q225" s="54"/>
      <c r="R225" s="84"/>
      <c r="S225" s="84"/>
      <c r="T225" s="54"/>
      <c r="U225" s="86"/>
      <c r="V225" s="54"/>
      <c r="W225" s="86"/>
      <c r="X225" s="54"/>
      <c r="Y225" s="78"/>
      <c r="Z225" s="54"/>
      <c r="AA225" s="70"/>
      <c r="AB225" s="83"/>
      <c r="AC225" s="83"/>
      <c r="AD225" s="83"/>
      <c r="AE225" s="83"/>
      <c r="AF225" s="83" t="s">
        <v>792</v>
      </c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54" t="s">
        <v>3294</v>
      </c>
      <c r="AR225" s="83" t="s">
        <v>1551</v>
      </c>
      <c r="AS225" s="83" t="s">
        <v>3295</v>
      </c>
      <c r="AT225" s="93" t="s">
        <v>3291</v>
      </c>
      <c r="AU225" s="93" t="s">
        <v>3291</v>
      </c>
      <c r="AV225" s="93" t="s">
        <v>3291</v>
      </c>
      <c r="AW225" s="83" t="s">
        <v>3296</v>
      </c>
      <c r="AX225" s="83">
        <v>1.0</v>
      </c>
      <c r="AY225" s="83">
        <v>1.0</v>
      </c>
      <c r="AZ225" s="83" t="s">
        <v>3297</v>
      </c>
      <c r="BA225" s="83" t="s">
        <v>3298</v>
      </c>
      <c r="BB225" s="83" t="s">
        <v>3299</v>
      </c>
      <c r="BC225" s="54" t="s">
        <v>41</v>
      </c>
      <c r="BD225" s="54" t="str">
        <f t="shared" si="1"/>
        <v>Los Olivos</v>
      </c>
      <c r="BE225" s="67" t="s">
        <v>140</v>
      </c>
      <c r="BF225" s="67" t="s">
        <v>141</v>
      </c>
      <c r="BG225" s="67" t="s">
        <v>142</v>
      </c>
      <c r="BH225" s="67"/>
      <c r="BI225" s="67"/>
      <c r="BJ225" s="67"/>
      <c r="BK225" s="67"/>
      <c r="BL225" s="67" t="s">
        <v>147</v>
      </c>
      <c r="BM225" s="67" t="s">
        <v>146</v>
      </c>
      <c r="BN225" s="100">
        <v>89.0</v>
      </c>
      <c r="BO225" s="102" t="s">
        <v>148</v>
      </c>
      <c r="BP225" s="67" t="s">
        <v>141</v>
      </c>
      <c r="BQ225" s="79" t="s">
        <v>141</v>
      </c>
      <c r="BR225" s="67" t="s">
        <v>149</v>
      </c>
      <c r="BS225" s="102">
        <v>1.0</v>
      </c>
      <c r="BT225" s="106">
        <v>46234.0</v>
      </c>
      <c r="BU225" s="107">
        <v>10.0</v>
      </c>
      <c r="BV225" s="108">
        <f t="shared" si="2"/>
        <v>46234</v>
      </c>
      <c r="BW225" s="108">
        <f t="shared" si="14"/>
        <v>46234</v>
      </c>
      <c r="BX225" s="102" t="str">
        <f t="shared" si="15"/>
        <v>16</v>
      </c>
      <c r="BY225" s="107">
        <f t="shared" si="5"/>
        <v>5</v>
      </c>
      <c r="BZ225" s="107">
        <f t="array" ref="BZ225">IF($A225&lt;&gt;"",INDEX(LISTA!$M$2:$N$27,MATCH($BC225,LISTA!$N$2:$N$27,0),1),"")</f>
        <v>1</v>
      </c>
      <c r="CA225" s="67">
        <f t="shared" si="6"/>
        <v>7</v>
      </c>
      <c r="CB225" s="114">
        <f t="shared" si="7"/>
        <v>7</v>
      </c>
      <c r="CC225" s="67">
        <v>5.8222536E7</v>
      </c>
    </row>
    <row r="226" ht="15.0" hidden="1" customHeight="1" outlineLevel="1">
      <c r="A226" s="59">
        <v>46234.41350553241</v>
      </c>
      <c r="B226" s="115" t="s">
        <v>105</v>
      </c>
      <c r="C226" s="54" t="s">
        <v>100</v>
      </c>
      <c r="D226" s="56" t="s">
        <v>319</v>
      </c>
      <c r="E226" s="69">
        <v>46234.666666666664</v>
      </c>
      <c r="F226" s="73"/>
      <c r="G226" s="60" t="s">
        <v>3300</v>
      </c>
      <c r="H226" s="60" t="s">
        <v>3301</v>
      </c>
      <c r="I226" s="67" t="s">
        <v>293</v>
      </c>
      <c r="J226" s="79" t="s">
        <v>3302</v>
      </c>
      <c r="K226" s="67" t="s">
        <v>109</v>
      </c>
      <c r="L226" s="79" t="s">
        <v>3303</v>
      </c>
      <c r="M226" s="83" t="s">
        <v>3304</v>
      </c>
      <c r="N226" s="78">
        <v>35448.0</v>
      </c>
      <c r="O226" s="80" t="s">
        <v>24</v>
      </c>
      <c r="P226" s="156" t="s">
        <v>3305</v>
      </c>
      <c r="Q226" s="54"/>
      <c r="R226" s="84" t="s">
        <v>450</v>
      </c>
      <c r="S226" s="84"/>
      <c r="T226" s="54"/>
      <c r="U226" s="86"/>
      <c r="V226" s="54"/>
      <c r="W226" s="86"/>
      <c r="X226" s="54"/>
      <c r="Y226" s="78"/>
      <c r="Z226" s="54"/>
      <c r="AA226" s="70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54" t="s">
        <v>1072</v>
      </c>
      <c r="AR226" s="83" t="s">
        <v>3306</v>
      </c>
      <c r="AS226" s="83" t="s">
        <v>3307</v>
      </c>
      <c r="AT226" s="93" t="s">
        <v>3302</v>
      </c>
      <c r="AU226" s="93" t="s">
        <v>3302</v>
      </c>
      <c r="AV226" s="93" t="s">
        <v>3302</v>
      </c>
      <c r="AW226" s="83" t="s">
        <v>3308</v>
      </c>
      <c r="AX226" s="83">
        <v>4.0</v>
      </c>
      <c r="AY226" s="83" t="s">
        <v>2519</v>
      </c>
      <c r="AZ226" s="83" t="s">
        <v>3309</v>
      </c>
      <c r="BA226" s="83" t="s">
        <v>3310</v>
      </c>
      <c r="BB226" s="83" t="s">
        <v>3311</v>
      </c>
      <c r="BC226" s="54" t="s">
        <v>24</v>
      </c>
      <c r="BD226" s="54" t="str">
        <f t="shared" si="1"/>
        <v>Huaraz</v>
      </c>
      <c r="BE226" s="67" t="s">
        <v>140</v>
      </c>
      <c r="BF226" s="67" t="s">
        <v>141</v>
      </c>
      <c r="BG226" s="67" t="s">
        <v>142</v>
      </c>
      <c r="BH226" s="67"/>
      <c r="BI226" s="67"/>
      <c r="BJ226" s="67"/>
      <c r="BK226" s="67"/>
      <c r="BL226" s="67" t="s">
        <v>147</v>
      </c>
      <c r="BM226" s="67" t="s">
        <v>146</v>
      </c>
      <c r="BN226" s="100">
        <v>89.0</v>
      </c>
      <c r="BO226" s="102" t="s">
        <v>148</v>
      </c>
      <c r="BP226" s="67" t="s">
        <v>141</v>
      </c>
      <c r="BQ226" s="79" t="s">
        <v>141</v>
      </c>
      <c r="BR226" s="67" t="s">
        <v>149</v>
      </c>
      <c r="BS226" s="102">
        <v>1.0</v>
      </c>
      <c r="BT226" s="106">
        <v>46234.0</v>
      </c>
      <c r="BU226" s="107">
        <v>11.0</v>
      </c>
      <c r="BV226" s="108">
        <f t="shared" si="2"/>
        <v>46234</v>
      </c>
      <c r="BW226" s="108">
        <f t="shared" si="14"/>
        <v>46234</v>
      </c>
      <c r="BX226" s="102" t="str">
        <f t="shared" si="15"/>
        <v>16</v>
      </c>
      <c r="BY226" s="107">
        <f t="shared" si="5"/>
        <v>5</v>
      </c>
      <c r="BZ226" s="107">
        <f t="array" ref="BZ226">IF($A226&lt;&gt;"",INDEX(LISTA!$M$2:$N$27,MATCH($BC226,LISTA!$N$2:$N$27,0),1),"")</f>
        <v>5</v>
      </c>
      <c r="CA226" s="67">
        <f t="shared" si="6"/>
        <v>7</v>
      </c>
      <c r="CB226" s="114">
        <f t="shared" si="7"/>
        <v>7</v>
      </c>
      <c r="CC226" s="67">
        <v>5.8219087E7</v>
      </c>
    </row>
    <row r="227" ht="15.0" hidden="1" customHeight="1" outlineLevel="1">
      <c r="A227" s="59">
        <v>46230.39751353009</v>
      </c>
      <c r="B227" s="115" t="s">
        <v>105</v>
      </c>
      <c r="C227" s="54" t="s">
        <v>100</v>
      </c>
      <c r="D227" s="56" t="s">
        <v>319</v>
      </c>
      <c r="E227" s="69">
        <v>46235.375</v>
      </c>
      <c r="F227" s="73"/>
      <c r="G227" s="60" t="s">
        <v>3312</v>
      </c>
      <c r="H227" s="60" t="s">
        <v>3313</v>
      </c>
      <c r="I227" s="67" t="s">
        <v>363</v>
      </c>
      <c r="J227" s="79" t="s">
        <v>3314</v>
      </c>
      <c r="K227" s="67" t="s">
        <v>109</v>
      </c>
      <c r="L227" s="79" t="s">
        <v>3315</v>
      </c>
      <c r="M227" s="83" t="s">
        <v>3316</v>
      </c>
      <c r="N227" s="78">
        <v>32433.0</v>
      </c>
      <c r="O227" s="80" t="s">
        <v>28</v>
      </c>
      <c r="P227" s="156" t="s">
        <v>3317</v>
      </c>
      <c r="Q227" s="54"/>
      <c r="R227" s="84"/>
      <c r="S227" s="84"/>
      <c r="T227" s="54"/>
      <c r="U227" s="86" t="s">
        <v>1088</v>
      </c>
      <c r="V227" s="54"/>
      <c r="W227" s="86"/>
      <c r="X227" s="54"/>
      <c r="Y227" s="78"/>
      <c r="Z227" s="54"/>
      <c r="AA227" s="70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54" t="s">
        <v>3318</v>
      </c>
      <c r="AR227" s="83" t="s">
        <v>3319</v>
      </c>
      <c r="AS227" s="83" t="s">
        <v>3320</v>
      </c>
      <c r="AT227" s="93" t="s">
        <v>3314</v>
      </c>
      <c r="AU227" s="93" t="s">
        <v>3314</v>
      </c>
      <c r="AV227" s="93" t="s">
        <v>3314</v>
      </c>
      <c r="AW227" s="83" t="s">
        <v>3321</v>
      </c>
      <c r="AX227" s="83">
        <v>3.0</v>
      </c>
      <c r="AY227" s="83">
        <v>0.0</v>
      </c>
      <c r="AZ227" s="83" t="s">
        <v>3322</v>
      </c>
      <c r="BA227" s="83" t="s">
        <v>3323</v>
      </c>
      <c r="BB227" s="83" t="s">
        <v>3324</v>
      </c>
      <c r="BC227" s="54" t="s">
        <v>28</v>
      </c>
      <c r="BD227" s="54" t="str">
        <f t="shared" si="1"/>
        <v>Huamanga</v>
      </c>
      <c r="BE227" s="67" t="s">
        <v>140</v>
      </c>
      <c r="BF227" s="67" t="s">
        <v>141</v>
      </c>
      <c r="BG227" s="67" t="s">
        <v>142</v>
      </c>
      <c r="BH227" s="67"/>
      <c r="BI227" s="67"/>
      <c r="BJ227" s="67"/>
      <c r="BK227" s="67"/>
      <c r="BL227" s="67" t="s">
        <v>147</v>
      </c>
      <c r="BM227" s="67" t="s">
        <v>146</v>
      </c>
      <c r="BN227" s="100">
        <v>89.0</v>
      </c>
      <c r="BO227" s="102" t="s">
        <v>148</v>
      </c>
      <c r="BP227" s="67" t="s">
        <v>141</v>
      </c>
      <c r="BQ227" s="79" t="s">
        <v>141</v>
      </c>
      <c r="BR227" s="67" t="s">
        <v>149</v>
      </c>
      <c r="BS227" s="102">
        <v>1.0</v>
      </c>
      <c r="BT227" s="106">
        <v>46235.0</v>
      </c>
      <c r="BU227" s="107">
        <v>1.0</v>
      </c>
      <c r="BV227" s="108">
        <f t="shared" si="2"/>
        <v>46230</v>
      </c>
      <c r="BW227" s="108">
        <f t="shared" si="14"/>
        <v>46235</v>
      </c>
      <c r="BX227" s="102" t="str">
        <f t="shared" si="15"/>
        <v>09</v>
      </c>
      <c r="BY227" s="107">
        <f t="shared" si="5"/>
        <v>5</v>
      </c>
      <c r="BZ227" s="107">
        <f t="array" ref="BZ227">IF($A227&lt;&gt;"",INDEX(LISTA!$M$2:$N$27,MATCH($BC227,LISTA!$N$2:$N$27,0),1),"")</f>
        <v>8</v>
      </c>
      <c r="CA227" s="67">
        <f t="shared" si="6"/>
        <v>7</v>
      </c>
      <c r="CB227" s="114">
        <f t="shared" si="7"/>
        <v>8</v>
      </c>
      <c r="CC227" s="67">
        <v>5.8195905E7</v>
      </c>
    </row>
    <row r="228" ht="15.0" hidden="1" customHeight="1" outlineLevel="1">
      <c r="A228" s="59">
        <v>46234.755697754634</v>
      </c>
      <c r="B228" s="115" t="s">
        <v>105</v>
      </c>
      <c r="C228" s="54" t="s">
        <v>100</v>
      </c>
      <c r="D228" s="56" t="s">
        <v>319</v>
      </c>
      <c r="E228" s="69">
        <v>46235.375</v>
      </c>
      <c r="F228" s="73"/>
      <c r="G228" s="60" t="s">
        <v>3325</v>
      </c>
      <c r="H228" s="60" t="s">
        <v>3326</v>
      </c>
      <c r="I228" s="67" t="s">
        <v>107</v>
      </c>
      <c r="J228" s="79" t="s">
        <v>3327</v>
      </c>
      <c r="K228" s="67" t="s">
        <v>109</v>
      </c>
      <c r="L228" s="79" t="s">
        <v>3328</v>
      </c>
      <c r="M228" s="83" t="s">
        <v>3329</v>
      </c>
      <c r="N228" s="78">
        <v>38637.0</v>
      </c>
      <c r="O228" s="80" t="s">
        <v>32</v>
      </c>
      <c r="P228" s="156" t="s">
        <v>3330</v>
      </c>
      <c r="Q228" s="54"/>
      <c r="R228" s="84"/>
      <c r="S228" s="84"/>
      <c r="T228" s="54"/>
      <c r="U228" s="86"/>
      <c r="V228" s="54"/>
      <c r="W228" s="86"/>
      <c r="X228" s="54"/>
      <c r="Y228" s="78"/>
      <c r="Z228" s="54"/>
      <c r="AA228" s="70"/>
      <c r="AB228" s="83" t="s">
        <v>766</v>
      </c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54" t="s">
        <v>3331</v>
      </c>
      <c r="AR228" s="83" t="s">
        <v>3332</v>
      </c>
      <c r="AS228" s="83" t="s">
        <v>3333</v>
      </c>
      <c r="AT228" s="93" t="s">
        <v>3327</v>
      </c>
      <c r="AU228" s="93" t="s">
        <v>3327</v>
      </c>
      <c r="AV228" s="93" t="s">
        <v>3327</v>
      </c>
      <c r="AW228" s="83" t="s">
        <v>3334</v>
      </c>
      <c r="AX228" s="83">
        <v>1.0</v>
      </c>
      <c r="AY228" s="83">
        <v>1.0</v>
      </c>
      <c r="AZ228" s="83" t="s">
        <v>3335</v>
      </c>
      <c r="BA228" s="83" t="s">
        <v>3336</v>
      </c>
      <c r="BB228" s="83" t="s">
        <v>3337</v>
      </c>
      <c r="BC228" s="54" t="s">
        <v>36</v>
      </c>
      <c r="BD228" s="54" t="str">
        <f t="shared" si="1"/>
        <v>Huancayo</v>
      </c>
      <c r="BE228" s="67" t="s">
        <v>140</v>
      </c>
      <c r="BF228" s="67" t="s">
        <v>141</v>
      </c>
      <c r="BG228" s="67" t="s">
        <v>142</v>
      </c>
      <c r="BH228" s="67"/>
      <c r="BI228" s="67"/>
      <c r="BJ228" s="67"/>
      <c r="BK228" s="67"/>
      <c r="BL228" s="67" t="s">
        <v>147</v>
      </c>
      <c r="BM228" s="67" t="s">
        <v>146</v>
      </c>
      <c r="BN228" s="100">
        <v>69.0</v>
      </c>
      <c r="BO228" s="102" t="s">
        <v>615</v>
      </c>
      <c r="BP228" s="67" t="s">
        <v>141</v>
      </c>
      <c r="BQ228" s="79" t="s">
        <v>141</v>
      </c>
      <c r="BR228" s="67" t="s">
        <v>149</v>
      </c>
      <c r="BS228" s="102" t="s">
        <v>149</v>
      </c>
      <c r="BT228" s="106">
        <v>46235.0</v>
      </c>
      <c r="BU228" s="107">
        <v>2.0</v>
      </c>
      <c r="BV228" s="108">
        <f t="shared" si="2"/>
        <v>46234</v>
      </c>
      <c r="BW228" s="108">
        <f t="shared" si="14"/>
        <v>46235</v>
      </c>
      <c r="BX228" s="102" t="str">
        <f t="shared" si="15"/>
        <v>09</v>
      </c>
      <c r="BY228" s="107">
        <f t="shared" si="5"/>
        <v>5</v>
      </c>
      <c r="BZ228" s="107">
        <f t="array" ref="BZ228">IF($A228&lt;&gt;"",INDEX(LISTA!$M$2:$N$27,MATCH($BC228,LISTA!$N$2:$N$27,0),1),"")</f>
        <v>14</v>
      </c>
      <c r="CA228" s="67">
        <f t="shared" si="6"/>
        <v>7</v>
      </c>
      <c r="CB228" s="114">
        <f t="shared" si="7"/>
        <v>8</v>
      </c>
      <c r="CC228" s="67">
        <v>5.8225484E7</v>
      </c>
    </row>
    <row r="229" ht="15.0" hidden="1" customHeight="1" outlineLevel="1">
      <c r="A229" s="59">
        <v>46234.46753016204</v>
      </c>
      <c r="B229" s="115" t="s">
        <v>105</v>
      </c>
      <c r="C229" s="54" t="s">
        <v>100</v>
      </c>
      <c r="D229" s="56" t="s">
        <v>346</v>
      </c>
      <c r="E229" s="69">
        <v>46235.375</v>
      </c>
      <c r="F229" s="73"/>
      <c r="G229" s="60" t="s">
        <v>3338</v>
      </c>
      <c r="H229" s="60" t="s">
        <v>3339</v>
      </c>
      <c r="I229" s="67" t="s">
        <v>363</v>
      </c>
      <c r="J229" s="79" t="s">
        <v>3340</v>
      </c>
      <c r="K229" s="67" t="s">
        <v>109</v>
      </c>
      <c r="L229" s="79" t="s">
        <v>3341</v>
      </c>
      <c r="M229" s="83" t="s">
        <v>3342</v>
      </c>
      <c r="N229" s="78">
        <v>29934.0</v>
      </c>
      <c r="O229" s="80" t="s">
        <v>49</v>
      </c>
      <c r="P229" s="70">
        <v>210101.0</v>
      </c>
      <c r="Q229" s="54"/>
      <c r="R229" s="84"/>
      <c r="S229" s="84"/>
      <c r="T229" s="54"/>
      <c r="U229" s="86"/>
      <c r="V229" s="54"/>
      <c r="W229" s="86"/>
      <c r="X229" s="54"/>
      <c r="Y229" s="78"/>
      <c r="Z229" s="54"/>
      <c r="AA229" s="70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 t="s">
        <v>3343</v>
      </c>
      <c r="AN229" s="83"/>
      <c r="AO229" s="83"/>
      <c r="AP229" s="83"/>
      <c r="AQ229" s="54" t="s">
        <v>3344</v>
      </c>
      <c r="AR229" s="83" t="s">
        <v>3345</v>
      </c>
      <c r="AS229" s="83" t="s">
        <v>3346</v>
      </c>
      <c r="AT229" s="93" t="s">
        <v>3347</v>
      </c>
      <c r="AU229" s="93" t="s">
        <v>3347</v>
      </c>
      <c r="AV229" s="93" t="s">
        <v>3340</v>
      </c>
      <c r="AW229" s="83" t="s">
        <v>3348</v>
      </c>
      <c r="AX229" s="83">
        <v>1.0</v>
      </c>
      <c r="AY229" s="83">
        <v>0.0</v>
      </c>
      <c r="AZ229" s="83" t="s">
        <v>3349</v>
      </c>
      <c r="BA229" s="83" t="s">
        <v>3350</v>
      </c>
      <c r="BB229" s="83" t="s">
        <v>3351</v>
      </c>
      <c r="BC229" s="54" t="s">
        <v>49</v>
      </c>
      <c r="BD229" s="54" t="str">
        <f t="shared" si="1"/>
        <v>Moyobamba</v>
      </c>
      <c r="BE229" s="67" t="s">
        <v>140</v>
      </c>
      <c r="BF229" s="67" t="s">
        <v>141</v>
      </c>
      <c r="BG229" s="67" t="s">
        <v>142</v>
      </c>
      <c r="BH229" s="67"/>
      <c r="BI229" s="67"/>
      <c r="BJ229" s="67"/>
      <c r="BK229" s="67"/>
      <c r="BL229" s="67" t="s">
        <v>147</v>
      </c>
      <c r="BM229" s="67" t="s">
        <v>146</v>
      </c>
      <c r="BN229" s="100">
        <v>89.0</v>
      </c>
      <c r="BO229" s="102" t="s">
        <v>148</v>
      </c>
      <c r="BP229" s="67" t="s">
        <v>141</v>
      </c>
      <c r="BQ229" s="79" t="s">
        <v>141</v>
      </c>
      <c r="BR229" s="67" t="s">
        <v>149</v>
      </c>
      <c r="BS229" s="102">
        <v>1.0</v>
      </c>
      <c r="BT229" s="106">
        <v>46235.0</v>
      </c>
      <c r="BU229" s="107">
        <v>3.0</v>
      </c>
      <c r="BV229" s="108">
        <f t="shared" si="2"/>
        <v>46234</v>
      </c>
      <c r="BW229" s="108">
        <f t="shared" si="14"/>
        <v>46235</v>
      </c>
      <c r="BX229" s="102" t="str">
        <f t="shared" si="15"/>
        <v>09</v>
      </c>
      <c r="BY229" s="107">
        <f t="shared" si="5"/>
        <v>5</v>
      </c>
      <c r="BZ229" s="107">
        <f t="array" ref="BZ229">IF($A229&lt;&gt;"",INDEX(LISTA!$M$2:$N$27,MATCH($BC229,LISTA!$N$2:$N$27,0),1),"")</f>
        <v>23</v>
      </c>
      <c r="CA229" s="67">
        <f t="shared" si="6"/>
        <v>7</v>
      </c>
      <c r="CB229" s="114">
        <f t="shared" si="7"/>
        <v>8</v>
      </c>
      <c r="CC229" s="67">
        <v>5.8221166E7</v>
      </c>
    </row>
    <row r="230" ht="15.0" hidden="1" customHeight="1" outlineLevel="1">
      <c r="A230" s="59">
        <v>46234.78538527778</v>
      </c>
      <c r="B230" s="115" t="s">
        <v>105</v>
      </c>
      <c r="C230" s="54" t="s">
        <v>100</v>
      </c>
      <c r="D230" s="56" t="s">
        <v>319</v>
      </c>
      <c r="E230" s="69">
        <v>46235.375</v>
      </c>
      <c r="F230" s="73"/>
      <c r="G230" s="60" t="s">
        <v>3352</v>
      </c>
      <c r="H230" s="60" t="s">
        <v>3353</v>
      </c>
      <c r="I230" s="67" t="s">
        <v>374</v>
      </c>
      <c r="J230" s="79" t="s">
        <v>3354</v>
      </c>
      <c r="K230" s="67" t="s">
        <v>109</v>
      </c>
      <c r="L230" s="79" t="s">
        <v>3355</v>
      </c>
      <c r="M230" s="83" t="s">
        <v>3356</v>
      </c>
      <c r="N230" s="78">
        <v>21382.0</v>
      </c>
      <c r="O230" s="80" t="s">
        <v>39</v>
      </c>
      <c r="P230" s="70">
        <v>180101.0</v>
      </c>
      <c r="Q230" s="54"/>
      <c r="R230" s="84"/>
      <c r="S230" s="84"/>
      <c r="T230" s="54"/>
      <c r="U230" s="86"/>
      <c r="V230" s="54"/>
      <c r="W230" s="86"/>
      <c r="X230" s="54"/>
      <c r="Y230" s="78"/>
      <c r="Z230" s="54"/>
      <c r="AA230" s="70"/>
      <c r="AB230" s="83"/>
      <c r="AC230" s="83" t="s">
        <v>1690</v>
      </c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54" t="s">
        <v>1880</v>
      </c>
      <c r="AR230" s="83" t="s">
        <v>2736</v>
      </c>
      <c r="AS230" s="83" t="s">
        <v>3357</v>
      </c>
      <c r="AT230" s="93" t="s">
        <v>3354</v>
      </c>
      <c r="AU230" s="93" t="s">
        <v>3358</v>
      </c>
      <c r="AV230" s="93" t="s">
        <v>3358</v>
      </c>
      <c r="AW230" s="83" t="s">
        <v>3359</v>
      </c>
      <c r="AX230" s="83">
        <v>1.0</v>
      </c>
      <c r="AY230" s="83">
        <v>1.0</v>
      </c>
      <c r="AZ230" s="83" t="s">
        <v>3360</v>
      </c>
      <c r="BA230" s="83" t="s">
        <v>1767</v>
      </c>
      <c r="BB230" s="83" t="s">
        <v>3361</v>
      </c>
      <c r="BC230" s="54" t="s">
        <v>39</v>
      </c>
      <c r="BD230" s="54" t="str">
        <f t="shared" si="1"/>
        <v>Trujillo</v>
      </c>
      <c r="BE230" s="67" t="s">
        <v>140</v>
      </c>
      <c r="BF230" s="67" t="s">
        <v>144</v>
      </c>
      <c r="BG230" s="67" t="s">
        <v>142</v>
      </c>
      <c r="BH230" s="67"/>
      <c r="BI230" s="67"/>
      <c r="BJ230" s="67"/>
      <c r="BK230" s="67"/>
      <c r="BL230" s="67" t="s">
        <v>147</v>
      </c>
      <c r="BM230" s="67" t="s">
        <v>146</v>
      </c>
      <c r="BN230" s="100">
        <v>89.0</v>
      </c>
      <c r="BO230" s="102" t="s">
        <v>148</v>
      </c>
      <c r="BP230" s="67" t="s">
        <v>141</v>
      </c>
      <c r="BQ230" s="79" t="s">
        <v>141</v>
      </c>
      <c r="BR230" s="67" t="s">
        <v>149</v>
      </c>
      <c r="BS230" s="102">
        <v>1.0</v>
      </c>
      <c r="BT230" s="106">
        <v>46235.0</v>
      </c>
      <c r="BU230" s="107">
        <v>4.0</v>
      </c>
      <c r="BV230" s="108">
        <f t="shared" si="2"/>
        <v>46234</v>
      </c>
      <c r="BW230" s="108">
        <f t="shared" si="14"/>
        <v>46235</v>
      </c>
      <c r="BX230" s="102" t="str">
        <f t="shared" si="15"/>
        <v>09</v>
      </c>
      <c r="BY230" s="107">
        <f t="shared" si="5"/>
        <v>5</v>
      </c>
      <c r="BZ230" s="107">
        <f t="array" ref="BZ230">IF($A230&lt;&gt;"",INDEX(LISTA!$M$2:$N$27,MATCH($BC230,LISTA!$N$2:$N$27,0),1),"")</f>
        <v>15</v>
      </c>
      <c r="CA230" s="67">
        <f t="shared" si="6"/>
        <v>7</v>
      </c>
      <c r="CB230" s="114">
        <f t="shared" si="7"/>
        <v>8</v>
      </c>
      <c r="CC230" s="67">
        <v>5.822555E7</v>
      </c>
    </row>
    <row r="231" ht="15.0" hidden="1" customHeight="1" outlineLevel="1">
      <c r="A231" s="59">
        <v>46234.641098692126</v>
      </c>
      <c r="B231" s="115" t="s">
        <v>105</v>
      </c>
      <c r="C231" s="54" t="s">
        <v>100</v>
      </c>
      <c r="D231" s="56" t="s">
        <v>319</v>
      </c>
      <c r="E231" s="69">
        <v>46235.375</v>
      </c>
      <c r="F231" s="73"/>
      <c r="G231" s="60" t="s">
        <v>3362</v>
      </c>
      <c r="H231" s="60" t="s">
        <v>3363</v>
      </c>
      <c r="I231" s="67" t="s">
        <v>388</v>
      </c>
      <c r="J231" s="79" t="s">
        <v>3364</v>
      </c>
      <c r="K231" s="67" t="s">
        <v>109</v>
      </c>
      <c r="L231" s="79" t="s">
        <v>3365</v>
      </c>
      <c r="M231" s="83" t="s">
        <v>3366</v>
      </c>
      <c r="N231" s="78">
        <v>33930.0</v>
      </c>
      <c r="O231" s="80" t="s">
        <v>27</v>
      </c>
      <c r="P231" s="156" t="s">
        <v>3367</v>
      </c>
      <c r="Q231" s="54"/>
      <c r="R231" s="84"/>
      <c r="S231" s="84"/>
      <c r="T231" s="54" t="s">
        <v>122</v>
      </c>
      <c r="U231" s="86"/>
      <c r="V231" s="54"/>
      <c r="W231" s="86"/>
      <c r="X231" s="54"/>
      <c r="Y231" s="78"/>
      <c r="Z231" s="54"/>
      <c r="AA231" s="70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54" t="s">
        <v>3368</v>
      </c>
      <c r="AR231" s="83" t="s">
        <v>3147</v>
      </c>
      <c r="AS231" s="83" t="s">
        <v>3369</v>
      </c>
      <c r="AT231" s="93" t="s">
        <v>3364</v>
      </c>
      <c r="AU231" s="93" t="s">
        <v>3364</v>
      </c>
      <c r="AV231" s="93" t="s">
        <v>3364</v>
      </c>
      <c r="AW231" s="83" t="s">
        <v>3370</v>
      </c>
      <c r="AX231" s="83">
        <v>2.0</v>
      </c>
      <c r="AY231" s="83" t="s">
        <v>174</v>
      </c>
      <c r="AZ231" s="83" t="s">
        <v>3371</v>
      </c>
      <c r="BA231" s="83" t="s">
        <v>3372</v>
      </c>
      <c r="BB231" s="83" t="s">
        <v>3373</v>
      </c>
      <c r="BC231" s="54" t="s">
        <v>27</v>
      </c>
      <c r="BD231" s="54" t="str">
        <f t="shared" si="1"/>
        <v>Arequipa</v>
      </c>
      <c r="BE231" s="67" t="s">
        <v>140</v>
      </c>
      <c r="BF231" s="67" t="s">
        <v>144</v>
      </c>
      <c r="BG231" s="67" t="s">
        <v>142</v>
      </c>
      <c r="BH231" s="67"/>
      <c r="BI231" s="67"/>
      <c r="BJ231" s="67"/>
      <c r="BK231" s="67"/>
      <c r="BL231" s="67" t="s">
        <v>283</v>
      </c>
      <c r="BM231" s="67" t="s">
        <v>146</v>
      </c>
      <c r="BN231" s="100">
        <v>84.0</v>
      </c>
      <c r="BO231" s="102" t="s">
        <v>2305</v>
      </c>
      <c r="BP231" s="67" t="s">
        <v>141</v>
      </c>
      <c r="BQ231" s="79" t="s">
        <v>144</v>
      </c>
      <c r="BR231" s="67" t="s">
        <v>149</v>
      </c>
      <c r="BS231" s="102" t="s">
        <v>149</v>
      </c>
      <c r="BT231" s="106">
        <v>46235.0</v>
      </c>
      <c r="BU231" s="107">
        <v>5.0</v>
      </c>
      <c r="BV231" s="108">
        <f t="shared" si="2"/>
        <v>46234</v>
      </c>
      <c r="BW231" s="108">
        <f t="shared" si="14"/>
        <v>46235</v>
      </c>
      <c r="BX231" s="102" t="str">
        <f t="shared" si="15"/>
        <v>09</v>
      </c>
      <c r="BY231" s="107">
        <f t="shared" si="5"/>
        <v>5</v>
      </c>
      <c r="BZ231" s="107">
        <f t="array" ref="BZ231">IF($A231&lt;&gt;"",INDEX(LISTA!$M$2:$N$27,MATCH($BC231,LISTA!$N$2:$N$27,0),1),"")</f>
        <v>7</v>
      </c>
      <c r="CA231" s="67">
        <f t="shared" si="6"/>
        <v>7</v>
      </c>
      <c r="CB231" s="114">
        <f t="shared" si="7"/>
        <v>8</v>
      </c>
      <c r="CC231" s="67">
        <v>5.8222668E7</v>
      </c>
    </row>
    <row r="232" ht="15.0" hidden="1" customHeight="1" outlineLevel="1">
      <c r="A232" s="59">
        <v>46234.459946620365</v>
      </c>
      <c r="B232" s="115" t="s">
        <v>105</v>
      </c>
      <c r="C232" s="54" t="s">
        <v>100</v>
      </c>
      <c r="D232" s="56" t="s">
        <v>101</v>
      </c>
      <c r="E232" s="69">
        <v>46235.583333333336</v>
      </c>
      <c r="F232" s="73"/>
      <c r="G232" s="60" t="s">
        <v>3374</v>
      </c>
      <c r="H232" s="60" t="s">
        <v>3375</v>
      </c>
      <c r="I232" s="67" t="s">
        <v>386</v>
      </c>
      <c r="J232" s="79" t="s">
        <v>3376</v>
      </c>
      <c r="K232" s="67" t="s">
        <v>109</v>
      </c>
      <c r="L232" s="79" t="s">
        <v>3377</v>
      </c>
      <c r="M232" s="83" t="s">
        <v>3378</v>
      </c>
      <c r="N232" s="78">
        <v>30877.0</v>
      </c>
      <c r="O232" s="80" t="s">
        <v>36</v>
      </c>
      <c r="P232" s="70">
        <v>120101.0</v>
      </c>
      <c r="Q232" s="54"/>
      <c r="R232" s="84"/>
      <c r="S232" s="84"/>
      <c r="T232" s="54"/>
      <c r="U232" s="86"/>
      <c r="V232" s="54"/>
      <c r="W232" s="86"/>
      <c r="X232" s="54"/>
      <c r="Y232" s="78"/>
      <c r="Z232" s="54"/>
      <c r="AA232" s="70"/>
      <c r="AB232" s="83" t="s">
        <v>766</v>
      </c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54" t="s">
        <v>3379</v>
      </c>
      <c r="AR232" s="83" t="s">
        <v>3380</v>
      </c>
      <c r="AS232" s="83" t="s">
        <v>3381</v>
      </c>
      <c r="AT232" s="93" t="s">
        <v>3382</v>
      </c>
      <c r="AU232" s="93" t="s">
        <v>3382</v>
      </c>
      <c r="AV232" s="93" t="s">
        <v>3382</v>
      </c>
      <c r="AW232" s="83" t="s">
        <v>3383</v>
      </c>
      <c r="AX232" s="83">
        <v>1.0</v>
      </c>
      <c r="AY232" s="83" t="s">
        <v>1657</v>
      </c>
      <c r="AZ232" s="83" t="s">
        <v>3384</v>
      </c>
      <c r="BA232" s="83" t="s">
        <v>3385</v>
      </c>
      <c r="BB232" s="83" t="s">
        <v>3386</v>
      </c>
      <c r="BC232" s="54" t="s">
        <v>36</v>
      </c>
      <c r="BD232" s="54" t="str">
        <f t="shared" si="1"/>
        <v>Huancayo</v>
      </c>
      <c r="BE232" s="67" t="s">
        <v>140</v>
      </c>
      <c r="BF232" s="67" t="s">
        <v>144</v>
      </c>
      <c r="BG232" s="67" t="s">
        <v>142</v>
      </c>
      <c r="BH232" s="67"/>
      <c r="BI232" s="67"/>
      <c r="BJ232" s="67"/>
      <c r="BK232" s="67"/>
      <c r="BL232" s="67" t="s">
        <v>147</v>
      </c>
      <c r="BM232" s="67" t="s">
        <v>146</v>
      </c>
      <c r="BN232" s="100">
        <v>89.0</v>
      </c>
      <c r="BO232" s="102" t="s">
        <v>148</v>
      </c>
      <c r="BP232" s="67" t="s">
        <v>141</v>
      </c>
      <c r="BQ232" s="79" t="s">
        <v>141</v>
      </c>
      <c r="BR232" s="67" t="s">
        <v>149</v>
      </c>
      <c r="BS232" s="102">
        <v>1.0</v>
      </c>
      <c r="BT232" s="106">
        <v>46235.0</v>
      </c>
      <c r="BU232" s="107">
        <v>6.0</v>
      </c>
      <c r="BV232" s="108">
        <f t="shared" si="2"/>
        <v>46234</v>
      </c>
      <c r="BW232" s="108">
        <f t="shared" si="14"/>
        <v>46235</v>
      </c>
      <c r="BX232" s="102" t="str">
        <f t="shared" si="15"/>
        <v>14</v>
      </c>
      <c r="BY232" s="107">
        <f t="shared" si="5"/>
        <v>5</v>
      </c>
      <c r="BZ232" s="107">
        <f t="array" ref="BZ232">IF($A232&lt;&gt;"",INDEX(LISTA!$M$2:$N$27,MATCH($BC232,LISTA!$N$2:$N$27,0),1),"")</f>
        <v>14</v>
      </c>
      <c r="CA232" s="67">
        <f t="shared" si="6"/>
        <v>7</v>
      </c>
      <c r="CB232" s="114">
        <f t="shared" si="7"/>
        <v>8</v>
      </c>
      <c r="CC232" s="67">
        <v>5.8226475E7</v>
      </c>
    </row>
    <row r="233" ht="15.0" hidden="1" customHeight="1" outlineLevel="1">
      <c r="A233" s="59">
        <v>46233.46568681713</v>
      </c>
      <c r="B233" s="115" t="s">
        <v>105</v>
      </c>
      <c r="C233" s="54" t="s">
        <v>100</v>
      </c>
      <c r="D233" s="56" t="s">
        <v>319</v>
      </c>
      <c r="E233" s="69">
        <v>46235.375</v>
      </c>
      <c r="F233" s="73"/>
      <c r="G233" s="60" t="s">
        <v>3387</v>
      </c>
      <c r="H233" s="60" t="s">
        <v>3388</v>
      </c>
      <c r="I233" s="67" t="s">
        <v>363</v>
      </c>
      <c r="J233" s="79" t="s">
        <v>3389</v>
      </c>
      <c r="K233" s="67" t="s">
        <v>109</v>
      </c>
      <c r="L233" s="79" t="s">
        <v>3390</v>
      </c>
      <c r="M233" s="83" t="s">
        <v>3391</v>
      </c>
      <c r="N233" s="78">
        <v>32774.0</v>
      </c>
      <c r="O233" s="80" t="s">
        <v>46</v>
      </c>
      <c r="P233" s="70">
        <v>200101.0</v>
      </c>
      <c r="Q233" s="54"/>
      <c r="R233" s="84"/>
      <c r="S233" s="84"/>
      <c r="T233" s="54"/>
      <c r="U233" s="86"/>
      <c r="V233" s="54"/>
      <c r="W233" s="86"/>
      <c r="X233" s="54"/>
      <c r="Y233" s="78"/>
      <c r="Z233" s="54"/>
      <c r="AA233" s="70"/>
      <c r="AB233" s="83"/>
      <c r="AC233" s="83"/>
      <c r="AD233" s="83"/>
      <c r="AE233" s="83"/>
      <c r="AF233" s="83" t="s">
        <v>467</v>
      </c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54" t="s">
        <v>3392</v>
      </c>
      <c r="AR233" s="83" t="s">
        <v>3393</v>
      </c>
      <c r="AS233" s="83" t="s">
        <v>3394</v>
      </c>
      <c r="AT233" s="93" t="s">
        <v>3389</v>
      </c>
      <c r="AU233" s="93" t="s">
        <v>3389</v>
      </c>
      <c r="AV233" s="93" t="s">
        <v>3389</v>
      </c>
      <c r="AW233" s="83" t="s">
        <v>3395</v>
      </c>
      <c r="AX233" s="83">
        <v>21.0</v>
      </c>
      <c r="AY233" s="83">
        <v>2106.0</v>
      </c>
      <c r="AZ233" s="83" t="s">
        <v>3396</v>
      </c>
      <c r="BA233" s="83" t="s">
        <v>3397</v>
      </c>
      <c r="BB233" s="83" t="s">
        <v>3398</v>
      </c>
      <c r="BC233" s="54" t="s">
        <v>41</v>
      </c>
      <c r="BD233" s="54" t="str">
        <f t="shared" si="1"/>
        <v>Surquillo</v>
      </c>
      <c r="BE233" s="67" t="s">
        <v>140</v>
      </c>
      <c r="BF233" s="67" t="s">
        <v>144</v>
      </c>
      <c r="BG233" s="67" t="s">
        <v>142</v>
      </c>
      <c r="BH233" s="67"/>
      <c r="BI233" s="67"/>
      <c r="BJ233" s="67"/>
      <c r="BK233" s="67"/>
      <c r="BL233" s="67" t="s">
        <v>147</v>
      </c>
      <c r="BM233" s="67" t="s">
        <v>146</v>
      </c>
      <c r="BN233" s="100">
        <v>89.0</v>
      </c>
      <c r="BO233" s="102" t="s">
        <v>148</v>
      </c>
      <c r="BP233" s="67" t="s">
        <v>141</v>
      </c>
      <c r="BQ233" s="79" t="s">
        <v>141</v>
      </c>
      <c r="BR233" s="67" t="s">
        <v>149</v>
      </c>
      <c r="BS233" s="102">
        <v>1.0</v>
      </c>
      <c r="BT233" s="106">
        <v>46235.0</v>
      </c>
      <c r="BU233" s="107">
        <v>7.0</v>
      </c>
      <c r="BV233" s="108">
        <f t="shared" si="2"/>
        <v>46233</v>
      </c>
      <c r="BW233" s="108">
        <f t="shared" si="14"/>
        <v>46235</v>
      </c>
      <c r="BX233" s="102" t="str">
        <f t="shared" si="15"/>
        <v>09</v>
      </c>
      <c r="BY233" s="107">
        <f t="shared" si="5"/>
        <v>5</v>
      </c>
      <c r="BZ233" s="107">
        <f t="array" ref="BZ233">IF($A233&lt;&gt;"",INDEX(LISTA!$M$2:$N$27,MATCH($BC233,LISTA!$N$2:$N$27,0),1),"")</f>
        <v>1</v>
      </c>
      <c r="CA233" s="67">
        <f t="shared" si="6"/>
        <v>7</v>
      </c>
      <c r="CB233" s="114">
        <f t="shared" si="7"/>
        <v>8</v>
      </c>
      <c r="CC233" s="67">
        <v>5.8212014E7</v>
      </c>
    </row>
    <row r="234" ht="15.0" hidden="1" customHeight="1" outlineLevel="1">
      <c r="A234" s="59">
        <v>46228.54961797454</v>
      </c>
      <c r="B234" s="62" t="s">
        <v>105</v>
      </c>
      <c r="C234" s="54" t="s">
        <v>100</v>
      </c>
      <c r="D234" s="56" t="s">
        <v>319</v>
      </c>
      <c r="E234" s="69">
        <v>46237.375</v>
      </c>
      <c r="F234" s="73"/>
      <c r="G234" s="60" t="s">
        <v>3399</v>
      </c>
      <c r="H234" s="60" t="s">
        <v>3400</v>
      </c>
      <c r="I234" s="67" t="s">
        <v>374</v>
      </c>
      <c r="J234" s="79" t="s">
        <v>3401</v>
      </c>
      <c r="K234" s="67" t="s">
        <v>109</v>
      </c>
      <c r="L234" s="79" t="s">
        <v>3402</v>
      </c>
      <c r="M234" s="83" t="s">
        <v>3403</v>
      </c>
      <c r="N234" s="78">
        <v>27816.0</v>
      </c>
      <c r="O234" s="80" t="s">
        <v>37</v>
      </c>
      <c r="P234" s="70">
        <v>100101.0</v>
      </c>
      <c r="Q234" s="54"/>
      <c r="R234" s="84"/>
      <c r="S234" s="84"/>
      <c r="T234" s="54"/>
      <c r="U234" s="86"/>
      <c r="V234" s="54"/>
      <c r="W234" s="86"/>
      <c r="X234" s="54"/>
      <c r="Y234" s="78"/>
      <c r="Z234" s="54"/>
      <c r="AA234" s="70"/>
      <c r="AB234" s="83"/>
      <c r="AC234" s="83"/>
      <c r="AD234" s="83"/>
      <c r="AE234" s="83"/>
      <c r="AF234" s="83" t="s">
        <v>123</v>
      </c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54" t="s">
        <v>1640</v>
      </c>
      <c r="AR234" s="83" t="s">
        <v>2822</v>
      </c>
      <c r="AS234" s="83" t="s">
        <v>3404</v>
      </c>
      <c r="AT234" s="93" t="s">
        <v>3401</v>
      </c>
      <c r="AU234" s="93" t="s">
        <v>3401</v>
      </c>
      <c r="AV234" s="93" t="s">
        <v>3401</v>
      </c>
      <c r="AW234" s="83" t="s">
        <v>3405</v>
      </c>
      <c r="AX234" s="83">
        <v>2.0</v>
      </c>
      <c r="AY234" s="83">
        <v>2.0</v>
      </c>
      <c r="AZ234" s="83" t="s">
        <v>3406</v>
      </c>
      <c r="BA234" s="83" t="s">
        <v>3407</v>
      </c>
      <c r="BB234" s="83" t="s">
        <v>3408</v>
      </c>
      <c r="BC234" s="54" t="s">
        <v>41</v>
      </c>
      <c r="BD234" s="54" t="str">
        <f t="shared" si="1"/>
        <v>Santiago de Surco</v>
      </c>
      <c r="BE234" s="67" t="s">
        <v>143</v>
      </c>
      <c r="BF234" s="67" t="s">
        <v>141</v>
      </c>
      <c r="BG234" s="67" t="s">
        <v>142</v>
      </c>
      <c r="BH234" s="67"/>
      <c r="BI234" s="67"/>
      <c r="BJ234" s="67"/>
      <c r="BK234" s="67"/>
      <c r="BL234" s="67" t="s">
        <v>147</v>
      </c>
      <c r="BM234" s="67" t="s">
        <v>146</v>
      </c>
      <c r="BN234" s="100">
        <v>89.0</v>
      </c>
      <c r="BO234" s="102" t="s">
        <v>148</v>
      </c>
      <c r="BP234" s="67" t="s">
        <v>141</v>
      </c>
      <c r="BQ234" s="79" t="s">
        <v>141</v>
      </c>
      <c r="BR234" s="67" t="s">
        <v>149</v>
      </c>
      <c r="BS234" s="102" t="s">
        <v>149</v>
      </c>
      <c r="BT234" s="106">
        <v>46237.0</v>
      </c>
      <c r="BU234" s="107">
        <v>1.0</v>
      </c>
      <c r="BV234" s="108">
        <f t="shared" si="2"/>
        <v>46228</v>
      </c>
      <c r="BW234" s="108">
        <f t="shared" si="14"/>
        <v>46237</v>
      </c>
      <c r="BX234" s="102" t="str">
        <f t="shared" si="15"/>
        <v>09</v>
      </c>
      <c r="BY234" s="107">
        <f t="shared" si="5"/>
        <v>5</v>
      </c>
      <c r="BZ234" s="107">
        <f t="array" ref="BZ234">IF($A234&lt;&gt;"",INDEX(LISTA!$M$2:$N$27,MATCH($BC234,LISTA!$N$2:$N$27,0),1),"")</f>
        <v>1</v>
      </c>
      <c r="CA234" s="67">
        <f t="shared" si="6"/>
        <v>7</v>
      </c>
      <c r="CB234" s="114">
        <f t="shared" si="7"/>
        <v>8</v>
      </c>
      <c r="CC234" s="67">
        <v>5.8221326E7</v>
      </c>
    </row>
    <row r="235" ht="15.0" hidden="1" customHeight="1" outlineLevel="1">
      <c r="A235" s="59">
        <v>46234.7641433449</v>
      </c>
      <c r="B235" s="62" t="s">
        <v>105</v>
      </c>
      <c r="C235" s="54" t="s">
        <v>100</v>
      </c>
      <c r="D235" s="56" t="s">
        <v>319</v>
      </c>
      <c r="E235" s="69">
        <v>46239.375</v>
      </c>
      <c r="F235" s="73" t="s">
        <v>3409</v>
      </c>
      <c r="G235" s="60" t="s">
        <v>3410</v>
      </c>
      <c r="H235" s="60" t="s">
        <v>3411</v>
      </c>
      <c r="I235" s="67" t="s">
        <v>156</v>
      </c>
      <c r="J235" s="79" t="s">
        <v>3412</v>
      </c>
      <c r="K235" s="67" t="s">
        <v>109</v>
      </c>
      <c r="L235" s="79" t="s">
        <v>3413</v>
      </c>
      <c r="M235" s="83" t="s">
        <v>3414</v>
      </c>
      <c r="N235" s="78">
        <v>29030.0</v>
      </c>
      <c r="O235" s="80" t="s">
        <v>37</v>
      </c>
      <c r="P235" s="70">
        <v>140101.0</v>
      </c>
      <c r="Q235" s="54"/>
      <c r="R235" s="84"/>
      <c r="S235" s="84"/>
      <c r="T235" s="54"/>
      <c r="U235" s="86"/>
      <c r="V235" s="54"/>
      <c r="W235" s="86"/>
      <c r="X235" s="54"/>
      <c r="Y235" s="78"/>
      <c r="Z235" s="54"/>
      <c r="AA235" s="70"/>
      <c r="AB235" s="83"/>
      <c r="AC235" s="83"/>
      <c r="AD235" s="83"/>
      <c r="AE235" s="83"/>
      <c r="AF235" s="83" t="s">
        <v>3415</v>
      </c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54" t="s">
        <v>472</v>
      </c>
      <c r="AR235" s="83" t="s">
        <v>3416</v>
      </c>
      <c r="AS235" s="83" t="s">
        <v>3417</v>
      </c>
      <c r="AT235" s="93" t="s">
        <v>3412</v>
      </c>
      <c r="AU235" s="93" t="s">
        <v>3412</v>
      </c>
      <c r="AV235" s="93" t="s">
        <v>3412</v>
      </c>
      <c r="AW235" s="83" t="s">
        <v>3418</v>
      </c>
      <c r="AX235" s="83">
        <v>1.0</v>
      </c>
      <c r="AY235" s="83" t="s">
        <v>174</v>
      </c>
      <c r="AZ235" s="83" t="s">
        <v>3419</v>
      </c>
      <c r="BA235" s="83" t="s">
        <v>3420</v>
      </c>
      <c r="BB235" s="83" t="s">
        <v>3421</v>
      </c>
      <c r="BC235" s="54" t="s">
        <v>41</v>
      </c>
      <c r="BD235" s="54" t="str">
        <f t="shared" si="1"/>
        <v>Jesús María</v>
      </c>
      <c r="BE235" s="67" t="s">
        <v>140</v>
      </c>
      <c r="BF235" s="67" t="s">
        <v>144</v>
      </c>
      <c r="BG235" s="67" t="s">
        <v>142</v>
      </c>
      <c r="BH235" s="67"/>
      <c r="BI235" s="67"/>
      <c r="BJ235" s="67"/>
      <c r="BK235" s="67"/>
      <c r="BL235" s="67" t="s">
        <v>727</v>
      </c>
      <c r="BM235" s="67" t="s">
        <v>146</v>
      </c>
      <c r="BN235" s="100">
        <v>175.0</v>
      </c>
      <c r="BO235" s="102" t="s">
        <v>148</v>
      </c>
      <c r="BP235" s="67" t="s">
        <v>144</v>
      </c>
      <c r="BQ235" s="79" t="s">
        <v>144</v>
      </c>
      <c r="BR235" s="67">
        <v>2.0</v>
      </c>
      <c r="BS235" s="102">
        <v>1.0</v>
      </c>
      <c r="BT235" s="106">
        <v>46239.0</v>
      </c>
      <c r="BU235" s="107">
        <v>3.0</v>
      </c>
      <c r="BV235" s="108">
        <f t="shared" si="2"/>
        <v>46234</v>
      </c>
      <c r="BW235" s="108">
        <f t="shared" si="14"/>
        <v>46239</v>
      </c>
      <c r="BX235" s="102" t="str">
        <f t="shared" si="15"/>
        <v>09</v>
      </c>
      <c r="BY235" s="107">
        <f t="shared" si="5"/>
        <v>5</v>
      </c>
      <c r="BZ235" s="107">
        <f t="array" ref="BZ235">IF($A235&lt;&gt;"",INDEX(LISTA!$M$2:$N$27,MATCH($BC235,LISTA!$N$2:$N$27,0),1),"")</f>
        <v>1</v>
      </c>
      <c r="CA235" s="67">
        <f t="shared" si="6"/>
        <v>7</v>
      </c>
      <c r="CB235" s="114">
        <f t="shared" si="7"/>
        <v>8</v>
      </c>
      <c r="CC235" s="67">
        <v>5.8235598E7</v>
      </c>
    </row>
    <row r="236" ht="15.0" hidden="1" customHeight="1" outlineLevel="1">
      <c r="A236" s="59">
        <v>46220.57743754629</v>
      </c>
      <c r="B236" s="62" t="s">
        <v>105</v>
      </c>
      <c r="C236" s="54" t="s">
        <v>100</v>
      </c>
      <c r="D236" s="56" t="s">
        <v>319</v>
      </c>
      <c r="E236" s="69">
        <v>46241.375</v>
      </c>
      <c r="F236" s="73"/>
      <c r="G236" s="60" t="s">
        <v>3422</v>
      </c>
      <c r="H236" s="60" t="s">
        <v>3423</v>
      </c>
      <c r="I236" s="67" t="s">
        <v>360</v>
      </c>
      <c r="J236" s="79" t="s">
        <v>3424</v>
      </c>
      <c r="K236" s="67" t="s">
        <v>109</v>
      </c>
      <c r="L236" s="79" t="s">
        <v>3425</v>
      </c>
      <c r="M236" s="83" t="s">
        <v>3426</v>
      </c>
      <c r="N236" s="78">
        <v>34720.0</v>
      </c>
      <c r="O236" s="80" t="s">
        <v>36</v>
      </c>
      <c r="P236" s="70">
        <v>120000.0</v>
      </c>
      <c r="Q236" s="54"/>
      <c r="R236" s="84"/>
      <c r="S236" s="84"/>
      <c r="T236" s="54"/>
      <c r="U236" s="86"/>
      <c r="V236" s="54"/>
      <c r="W236" s="86"/>
      <c r="X236" s="54"/>
      <c r="Y236" s="78"/>
      <c r="Z236" s="54"/>
      <c r="AA236" s="70"/>
      <c r="AB236" s="83"/>
      <c r="AC236" s="83"/>
      <c r="AD236" s="83"/>
      <c r="AE236" s="83"/>
      <c r="AF236" s="83" t="s">
        <v>123</v>
      </c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54" t="s">
        <v>3427</v>
      </c>
      <c r="AR236" s="83" t="s">
        <v>3428</v>
      </c>
      <c r="AS236" s="83" t="s">
        <v>3429</v>
      </c>
      <c r="AT236" s="93" t="s">
        <v>3424</v>
      </c>
      <c r="AU236" s="93" t="s">
        <v>3424</v>
      </c>
      <c r="AV236" s="93" t="s">
        <v>3424</v>
      </c>
      <c r="AW236" s="83" t="s">
        <v>3430</v>
      </c>
      <c r="AX236" s="83">
        <v>2.0</v>
      </c>
      <c r="AY236" s="83">
        <v>201.0</v>
      </c>
      <c r="AZ236" s="83" t="s">
        <v>3431</v>
      </c>
      <c r="BA236" s="83" t="s">
        <v>3432</v>
      </c>
      <c r="BB236" s="83" t="s">
        <v>3433</v>
      </c>
      <c r="BC236" s="54" t="s">
        <v>41</v>
      </c>
      <c r="BD236" s="54" t="str">
        <f t="shared" si="1"/>
        <v>Santiago de Surco</v>
      </c>
      <c r="BE236" s="67" t="s">
        <v>140</v>
      </c>
      <c r="BF236" s="67" t="s">
        <v>144</v>
      </c>
      <c r="BG236" s="67" t="s">
        <v>142</v>
      </c>
      <c r="BH236" s="67"/>
      <c r="BI236" s="67"/>
      <c r="BJ236" s="67"/>
      <c r="BK236" s="67"/>
      <c r="BL236" s="67" t="s">
        <v>147</v>
      </c>
      <c r="BM236" s="67" t="s">
        <v>146</v>
      </c>
      <c r="BN236" s="100">
        <v>89.0</v>
      </c>
      <c r="BO236" s="102" t="s">
        <v>148</v>
      </c>
      <c r="BP236" s="67" t="s">
        <v>141</v>
      </c>
      <c r="BQ236" s="79" t="s">
        <v>141</v>
      </c>
      <c r="BR236" s="67" t="s">
        <v>149</v>
      </c>
      <c r="BS236" s="102" t="s">
        <v>149</v>
      </c>
      <c r="BT236" s="106">
        <v>46241.0</v>
      </c>
      <c r="BU236" s="107">
        <v>8.0</v>
      </c>
      <c r="BV236" s="108">
        <f t="shared" si="2"/>
        <v>46220</v>
      </c>
      <c r="BW236" s="108">
        <f t="shared" si="14"/>
        <v>46241</v>
      </c>
      <c r="BX236" s="102" t="str">
        <f t="shared" si="15"/>
        <v>09</v>
      </c>
      <c r="BY236" s="107">
        <f t="shared" si="5"/>
        <v>5</v>
      </c>
      <c r="BZ236" s="107">
        <f t="array" ref="BZ236">IF($A236&lt;&gt;"",INDEX(LISTA!$M$2:$N$27,MATCH($BC236,LISTA!$N$2:$N$27,0),1),"")</f>
        <v>1</v>
      </c>
      <c r="CA236" s="67">
        <f t="shared" si="6"/>
        <v>7</v>
      </c>
      <c r="CB236" s="114">
        <f t="shared" si="7"/>
        <v>8</v>
      </c>
      <c r="CC236" s="67">
        <v>5.8256659E7</v>
      </c>
    </row>
    <row r="237" ht="15.0" hidden="1" customHeight="1" outlineLevel="1">
      <c r="A237" s="59">
        <v>46234.760467280095</v>
      </c>
      <c r="B237" s="115" t="s">
        <v>413</v>
      </c>
      <c r="C237" s="54" t="s">
        <v>1495</v>
      </c>
      <c r="D237" s="56" t="s">
        <v>319</v>
      </c>
      <c r="E237" s="69">
        <v>46237.375</v>
      </c>
      <c r="F237" s="73" t="s">
        <v>3434</v>
      </c>
      <c r="G237" s="60" t="s">
        <v>3435</v>
      </c>
      <c r="H237" s="60" t="s">
        <v>3436</v>
      </c>
      <c r="I237" s="67" t="s">
        <v>367</v>
      </c>
      <c r="J237" s="79" t="s">
        <v>3437</v>
      </c>
      <c r="K237" s="67" t="s">
        <v>109</v>
      </c>
      <c r="L237" s="79" t="s">
        <v>3438</v>
      </c>
      <c r="M237" s="83" t="s">
        <v>3439</v>
      </c>
      <c r="N237" s="78">
        <v>18886.0</v>
      </c>
      <c r="O237" s="80" t="s">
        <v>50</v>
      </c>
      <c r="P237" s="70">
        <v>230109.0</v>
      </c>
      <c r="Q237" s="54"/>
      <c r="R237" s="84"/>
      <c r="S237" s="84"/>
      <c r="T237" s="54"/>
      <c r="U237" s="86"/>
      <c r="V237" s="54"/>
      <c r="W237" s="86"/>
      <c r="X237" s="54"/>
      <c r="Y237" s="78"/>
      <c r="Z237" s="54"/>
      <c r="AA237" s="70"/>
      <c r="AB237" s="83"/>
      <c r="AC237" s="83"/>
      <c r="AD237" s="83"/>
      <c r="AE237" s="83"/>
      <c r="AF237" s="83"/>
      <c r="AG237" s="83"/>
      <c r="AH237" s="83"/>
      <c r="AI237" s="83" t="s">
        <v>3440</v>
      </c>
      <c r="AJ237" s="83"/>
      <c r="AK237" s="83"/>
      <c r="AL237" s="83"/>
      <c r="AM237" s="83"/>
      <c r="AN237" s="83"/>
      <c r="AO237" s="83"/>
      <c r="AP237" s="83"/>
      <c r="AQ237" s="54" t="s">
        <v>2697</v>
      </c>
      <c r="AR237" s="83" t="s">
        <v>3441</v>
      </c>
      <c r="AS237" s="83" t="s">
        <v>3442</v>
      </c>
      <c r="AT237" s="93" t="s">
        <v>3437</v>
      </c>
      <c r="AU237" s="93" t="s">
        <v>3437</v>
      </c>
      <c r="AV237" s="93" t="s">
        <v>3437</v>
      </c>
      <c r="AW237" s="83" t="s">
        <v>3443</v>
      </c>
      <c r="AX237" s="83">
        <v>1.0</v>
      </c>
      <c r="AY237" s="83">
        <v>2.0</v>
      </c>
      <c r="AZ237" s="83" t="s">
        <v>3444</v>
      </c>
      <c r="BA237" s="83" t="s">
        <v>3445</v>
      </c>
      <c r="BB237" s="83" t="s">
        <v>3446</v>
      </c>
      <c r="BC237" s="54" t="s">
        <v>44</v>
      </c>
      <c r="BD237" s="54" t="str">
        <f t="shared" si="1"/>
        <v>Ilo</v>
      </c>
      <c r="BE237" s="67" t="s">
        <v>140</v>
      </c>
      <c r="BF237" s="67" t="s">
        <v>141</v>
      </c>
      <c r="BG237" s="67" t="s">
        <v>142</v>
      </c>
      <c r="BH237" s="67"/>
      <c r="BI237" s="67"/>
      <c r="BJ237" s="67"/>
      <c r="BK237" s="67"/>
      <c r="BL237" s="67" t="s">
        <v>145</v>
      </c>
      <c r="BM237" s="67" t="s">
        <v>146</v>
      </c>
      <c r="BN237" s="100">
        <v>150.0</v>
      </c>
      <c r="BO237" s="102" t="s">
        <v>615</v>
      </c>
      <c r="BP237" s="67" t="s">
        <v>144</v>
      </c>
      <c r="BQ237" s="79" t="s">
        <v>141</v>
      </c>
      <c r="BR237" s="67">
        <v>2.0</v>
      </c>
      <c r="BS237" s="102" t="s">
        <v>149</v>
      </c>
      <c r="BT237" s="106"/>
      <c r="BU237" s="107"/>
      <c r="BV237" s="108">
        <f t="shared" si="2"/>
        <v>46234</v>
      </c>
      <c r="BW237" s="108">
        <f t="shared" si="14"/>
        <v>46237</v>
      </c>
      <c r="BX237" s="102" t="str">
        <f t="shared" si="15"/>
        <v>09</v>
      </c>
      <c r="BY237" s="107">
        <f t="shared" si="5"/>
        <v>3</v>
      </c>
      <c r="BZ237" s="107">
        <f t="array" ref="BZ237">IF($A237&lt;&gt;"",INDEX(LISTA!$M$2:$N$27,MATCH($BC237,LISTA!$N$2:$N$27,0),1),"")</f>
        <v>19</v>
      </c>
      <c r="CA237" s="67">
        <f t="shared" si="6"/>
        <v>7</v>
      </c>
      <c r="CB237" s="114" t="str">
        <f t="shared" si="7"/>
        <v/>
      </c>
      <c r="CC237" s="114"/>
    </row>
    <row r="238" ht="15.0" hidden="1" customHeight="1" outlineLevel="1">
      <c r="A238" s="59">
        <v>46234.49135974537</v>
      </c>
      <c r="B238" s="115" t="s">
        <v>413</v>
      </c>
      <c r="C238" s="54" t="s">
        <v>100</v>
      </c>
      <c r="D238" s="56" t="s">
        <v>319</v>
      </c>
      <c r="E238" s="69">
        <v>46235.583333333336</v>
      </c>
      <c r="F238" s="73"/>
      <c r="G238" s="60" t="s">
        <v>3447</v>
      </c>
      <c r="H238" s="60" t="s">
        <v>3448</v>
      </c>
      <c r="I238" s="67" t="s">
        <v>363</v>
      </c>
      <c r="J238" s="79" t="s">
        <v>3449</v>
      </c>
      <c r="K238" s="67" t="s">
        <v>109</v>
      </c>
      <c r="L238" s="79" t="s">
        <v>3450</v>
      </c>
      <c r="M238" s="83" t="s">
        <v>3451</v>
      </c>
      <c r="N238" s="78">
        <v>32037.0</v>
      </c>
      <c r="O238" s="80" t="s">
        <v>24</v>
      </c>
      <c r="P238" s="156" t="s">
        <v>449</v>
      </c>
      <c r="Q238" s="54"/>
      <c r="R238" s="84" t="s">
        <v>450</v>
      </c>
      <c r="S238" s="84"/>
      <c r="T238" s="54"/>
      <c r="U238" s="86"/>
      <c r="V238" s="54"/>
      <c r="W238" s="86"/>
      <c r="X238" s="54"/>
      <c r="Y238" s="78"/>
      <c r="Z238" s="54"/>
      <c r="AA238" s="70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54" t="s">
        <v>3452</v>
      </c>
      <c r="AR238" s="83" t="s">
        <v>3453</v>
      </c>
      <c r="AS238" s="83" t="s">
        <v>3454</v>
      </c>
      <c r="AT238" s="93" t="s">
        <v>3449</v>
      </c>
      <c r="AU238" s="93" t="s">
        <v>3449</v>
      </c>
      <c r="AV238" s="93" t="s">
        <v>3449</v>
      </c>
      <c r="AW238" s="83" t="s">
        <v>3455</v>
      </c>
      <c r="AX238" s="83">
        <v>1.0</v>
      </c>
      <c r="AY238" s="83">
        <v>0.0</v>
      </c>
      <c r="AZ238" s="83" t="s">
        <v>3456</v>
      </c>
      <c r="BA238" s="83" t="s">
        <v>3457</v>
      </c>
      <c r="BB238" s="83" t="s">
        <v>3458</v>
      </c>
      <c r="BC238" s="54" t="s">
        <v>24</v>
      </c>
      <c r="BD238" s="54" t="str">
        <f t="shared" si="1"/>
        <v>Huaraz</v>
      </c>
      <c r="BE238" s="67" t="s">
        <v>140</v>
      </c>
      <c r="BF238" s="67" t="s">
        <v>141</v>
      </c>
      <c r="BG238" s="67" t="s">
        <v>142</v>
      </c>
      <c r="BH238" s="67"/>
      <c r="BI238" s="67"/>
      <c r="BJ238" s="67"/>
      <c r="BK238" s="67"/>
      <c r="BL238" s="67" t="s">
        <v>283</v>
      </c>
      <c r="BM238" s="67" t="s">
        <v>146</v>
      </c>
      <c r="BN238" s="100">
        <v>84.0</v>
      </c>
      <c r="BO238" s="102" t="s">
        <v>2305</v>
      </c>
      <c r="BP238" s="67" t="s">
        <v>141</v>
      </c>
      <c r="BQ238" s="79" t="s">
        <v>144</v>
      </c>
      <c r="BR238" s="67" t="s">
        <v>149</v>
      </c>
      <c r="BS238" s="102" t="s">
        <v>149</v>
      </c>
      <c r="BT238" s="106"/>
      <c r="BU238" s="107"/>
      <c r="BV238" s="108">
        <f t="shared" si="2"/>
        <v>46234</v>
      </c>
      <c r="BW238" s="108">
        <f t="shared" si="14"/>
        <v>46235</v>
      </c>
      <c r="BX238" s="102" t="str">
        <f t="shared" si="15"/>
        <v>14</v>
      </c>
      <c r="BY238" s="107">
        <f t="shared" si="5"/>
        <v>3</v>
      </c>
      <c r="BZ238" s="107">
        <f t="array" ref="BZ238">IF($A238&lt;&gt;"",INDEX(LISTA!$M$2:$N$27,MATCH($BC238,LISTA!$N$2:$N$27,0),1),"")</f>
        <v>5</v>
      </c>
      <c r="CA238" s="67">
        <f t="shared" si="6"/>
        <v>7</v>
      </c>
      <c r="CB238" s="114" t="str">
        <f t="shared" si="7"/>
        <v/>
      </c>
      <c r="CC238" s="114"/>
    </row>
    <row r="239" ht="15.0" hidden="1" customHeight="1" outlineLevel="1">
      <c r="A239" s="59">
        <v>46230.602612476854</v>
      </c>
      <c r="B239" s="115" t="s">
        <v>411</v>
      </c>
      <c r="C239" s="54" t="s">
        <v>100</v>
      </c>
      <c r="D239" s="56" t="s">
        <v>319</v>
      </c>
      <c r="E239" s="69">
        <v>46232.583333333336</v>
      </c>
      <c r="F239" s="73" t="s">
        <v>3459</v>
      </c>
      <c r="G239" s="60" t="s">
        <v>3460</v>
      </c>
      <c r="H239" s="60" t="s">
        <v>3461</v>
      </c>
      <c r="I239" s="67" t="s">
        <v>293</v>
      </c>
      <c r="J239" s="79" t="s">
        <v>3462</v>
      </c>
      <c r="K239" s="67" t="s">
        <v>1151</v>
      </c>
      <c r="L239" s="79" t="s">
        <v>3463</v>
      </c>
      <c r="M239" s="83" t="s">
        <v>3464</v>
      </c>
      <c r="N239" s="78">
        <v>29849.0</v>
      </c>
      <c r="O239" s="80" t="s">
        <v>25</v>
      </c>
      <c r="P239" s="156" t="s">
        <v>3465</v>
      </c>
      <c r="Q239" s="54"/>
      <c r="R239" s="84"/>
      <c r="S239" s="84"/>
      <c r="T239" s="54"/>
      <c r="U239" s="86" t="s">
        <v>1088</v>
      </c>
      <c r="V239" s="54"/>
      <c r="W239" s="86"/>
      <c r="X239" s="54"/>
      <c r="Y239" s="78"/>
      <c r="Z239" s="54"/>
      <c r="AA239" s="70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54" t="s">
        <v>3466</v>
      </c>
      <c r="AR239" s="83" t="s">
        <v>3467</v>
      </c>
      <c r="AS239" s="83" t="s">
        <v>3468</v>
      </c>
      <c r="AT239" s="93" t="s">
        <v>3462</v>
      </c>
      <c r="AU239" s="93" t="s">
        <v>3462</v>
      </c>
      <c r="AV239" s="93" t="s">
        <v>3462</v>
      </c>
      <c r="AW239" s="83" t="s">
        <v>3469</v>
      </c>
      <c r="AX239" s="83">
        <v>2.0</v>
      </c>
      <c r="AY239" s="83">
        <v>0.0</v>
      </c>
      <c r="AZ239" s="83" t="s">
        <v>3470</v>
      </c>
      <c r="BA239" s="83" t="s">
        <v>2102</v>
      </c>
      <c r="BB239" s="83" t="s">
        <v>3471</v>
      </c>
      <c r="BC239" s="54" t="s">
        <v>28</v>
      </c>
      <c r="BD239" s="54" t="str">
        <f t="shared" si="1"/>
        <v>Huamanga</v>
      </c>
      <c r="BE239" s="67" t="s">
        <v>140</v>
      </c>
      <c r="BF239" s="67" t="s">
        <v>141</v>
      </c>
      <c r="BG239" s="67" t="s">
        <v>142</v>
      </c>
      <c r="BH239" s="67"/>
      <c r="BI239" s="67"/>
      <c r="BJ239" s="67"/>
      <c r="BK239" s="67"/>
      <c r="BL239" s="67" t="s">
        <v>283</v>
      </c>
      <c r="BM239" s="67" t="s">
        <v>146</v>
      </c>
      <c r="BN239" s="100">
        <v>84.0</v>
      </c>
      <c r="BO239" s="102" t="s">
        <v>2305</v>
      </c>
      <c r="BP239" s="67" t="s">
        <v>141</v>
      </c>
      <c r="BQ239" s="79" t="s">
        <v>144</v>
      </c>
      <c r="BR239" s="67" t="s">
        <v>149</v>
      </c>
      <c r="BS239" s="102" t="s">
        <v>149</v>
      </c>
      <c r="BT239" s="106"/>
      <c r="BU239" s="107"/>
      <c r="BV239" s="108">
        <f t="shared" si="2"/>
        <v>46230</v>
      </c>
      <c r="BW239" s="108">
        <f t="shared" si="14"/>
        <v>46232</v>
      </c>
      <c r="BX239" s="102" t="str">
        <f t="shared" si="15"/>
        <v>14</v>
      </c>
      <c r="BY239" s="107">
        <f t="shared" si="5"/>
        <v>3</v>
      </c>
      <c r="BZ239" s="107">
        <f t="array" ref="BZ239">IF($A239&lt;&gt;"",INDEX(LISTA!$M$2:$N$27,MATCH($BC239,LISTA!$N$2:$N$27,0),1),"")</f>
        <v>8</v>
      </c>
      <c r="CA239" s="67">
        <f t="shared" si="6"/>
        <v>7</v>
      </c>
      <c r="CB239" s="114" t="str">
        <f t="shared" si="7"/>
        <v/>
      </c>
      <c r="CC239" s="114"/>
    </row>
    <row r="240" ht="15.0" hidden="1" customHeight="1" outlineLevel="1">
      <c r="A240" s="59">
        <v>46207.60144576389</v>
      </c>
      <c r="B240" s="115" t="s">
        <v>411</v>
      </c>
      <c r="C240" s="54" t="s">
        <v>100</v>
      </c>
      <c r="D240" s="56" t="s">
        <v>101</v>
      </c>
      <c r="E240" s="69">
        <v>46213.666666666664</v>
      </c>
      <c r="F240" s="73" t="s">
        <v>3472</v>
      </c>
      <c r="G240" s="60" t="s">
        <v>3473</v>
      </c>
      <c r="H240" s="60" t="s">
        <v>3474</v>
      </c>
      <c r="I240" s="67" t="s">
        <v>350</v>
      </c>
      <c r="J240" s="79" t="s">
        <v>3475</v>
      </c>
      <c r="K240" s="67" t="s">
        <v>109</v>
      </c>
      <c r="L240" s="79" t="s">
        <v>3476</v>
      </c>
      <c r="M240" s="83" t="s">
        <v>3477</v>
      </c>
      <c r="N240" s="78">
        <v>36762.0</v>
      </c>
      <c r="O240" s="80" t="s">
        <v>28</v>
      </c>
      <c r="P240" s="156" t="s">
        <v>3478</v>
      </c>
      <c r="Q240" s="54"/>
      <c r="R240" s="84"/>
      <c r="S240" s="84"/>
      <c r="T240" s="54"/>
      <c r="U240" s="86" t="s">
        <v>3479</v>
      </c>
      <c r="V240" s="54"/>
      <c r="W240" s="86"/>
      <c r="X240" s="54"/>
      <c r="Y240" s="78"/>
      <c r="Z240" s="54"/>
      <c r="AA240" s="70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54" t="s">
        <v>3480</v>
      </c>
      <c r="AR240" s="83" t="s">
        <v>125</v>
      </c>
      <c r="AS240" s="83" t="s">
        <v>3481</v>
      </c>
      <c r="AT240" s="93" t="s">
        <v>3475</v>
      </c>
      <c r="AU240" s="93" t="s">
        <v>3475</v>
      </c>
      <c r="AV240" s="93" t="s">
        <v>3475</v>
      </c>
      <c r="AW240" s="83" t="s">
        <v>3482</v>
      </c>
      <c r="AX240" s="83">
        <v>1.0</v>
      </c>
      <c r="AY240" s="83">
        <v>0.0</v>
      </c>
      <c r="AZ240" s="83" t="s">
        <v>3483</v>
      </c>
      <c r="BA240" s="83" t="s">
        <v>2125</v>
      </c>
      <c r="BB240" s="83" t="s">
        <v>3484</v>
      </c>
      <c r="BC240" s="54" t="s">
        <v>28</v>
      </c>
      <c r="BD240" s="54" t="str">
        <f t="shared" si="1"/>
        <v>Parinacochas</v>
      </c>
      <c r="BE240" s="67" t="s">
        <v>140</v>
      </c>
      <c r="BF240" s="67" t="s">
        <v>144</v>
      </c>
      <c r="BG240" s="67" t="s">
        <v>142</v>
      </c>
      <c r="BH240" s="67"/>
      <c r="BI240" s="67"/>
      <c r="BJ240" s="67"/>
      <c r="BK240" s="67"/>
      <c r="BL240" s="67" t="s">
        <v>147</v>
      </c>
      <c r="BM240" s="67" t="s">
        <v>247</v>
      </c>
      <c r="BN240" s="100">
        <v>89.0</v>
      </c>
      <c r="BO240" s="102" t="s">
        <v>148</v>
      </c>
      <c r="BP240" s="67" t="s">
        <v>141</v>
      </c>
      <c r="BQ240" s="79" t="s">
        <v>141</v>
      </c>
      <c r="BR240" s="67" t="s">
        <v>149</v>
      </c>
      <c r="BS240" s="102">
        <v>1.0</v>
      </c>
      <c r="BT240" s="106"/>
      <c r="BU240" s="107"/>
      <c r="BV240" s="108">
        <f t="shared" si="2"/>
        <v>46207</v>
      </c>
      <c r="BW240" s="108">
        <f t="shared" si="14"/>
        <v>46213</v>
      </c>
      <c r="BX240" s="102" t="str">
        <f t="shared" si="15"/>
        <v>16</v>
      </c>
      <c r="BY240" s="107">
        <f t="shared" si="5"/>
        <v>3</v>
      </c>
      <c r="BZ240" s="107">
        <f t="array" ref="BZ240">IF($A240&lt;&gt;"",INDEX(LISTA!$M$2:$N$27,MATCH($BC240,LISTA!$N$2:$N$27,0),1),"")</f>
        <v>8</v>
      </c>
      <c r="CA240" s="67">
        <f t="shared" si="6"/>
        <v>7</v>
      </c>
      <c r="CB240" s="114" t="str">
        <f t="shared" si="7"/>
        <v/>
      </c>
      <c r="CC240" s="114"/>
    </row>
    <row r="241" ht="15.0" hidden="1" customHeight="1" outlineLevel="1">
      <c r="A241" s="59">
        <v>46216.411981770834</v>
      </c>
      <c r="B241" s="115" t="s">
        <v>411</v>
      </c>
      <c r="C241" s="54" t="s">
        <v>100</v>
      </c>
      <c r="D241" s="56" t="s">
        <v>319</v>
      </c>
      <c r="E241" s="69">
        <v>46221.375</v>
      </c>
      <c r="F241" s="73" t="s">
        <v>3485</v>
      </c>
      <c r="G241" s="60" t="s">
        <v>3486</v>
      </c>
      <c r="H241" s="60" t="s">
        <v>3487</v>
      </c>
      <c r="I241" s="67" t="s">
        <v>293</v>
      </c>
      <c r="J241" s="79" t="s">
        <v>3488</v>
      </c>
      <c r="K241" s="67" t="s">
        <v>109</v>
      </c>
      <c r="L241" s="79" t="s">
        <v>3489</v>
      </c>
      <c r="M241" s="83" t="s">
        <v>3490</v>
      </c>
      <c r="N241" s="78">
        <v>33541.0</v>
      </c>
      <c r="O241" s="80" t="s">
        <v>24</v>
      </c>
      <c r="P241" s="156" t="s">
        <v>1154</v>
      </c>
      <c r="Q241" s="54"/>
      <c r="R241" s="84"/>
      <c r="S241" s="84"/>
      <c r="T241" s="54"/>
      <c r="U241" s="86"/>
      <c r="V241" s="54"/>
      <c r="W241" s="86"/>
      <c r="X241" s="54"/>
      <c r="Y241" s="78"/>
      <c r="Z241" s="54"/>
      <c r="AA241" s="70"/>
      <c r="AB241" s="83"/>
      <c r="AC241" s="83"/>
      <c r="AD241" s="83"/>
      <c r="AE241" s="83"/>
      <c r="AF241" s="83" t="s">
        <v>198</v>
      </c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54" t="s">
        <v>1640</v>
      </c>
      <c r="AR241" s="83" t="s">
        <v>3491</v>
      </c>
      <c r="AS241" s="83" t="s">
        <v>3492</v>
      </c>
      <c r="AT241" s="93" t="s">
        <v>3488</v>
      </c>
      <c r="AU241" s="93" t="s">
        <v>3488</v>
      </c>
      <c r="AV241" s="93" t="s">
        <v>3488</v>
      </c>
      <c r="AW241" s="83" t="s">
        <v>3493</v>
      </c>
      <c r="AX241" s="83">
        <v>4.0</v>
      </c>
      <c r="AY241" s="83">
        <v>402.0</v>
      </c>
      <c r="AZ241" s="83" t="s">
        <v>3494</v>
      </c>
      <c r="BA241" s="83" t="s">
        <v>3249</v>
      </c>
      <c r="BB241" s="83" t="s">
        <v>3495</v>
      </c>
      <c r="BC241" s="54" t="s">
        <v>41</v>
      </c>
      <c r="BD241" s="54" t="str">
        <f t="shared" si="1"/>
        <v>Miraflores</v>
      </c>
      <c r="BE241" s="67" t="s">
        <v>143</v>
      </c>
      <c r="BF241" s="67" t="s">
        <v>144</v>
      </c>
      <c r="BG241" s="67" t="s">
        <v>142</v>
      </c>
      <c r="BH241" s="67"/>
      <c r="BI241" s="67"/>
      <c r="BJ241" s="67"/>
      <c r="BK241" s="67"/>
      <c r="BL241" s="67" t="s">
        <v>145</v>
      </c>
      <c r="BM241" s="67" t="s">
        <v>146</v>
      </c>
      <c r="BN241" s="100">
        <v>170.0</v>
      </c>
      <c r="BO241" s="102" t="s">
        <v>148</v>
      </c>
      <c r="BP241" s="67" t="s">
        <v>144</v>
      </c>
      <c r="BQ241" s="79" t="s">
        <v>141</v>
      </c>
      <c r="BR241" s="67">
        <v>2.0</v>
      </c>
      <c r="BS241" s="102" t="s">
        <v>149</v>
      </c>
      <c r="BT241" s="106"/>
      <c r="BU241" s="107"/>
      <c r="BV241" s="108">
        <f t="shared" si="2"/>
        <v>46216</v>
      </c>
      <c r="BW241" s="108">
        <f t="shared" si="14"/>
        <v>46221</v>
      </c>
      <c r="BX241" s="102" t="str">
        <f t="shared" si="15"/>
        <v>09</v>
      </c>
      <c r="BY241" s="107">
        <f t="shared" si="5"/>
        <v>3</v>
      </c>
      <c r="BZ241" s="107">
        <f t="array" ref="BZ241">IF($A241&lt;&gt;"",INDEX(LISTA!$M$2:$N$27,MATCH($BC241,LISTA!$N$2:$N$27,0),1),"")</f>
        <v>1</v>
      </c>
      <c r="CA241" s="67">
        <f t="shared" si="6"/>
        <v>7</v>
      </c>
      <c r="CB241" s="114" t="str">
        <f t="shared" si="7"/>
        <v/>
      </c>
      <c r="CC241" s="114"/>
    </row>
    <row r="242" ht="15.0" hidden="1" customHeight="1" outlineLevel="1">
      <c r="A242" s="59">
        <v>46224.725012627314</v>
      </c>
      <c r="B242" s="115" t="s">
        <v>411</v>
      </c>
      <c r="C242" s="54" t="s">
        <v>100</v>
      </c>
      <c r="D242" s="56" t="s">
        <v>319</v>
      </c>
      <c r="E242" s="69">
        <v>46226.583333333336</v>
      </c>
      <c r="F242" s="73" t="s">
        <v>3496</v>
      </c>
      <c r="G242" s="60" t="s">
        <v>3497</v>
      </c>
      <c r="H242" s="60" t="s">
        <v>3498</v>
      </c>
      <c r="I242" s="67" t="s">
        <v>363</v>
      </c>
      <c r="J242" s="79" t="s">
        <v>3499</v>
      </c>
      <c r="K242" s="67" t="s">
        <v>109</v>
      </c>
      <c r="L242" s="79" t="s">
        <v>3500</v>
      </c>
      <c r="M242" s="83" t="s">
        <v>3501</v>
      </c>
      <c r="N242" s="78">
        <v>30369.0</v>
      </c>
      <c r="O242" s="80" t="s">
        <v>36</v>
      </c>
      <c r="P242" s="70">
        <v>120201.0</v>
      </c>
      <c r="Q242" s="54"/>
      <c r="R242" s="84"/>
      <c r="S242" s="84"/>
      <c r="T242" s="54"/>
      <c r="U242" s="86"/>
      <c r="V242" s="54"/>
      <c r="W242" s="86"/>
      <c r="X242" s="54"/>
      <c r="Y242" s="78"/>
      <c r="Z242" s="54"/>
      <c r="AA242" s="70"/>
      <c r="AB242" s="83"/>
      <c r="AC242" s="83"/>
      <c r="AD242" s="83"/>
      <c r="AE242" s="83"/>
      <c r="AF242" s="83" t="s">
        <v>165</v>
      </c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54" t="s">
        <v>3502</v>
      </c>
      <c r="AR242" s="83" t="s">
        <v>3453</v>
      </c>
      <c r="AS242" s="83" t="s">
        <v>3503</v>
      </c>
      <c r="AT242" s="93" t="s">
        <v>3499</v>
      </c>
      <c r="AU242" s="93" t="s">
        <v>3499</v>
      </c>
      <c r="AV242" s="93" t="s">
        <v>3499</v>
      </c>
      <c r="AW242" s="83" t="s">
        <v>3503</v>
      </c>
      <c r="AX242" s="83">
        <v>3.0</v>
      </c>
      <c r="AY242" s="83">
        <v>0.0</v>
      </c>
      <c r="AZ242" s="83" t="s">
        <v>3504</v>
      </c>
      <c r="BA242" s="83" t="s">
        <v>3505</v>
      </c>
      <c r="BB242" s="83" t="s">
        <v>3506</v>
      </c>
      <c r="BC242" s="54" t="s">
        <v>41</v>
      </c>
      <c r="BD242" s="54" t="str">
        <f t="shared" si="1"/>
        <v>San Martín de Porres</v>
      </c>
      <c r="BE242" s="67" t="s">
        <v>140</v>
      </c>
      <c r="BF242" s="67" t="s">
        <v>144</v>
      </c>
      <c r="BG242" s="67" t="s">
        <v>142</v>
      </c>
      <c r="BH242" s="67"/>
      <c r="BI242" s="67"/>
      <c r="BJ242" s="67"/>
      <c r="BK242" s="67"/>
      <c r="BL242" s="67" t="s">
        <v>147</v>
      </c>
      <c r="BM242" s="67" t="s">
        <v>146</v>
      </c>
      <c r="BN242" s="100">
        <v>89.0</v>
      </c>
      <c r="BO242" s="102" t="s">
        <v>148</v>
      </c>
      <c r="BP242" s="67" t="s">
        <v>141</v>
      </c>
      <c r="BQ242" s="79" t="s">
        <v>141</v>
      </c>
      <c r="BR242" s="67" t="s">
        <v>149</v>
      </c>
      <c r="BS242" s="102">
        <v>1.0</v>
      </c>
      <c r="BT242" s="106"/>
      <c r="BU242" s="107"/>
      <c r="BV242" s="108">
        <f t="shared" si="2"/>
        <v>46224</v>
      </c>
      <c r="BW242" s="108">
        <f t="shared" si="14"/>
        <v>46226</v>
      </c>
      <c r="BX242" s="102" t="str">
        <f t="shared" si="15"/>
        <v>14</v>
      </c>
      <c r="BY242" s="107">
        <f t="shared" si="5"/>
        <v>3</v>
      </c>
      <c r="BZ242" s="107">
        <f t="array" ref="BZ242">IF($A242&lt;&gt;"",INDEX(LISTA!$M$2:$N$27,MATCH($BC242,LISTA!$N$2:$N$27,0),1),"")</f>
        <v>1</v>
      </c>
      <c r="CA242" s="67">
        <f t="shared" si="6"/>
        <v>7</v>
      </c>
      <c r="CB242" s="114" t="str">
        <f t="shared" si="7"/>
        <v/>
      </c>
      <c r="CC242" s="114"/>
    </row>
    <row r="243" ht="15.0" hidden="1" customHeight="1" outlineLevel="1">
      <c r="A243" s="59">
        <v>46227.47026862268</v>
      </c>
      <c r="B243" s="115" t="s">
        <v>411</v>
      </c>
      <c r="C243" s="54" t="s">
        <v>100</v>
      </c>
      <c r="D243" s="56"/>
      <c r="E243" s="69"/>
      <c r="F243" s="73" t="s">
        <v>3507</v>
      </c>
      <c r="G243" s="60"/>
      <c r="H243" s="60"/>
      <c r="I243" s="67" t="s">
        <v>382</v>
      </c>
      <c r="J243" s="79" t="s">
        <v>2844</v>
      </c>
      <c r="K243" s="67" t="s">
        <v>109</v>
      </c>
      <c r="L243" s="79" t="s">
        <v>2845</v>
      </c>
      <c r="M243" s="83" t="s">
        <v>3508</v>
      </c>
      <c r="N243" s="78">
        <v>30439.0</v>
      </c>
      <c r="O243" s="80" t="s">
        <v>31</v>
      </c>
      <c r="P243" s="156" t="s">
        <v>3509</v>
      </c>
      <c r="Q243" s="54"/>
      <c r="R243" s="84"/>
      <c r="S243" s="84"/>
      <c r="T243" s="54"/>
      <c r="U243" s="86"/>
      <c r="V243" s="54"/>
      <c r="W243" s="86"/>
      <c r="X243" s="54" t="s">
        <v>3510</v>
      </c>
      <c r="Y243" s="78"/>
      <c r="Z243" s="54"/>
      <c r="AA243" s="70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54" t="s">
        <v>3511</v>
      </c>
      <c r="AR243" s="83" t="s">
        <v>1628</v>
      </c>
      <c r="AS243" s="83" t="s">
        <v>3512</v>
      </c>
      <c r="AT243" s="93" t="s">
        <v>2844</v>
      </c>
      <c r="AU243" s="93" t="s">
        <v>2844</v>
      </c>
      <c r="AV243" s="93" t="s">
        <v>2844</v>
      </c>
      <c r="AW243" s="83" t="s">
        <v>3513</v>
      </c>
      <c r="AX243" s="83">
        <v>2.0</v>
      </c>
      <c r="AY243" s="83">
        <v>0.0</v>
      </c>
      <c r="AZ243" s="83" t="s">
        <v>3514</v>
      </c>
      <c r="BA243" s="83" t="s">
        <v>3515</v>
      </c>
      <c r="BB243" s="83" t="s">
        <v>3516</v>
      </c>
      <c r="BC243" s="54" t="s">
        <v>31</v>
      </c>
      <c r="BD243" s="54" t="str">
        <f t="shared" si="1"/>
        <v>Calca</v>
      </c>
      <c r="BE243" s="67" t="s">
        <v>143</v>
      </c>
      <c r="BF243" s="67" t="s">
        <v>144</v>
      </c>
      <c r="BG243" s="67" t="s">
        <v>142</v>
      </c>
      <c r="BH243" s="67"/>
      <c r="BI243" s="67"/>
      <c r="BJ243" s="67"/>
      <c r="BK243" s="67"/>
      <c r="BL243" s="67" t="s">
        <v>283</v>
      </c>
      <c r="BM243" s="67" t="s">
        <v>146</v>
      </c>
      <c r="BN243" s="100">
        <v>84.0</v>
      </c>
      <c r="BO243" s="102" t="s">
        <v>2305</v>
      </c>
      <c r="BP243" s="67" t="s">
        <v>141</v>
      </c>
      <c r="BQ243" s="79" t="s">
        <v>144</v>
      </c>
      <c r="BR243" s="67" t="s">
        <v>149</v>
      </c>
      <c r="BS243" s="102" t="s">
        <v>149</v>
      </c>
      <c r="BT243" s="106"/>
      <c r="BU243" s="107"/>
      <c r="BV243" s="108">
        <f t="shared" si="2"/>
        <v>46227</v>
      </c>
      <c r="BW243" s="108" t="str">
        <f t="shared" si="14"/>
        <v/>
      </c>
      <c r="BX243" s="102" t="str">
        <f t="shared" si="15"/>
        <v/>
      </c>
      <c r="BY243" s="107">
        <f t="shared" si="5"/>
        <v>3</v>
      </c>
      <c r="BZ243" s="107">
        <f t="array" ref="BZ243">IF($A243&lt;&gt;"",INDEX(LISTA!$M$2:$N$27,MATCH($BC243,LISTA!$N$2:$N$27,0),1),"")</f>
        <v>10</v>
      </c>
      <c r="CA243" s="67">
        <f t="shared" si="6"/>
        <v>7</v>
      </c>
      <c r="CB243" s="114" t="str">
        <f t="shared" si="7"/>
        <v/>
      </c>
      <c r="CC243" s="114"/>
    </row>
    <row r="244" ht="15.0" hidden="1" customHeight="1" outlineLevel="1">
      <c r="A244" s="59">
        <v>46204.386956064816</v>
      </c>
      <c r="B244" s="115" t="s">
        <v>409</v>
      </c>
      <c r="C244" s="54" t="s">
        <v>100</v>
      </c>
      <c r="D244" s="56" t="s">
        <v>101</v>
      </c>
      <c r="E244" s="69">
        <v>46205.583333333336</v>
      </c>
      <c r="F244" s="73" t="s">
        <v>3517</v>
      </c>
      <c r="G244" s="60" t="s">
        <v>1818</v>
      </c>
      <c r="H244" s="60" t="s">
        <v>1819</v>
      </c>
      <c r="I244" s="67" t="s">
        <v>287</v>
      </c>
      <c r="J244" s="79" t="s">
        <v>3518</v>
      </c>
      <c r="K244" s="67" t="s">
        <v>109</v>
      </c>
      <c r="L244" s="79" t="s">
        <v>1821</v>
      </c>
      <c r="M244" s="83" t="s">
        <v>3519</v>
      </c>
      <c r="N244" s="78">
        <v>37242.0</v>
      </c>
      <c r="O244" s="80" t="s">
        <v>39</v>
      </c>
      <c r="P244" s="70" t="s">
        <v>1454</v>
      </c>
      <c r="Q244" s="54"/>
      <c r="R244" s="84"/>
      <c r="S244" s="84"/>
      <c r="T244" s="54"/>
      <c r="U244" s="86"/>
      <c r="V244" s="54"/>
      <c r="W244" s="86"/>
      <c r="X244" s="54"/>
      <c r="Y244" s="78"/>
      <c r="Z244" s="54"/>
      <c r="AA244" s="70"/>
      <c r="AB244" s="83"/>
      <c r="AC244" s="83" t="s">
        <v>1690</v>
      </c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54" t="s">
        <v>1828</v>
      </c>
      <c r="AR244" s="83" t="s">
        <v>1829</v>
      </c>
      <c r="AS244" s="83" t="s">
        <v>1830</v>
      </c>
      <c r="AT244" s="93" t="s">
        <v>1831</v>
      </c>
      <c r="AU244" s="93" t="s">
        <v>1831</v>
      </c>
      <c r="AV244" s="93" t="s">
        <v>1832</v>
      </c>
      <c r="AW244" s="83" t="s">
        <v>1833</v>
      </c>
      <c r="AX244" s="83">
        <v>3.0</v>
      </c>
      <c r="AY244" s="83" t="s">
        <v>991</v>
      </c>
      <c r="AZ244" s="83" t="s">
        <v>1834</v>
      </c>
      <c r="BA244" s="83" t="s">
        <v>1835</v>
      </c>
      <c r="BB244" s="83" t="s">
        <v>1836</v>
      </c>
      <c r="BC244" s="54" t="s">
        <v>39</v>
      </c>
      <c r="BD244" s="54" t="str">
        <f t="shared" si="1"/>
        <v>Trujillo</v>
      </c>
      <c r="BE244" s="67" t="s">
        <v>140</v>
      </c>
      <c r="BF244" s="67" t="s">
        <v>141</v>
      </c>
      <c r="BG244" s="67" t="s">
        <v>142</v>
      </c>
      <c r="BH244" s="67"/>
      <c r="BI244" s="67"/>
      <c r="BJ244" s="67"/>
      <c r="BK244" s="67"/>
      <c r="BL244" s="67" t="s">
        <v>147</v>
      </c>
      <c r="BM244" s="67" t="s">
        <v>146</v>
      </c>
      <c r="BN244" s="100">
        <v>100.0</v>
      </c>
      <c r="BO244" s="102" t="s">
        <v>330</v>
      </c>
      <c r="BP244" s="67" t="s">
        <v>141</v>
      </c>
      <c r="BQ244" s="79" t="s">
        <v>141</v>
      </c>
      <c r="BR244" s="67" t="s">
        <v>149</v>
      </c>
      <c r="BS244" s="102">
        <v>2.0</v>
      </c>
      <c r="BT244" s="106"/>
      <c r="BU244" s="107"/>
      <c r="BV244" s="108">
        <f t="shared" si="2"/>
        <v>46204</v>
      </c>
      <c r="BW244" s="108">
        <f t="shared" si="14"/>
        <v>46205</v>
      </c>
      <c r="BX244" s="102" t="str">
        <f t="shared" si="15"/>
        <v>14</v>
      </c>
      <c r="BY244" s="107">
        <f t="shared" si="5"/>
        <v>3</v>
      </c>
      <c r="BZ244" s="107">
        <f t="array" ref="BZ244">IF($A244&lt;&gt;"",INDEX(LISTA!$M$2:$N$27,MATCH($BC244,LISTA!$N$2:$N$27,0),1),"")</f>
        <v>15</v>
      </c>
      <c r="CA244" s="67">
        <f t="shared" si="6"/>
        <v>7</v>
      </c>
      <c r="CB244" s="114" t="str">
        <f t="shared" si="7"/>
        <v/>
      </c>
      <c r="CC244" s="114"/>
    </row>
    <row r="245" ht="15.0" hidden="1" customHeight="1" outlineLevel="1">
      <c r="A245" s="59">
        <v>46214.59875239583</v>
      </c>
      <c r="B245" s="115" t="s">
        <v>409</v>
      </c>
      <c r="C245" s="54" t="s">
        <v>100</v>
      </c>
      <c r="D245" s="56" t="s">
        <v>319</v>
      </c>
      <c r="E245" s="69">
        <v>46216.375</v>
      </c>
      <c r="F245" s="73"/>
      <c r="G245" s="60" t="s">
        <v>3520</v>
      </c>
      <c r="H245" s="60" t="s">
        <v>3521</v>
      </c>
      <c r="I245" s="67" t="s">
        <v>360</v>
      </c>
      <c r="J245" s="79" t="s">
        <v>3522</v>
      </c>
      <c r="K245" s="67" t="s">
        <v>109</v>
      </c>
      <c r="L245" s="79" t="s">
        <v>3523</v>
      </c>
      <c r="M245" s="83" t="s">
        <v>3524</v>
      </c>
      <c r="N245" s="78">
        <v>33339.0</v>
      </c>
      <c r="O245" s="80" t="s">
        <v>37</v>
      </c>
      <c r="P245" s="70">
        <v>150135.0</v>
      </c>
      <c r="Q245" s="54"/>
      <c r="R245" s="84"/>
      <c r="S245" s="84"/>
      <c r="T245" s="54"/>
      <c r="U245" s="86"/>
      <c r="V245" s="54"/>
      <c r="W245" s="86"/>
      <c r="X245" s="54"/>
      <c r="Y245" s="78"/>
      <c r="Z245" s="54"/>
      <c r="AA245" s="70"/>
      <c r="AB245" s="83"/>
      <c r="AC245" s="83"/>
      <c r="AD245" s="83"/>
      <c r="AE245" s="83"/>
      <c r="AF245" s="83" t="s">
        <v>198</v>
      </c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54" t="s">
        <v>3525</v>
      </c>
      <c r="AR245" s="83" t="s">
        <v>2749</v>
      </c>
      <c r="AS245" s="83" t="s">
        <v>3526</v>
      </c>
      <c r="AT245" s="93" t="s">
        <v>3527</v>
      </c>
      <c r="AU245" s="93" t="s">
        <v>3527</v>
      </c>
      <c r="AV245" s="93" t="s">
        <v>3527</v>
      </c>
      <c r="AW245" s="83" t="s">
        <v>3528</v>
      </c>
      <c r="AX245" s="83">
        <v>8.0</v>
      </c>
      <c r="AY245" s="83" t="s">
        <v>842</v>
      </c>
      <c r="AZ245" s="83" t="s">
        <v>3529</v>
      </c>
      <c r="BA245" s="83" t="s">
        <v>3530</v>
      </c>
      <c r="BB245" s="83" t="s">
        <v>3531</v>
      </c>
      <c r="BC245" s="54" t="s">
        <v>41</v>
      </c>
      <c r="BD245" s="54" t="str">
        <f t="shared" si="1"/>
        <v>Miraflores</v>
      </c>
      <c r="BE245" s="67" t="s">
        <v>140</v>
      </c>
      <c r="BF245" s="67" t="s">
        <v>141</v>
      </c>
      <c r="BG245" s="67" t="s">
        <v>142</v>
      </c>
      <c r="BH245" s="67"/>
      <c r="BI245" s="67"/>
      <c r="BJ245" s="67"/>
      <c r="BK245" s="67"/>
      <c r="BL245" s="67" t="s">
        <v>283</v>
      </c>
      <c r="BM245" s="67" t="s">
        <v>146</v>
      </c>
      <c r="BN245" s="100">
        <v>94.0</v>
      </c>
      <c r="BO245" s="102" t="s">
        <v>148</v>
      </c>
      <c r="BP245" s="67" t="s">
        <v>141</v>
      </c>
      <c r="BQ245" s="79" t="s">
        <v>144</v>
      </c>
      <c r="BR245" s="67" t="s">
        <v>149</v>
      </c>
      <c r="BS245" s="102" t="s">
        <v>149</v>
      </c>
      <c r="BT245" s="106"/>
      <c r="BU245" s="107"/>
      <c r="BV245" s="108">
        <f t="shared" si="2"/>
        <v>46214</v>
      </c>
      <c r="BW245" s="108">
        <f t="shared" si="14"/>
        <v>46216</v>
      </c>
      <c r="BX245" s="102" t="str">
        <f t="shared" si="15"/>
        <v>09</v>
      </c>
      <c r="BY245" s="107">
        <f t="shared" si="5"/>
        <v>3</v>
      </c>
      <c r="BZ245" s="107">
        <f t="array" ref="BZ245">IF($A245&lt;&gt;"",INDEX(LISTA!$M$2:$N$27,MATCH($BC245,LISTA!$N$2:$N$27,0),1),"")</f>
        <v>1</v>
      </c>
      <c r="CA245" s="67">
        <f t="shared" si="6"/>
        <v>7</v>
      </c>
      <c r="CB245" s="114" t="str">
        <f t="shared" si="7"/>
        <v/>
      </c>
      <c r="CC245" s="114"/>
    </row>
    <row r="246" ht="15.0" hidden="1" customHeight="1" outlineLevel="1">
      <c r="A246" s="59">
        <v>46225.75361248842</v>
      </c>
      <c r="B246" s="115" t="s">
        <v>409</v>
      </c>
      <c r="C246" s="54" t="s">
        <v>100</v>
      </c>
      <c r="D246" s="56" t="s">
        <v>319</v>
      </c>
      <c r="E246" s="69">
        <v>46228.375</v>
      </c>
      <c r="F246" s="73"/>
      <c r="G246" s="60" t="s">
        <v>3532</v>
      </c>
      <c r="H246" s="60" t="s">
        <v>3533</v>
      </c>
      <c r="I246" s="67" t="s">
        <v>390</v>
      </c>
      <c r="J246" s="79" t="s">
        <v>3534</v>
      </c>
      <c r="K246" s="67" t="s">
        <v>109</v>
      </c>
      <c r="L246" s="79" t="s">
        <v>3535</v>
      </c>
      <c r="M246" s="83" t="s">
        <v>3536</v>
      </c>
      <c r="N246" s="78">
        <v>36259.0</v>
      </c>
      <c r="O246" s="80" t="s">
        <v>41</v>
      </c>
      <c r="P246" s="70">
        <v>140131.0</v>
      </c>
      <c r="Q246" s="54"/>
      <c r="R246" s="84"/>
      <c r="S246" s="84"/>
      <c r="T246" s="54"/>
      <c r="U246" s="86"/>
      <c r="V246" s="54"/>
      <c r="W246" s="86"/>
      <c r="X246" s="54"/>
      <c r="Y246" s="78"/>
      <c r="Z246" s="54"/>
      <c r="AA246" s="70"/>
      <c r="AB246" s="83"/>
      <c r="AC246" s="83"/>
      <c r="AD246" s="83"/>
      <c r="AE246" s="83"/>
      <c r="AF246" s="83" t="s">
        <v>2598</v>
      </c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54" t="s">
        <v>3537</v>
      </c>
      <c r="AR246" s="83" t="s">
        <v>3538</v>
      </c>
      <c r="AS246" s="83" t="s">
        <v>3539</v>
      </c>
      <c r="AT246" s="93" t="s">
        <v>3534</v>
      </c>
      <c r="AU246" s="93" t="s">
        <v>3534</v>
      </c>
      <c r="AV246" s="93" t="s">
        <v>3534</v>
      </c>
      <c r="AW246" s="83" t="s">
        <v>3540</v>
      </c>
      <c r="AX246" s="83">
        <v>1.0</v>
      </c>
      <c r="AY246" s="83">
        <v>1.0</v>
      </c>
      <c r="AZ246" s="83" t="s">
        <v>3541</v>
      </c>
      <c r="BA246" s="83" t="s">
        <v>3542</v>
      </c>
      <c r="BB246" s="83" t="s">
        <v>3543</v>
      </c>
      <c r="BC246" s="54" t="s">
        <v>41</v>
      </c>
      <c r="BD246" s="54" t="str">
        <f t="shared" si="1"/>
        <v>La Molina</v>
      </c>
      <c r="BE246" s="67" t="s">
        <v>140</v>
      </c>
      <c r="BF246" s="67" t="s">
        <v>141</v>
      </c>
      <c r="BG246" s="67" t="s">
        <v>142</v>
      </c>
      <c r="BH246" s="67"/>
      <c r="BI246" s="67"/>
      <c r="BJ246" s="67"/>
      <c r="BK246" s="67"/>
      <c r="BL246" s="67" t="s">
        <v>147</v>
      </c>
      <c r="BM246" s="67" t="s">
        <v>146</v>
      </c>
      <c r="BN246" s="100">
        <v>89.0</v>
      </c>
      <c r="BO246" s="102" t="s">
        <v>148</v>
      </c>
      <c r="BP246" s="67" t="s">
        <v>141</v>
      </c>
      <c r="BQ246" s="79" t="s">
        <v>141</v>
      </c>
      <c r="BR246" s="67" t="s">
        <v>149</v>
      </c>
      <c r="BS246" s="102">
        <v>1.0</v>
      </c>
      <c r="BT246" s="106"/>
      <c r="BU246" s="107"/>
      <c r="BV246" s="108">
        <f t="shared" si="2"/>
        <v>46225</v>
      </c>
      <c r="BW246" s="108">
        <f t="shared" si="14"/>
        <v>46228</v>
      </c>
      <c r="BX246" s="102" t="str">
        <f t="shared" si="15"/>
        <v>09</v>
      </c>
      <c r="BY246" s="107">
        <f t="shared" si="5"/>
        <v>3</v>
      </c>
      <c r="BZ246" s="107">
        <f t="array" ref="BZ246">IF($A246&lt;&gt;"",INDEX(LISTA!$M$2:$N$27,MATCH($BC246,LISTA!$N$2:$N$27,0),1),"")</f>
        <v>1</v>
      </c>
      <c r="CA246" s="67">
        <f t="shared" si="6"/>
        <v>7</v>
      </c>
      <c r="CB246" s="114" t="str">
        <f t="shared" si="7"/>
        <v/>
      </c>
      <c r="CC246" s="114"/>
    </row>
    <row r="247" ht="15.0" hidden="1" customHeight="1" outlineLevel="1">
      <c r="A247" s="59">
        <v>46221.582879525464</v>
      </c>
      <c r="B247" s="115" t="s">
        <v>412</v>
      </c>
      <c r="C247" s="54" t="s">
        <v>100</v>
      </c>
      <c r="D247" s="56" t="s">
        <v>101</v>
      </c>
      <c r="E247" s="69">
        <v>46228.375</v>
      </c>
      <c r="F247" s="73" t="s">
        <v>3544</v>
      </c>
      <c r="G247" s="60" t="s">
        <v>3545</v>
      </c>
      <c r="H247" s="60" t="s">
        <v>3546</v>
      </c>
      <c r="I247" s="67" t="s">
        <v>360</v>
      </c>
      <c r="J247" s="79" t="s">
        <v>3547</v>
      </c>
      <c r="K247" s="67" t="s">
        <v>109</v>
      </c>
      <c r="L247" s="79" t="s">
        <v>3548</v>
      </c>
      <c r="M247" s="83" t="s">
        <v>3549</v>
      </c>
      <c r="N247" s="78">
        <v>28857.0</v>
      </c>
      <c r="O247" s="80" t="s">
        <v>41</v>
      </c>
      <c r="P247" s="70">
        <v>130704.0</v>
      </c>
      <c r="Q247" s="54"/>
      <c r="R247" s="84"/>
      <c r="S247" s="84"/>
      <c r="T247" s="54"/>
      <c r="U247" s="86"/>
      <c r="V247" s="54"/>
      <c r="W247" s="86"/>
      <c r="X247" s="54"/>
      <c r="Y247" s="78"/>
      <c r="Z247" s="54"/>
      <c r="AA247" s="70"/>
      <c r="AB247" s="83"/>
      <c r="AC247" s="83"/>
      <c r="AD247" s="83"/>
      <c r="AE247" s="83"/>
      <c r="AF247" s="83" t="s">
        <v>198</v>
      </c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54" t="s">
        <v>3550</v>
      </c>
      <c r="AR247" s="83" t="s">
        <v>3551</v>
      </c>
      <c r="AS247" s="83" t="s">
        <v>3552</v>
      </c>
      <c r="AT247" s="93" t="s">
        <v>3547</v>
      </c>
      <c r="AU247" s="93" t="s">
        <v>3547</v>
      </c>
      <c r="AV247" s="93" t="s">
        <v>3547</v>
      </c>
      <c r="AW247" s="83" t="s">
        <v>3553</v>
      </c>
      <c r="AX247" s="83">
        <v>2.0</v>
      </c>
      <c r="AY247" s="83">
        <v>221.0</v>
      </c>
      <c r="AZ247" s="83" t="s">
        <v>3554</v>
      </c>
      <c r="BA247" s="83" t="s">
        <v>3555</v>
      </c>
      <c r="BB247" s="83" t="s">
        <v>3556</v>
      </c>
      <c r="BC247" s="54" t="s">
        <v>41</v>
      </c>
      <c r="BD247" s="54" t="str">
        <f t="shared" si="1"/>
        <v>Miraflores</v>
      </c>
      <c r="BE247" s="67" t="s">
        <v>140</v>
      </c>
      <c r="BF247" s="67" t="s">
        <v>144</v>
      </c>
      <c r="BG247" s="67" t="s">
        <v>142</v>
      </c>
      <c r="BH247" s="67"/>
      <c r="BI247" s="67"/>
      <c r="BJ247" s="67"/>
      <c r="BK247" s="67"/>
      <c r="BL247" s="67" t="s">
        <v>147</v>
      </c>
      <c r="BM247" s="67" t="s">
        <v>146</v>
      </c>
      <c r="BN247" s="100">
        <v>89.0</v>
      </c>
      <c r="BO247" s="102" t="s">
        <v>148</v>
      </c>
      <c r="BP247" s="67" t="s">
        <v>141</v>
      </c>
      <c r="BQ247" s="79" t="s">
        <v>141</v>
      </c>
      <c r="BR247" s="67" t="s">
        <v>149</v>
      </c>
      <c r="BS247" s="102" t="s">
        <v>149</v>
      </c>
      <c r="BT247" s="106"/>
      <c r="BU247" s="107"/>
      <c r="BV247" s="108">
        <f t="shared" si="2"/>
        <v>46221</v>
      </c>
      <c r="BW247" s="108">
        <f t="shared" si="14"/>
        <v>46228</v>
      </c>
      <c r="BX247" s="102" t="str">
        <f t="shared" si="15"/>
        <v>09</v>
      </c>
      <c r="BY247" s="107">
        <f t="shared" si="5"/>
        <v>3</v>
      </c>
      <c r="BZ247" s="107">
        <f t="array" ref="BZ247">IF($A247&lt;&gt;"",INDEX(LISTA!$M$2:$N$27,MATCH($BC247,LISTA!$N$2:$N$27,0),1),"")</f>
        <v>1</v>
      </c>
      <c r="CA247" s="67">
        <f t="shared" si="6"/>
        <v>7</v>
      </c>
      <c r="CB247" s="114" t="str">
        <f t="shared" si="7"/>
        <v/>
      </c>
      <c r="CC247" s="114"/>
    </row>
    <row r="248" ht="15.0" hidden="1" customHeight="1" outlineLevel="1">
      <c r="A248" s="59">
        <v>46214.41953746528</v>
      </c>
      <c r="B248" s="115" t="s">
        <v>412</v>
      </c>
      <c r="C248" s="54" t="s">
        <v>100</v>
      </c>
      <c r="D248" s="56" t="s">
        <v>319</v>
      </c>
      <c r="E248" s="69">
        <v>46216.375</v>
      </c>
      <c r="F248" s="73"/>
      <c r="G248" s="60" t="s">
        <v>3557</v>
      </c>
      <c r="H248" s="60" t="s">
        <v>3558</v>
      </c>
      <c r="I248" s="67" t="s">
        <v>355</v>
      </c>
      <c r="J248" s="79" t="s">
        <v>3559</v>
      </c>
      <c r="K248" s="67" t="s">
        <v>109</v>
      </c>
      <c r="L248" s="79" t="s">
        <v>3560</v>
      </c>
      <c r="M248" s="83" t="s">
        <v>3561</v>
      </c>
      <c r="N248" s="78">
        <v>36219.0</v>
      </c>
      <c r="O248" s="80" t="s">
        <v>31</v>
      </c>
      <c r="P248" s="156" t="s">
        <v>715</v>
      </c>
      <c r="Q248" s="54"/>
      <c r="R248" s="84"/>
      <c r="S248" s="84"/>
      <c r="T248" s="54"/>
      <c r="U248" s="86"/>
      <c r="V248" s="54"/>
      <c r="W248" s="86"/>
      <c r="X248" s="54"/>
      <c r="Y248" s="78"/>
      <c r="Z248" s="54"/>
      <c r="AA248" s="70"/>
      <c r="AB248" s="83"/>
      <c r="AC248" s="83"/>
      <c r="AD248" s="83"/>
      <c r="AE248" s="83"/>
      <c r="AF248" s="83" t="s">
        <v>1603</v>
      </c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54" t="s">
        <v>1901</v>
      </c>
      <c r="AR248" s="83" t="s">
        <v>3562</v>
      </c>
      <c r="AS248" s="83" t="s">
        <v>3563</v>
      </c>
      <c r="AT248" s="93" t="s">
        <v>3559</v>
      </c>
      <c r="AU248" s="93" t="s">
        <v>3559</v>
      </c>
      <c r="AV248" s="93" t="s">
        <v>3559</v>
      </c>
      <c r="AW248" s="83" t="s">
        <v>3564</v>
      </c>
      <c r="AX248" s="83">
        <v>2.0</v>
      </c>
      <c r="AY248" s="83" t="s">
        <v>174</v>
      </c>
      <c r="AZ248" s="83" t="s">
        <v>3565</v>
      </c>
      <c r="BA248" s="83" t="s">
        <v>3566</v>
      </c>
      <c r="BB248" s="83" t="s">
        <v>3567</v>
      </c>
      <c r="BC248" s="54" t="s">
        <v>41</v>
      </c>
      <c r="BD248" s="54" t="str">
        <f t="shared" si="1"/>
        <v>Santa Anita</v>
      </c>
      <c r="BE248" s="67" t="s">
        <v>140</v>
      </c>
      <c r="BF248" s="67" t="s">
        <v>144</v>
      </c>
      <c r="BG248" s="67" t="s">
        <v>142</v>
      </c>
      <c r="BH248" s="67"/>
      <c r="BI248" s="67"/>
      <c r="BJ248" s="67"/>
      <c r="BK248" s="67"/>
      <c r="BL248" s="67" t="s">
        <v>147</v>
      </c>
      <c r="BM248" s="67" t="s">
        <v>247</v>
      </c>
      <c r="BN248" s="100">
        <v>89.0</v>
      </c>
      <c r="BO248" s="102" t="s">
        <v>148</v>
      </c>
      <c r="BP248" s="67" t="s">
        <v>141</v>
      </c>
      <c r="BQ248" s="79" t="s">
        <v>141</v>
      </c>
      <c r="BR248" s="67" t="s">
        <v>149</v>
      </c>
      <c r="BS248" s="102">
        <v>1.0</v>
      </c>
      <c r="BT248" s="106"/>
      <c r="BU248" s="107"/>
      <c r="BV248" s="108">
        <f t="shared" si="2"/>
        <v>46214</v>
      </c>
      <c r="BW248" s="108">
        <f t="shared" si="14"/>
        <v>46216</v>
      </c>
      <c r="BX248" s="102" t="str">
        <f t="shared" si="15"/>
        <v>09</v>
      </c>
      <c r="BY248" s="107">
        <f t="shared" si="5"/>
        <v>3</v>
      </c>
      <c r="BZ248" s="107">
        <f t="array" ref="BZ248">IF($A248&lt;&gt;"",INDEX(LISTA!$M$2:$N$27,MATCH($BC248,LISTA!$N$2:$N$27,0),1),"")</f>
        <v>1</v>
      </c>
      <c r="CA248" s="67">
        <f t="shared" si="6"/>
        <v>7</v>
      </c>
      <c r="CB248" s="114" t="str">
        <f t="shared" si="7"/>
        <v/>
      </c>
      <c r="CC248" s="114"/>
    </row>
    <row r="249" ht="15.0" hidden="1" customHeight="1" outlineLevel="1">
      <c r="A249" s="59">
        <v>46216.65121297454</v>
      </c>
      <c r="B249" s="115" t="s">
        <v>412</v>
      </c>
      <c r="C249" s="54" t="s">
        <v>100</v>
      </c>
      <c r="D249" s="56" t="s">
        <v>101</v>
      </c>
      <c r="E249" s="69">
        <v>46217.458333333336</v>
      </c>
      <c r="F249" s="73" t="s">
        <v>3568</v>
      </c>
      <c r="G249" s="60" t="s">
        <v>3569</v>
      </c>
      <c r="H249" s="60" t="s">
        <v>3570</v>
      </c>
      <c r="I249" s="67" t="s">
        <v>350</v>
      </c>
      <c r="J249" s="79" t="s">
        <v>3571</v>
      </c>
      <c r="K249" s="67" t="s">
        <v>109</v>
      </c>
      <c r="L249" s="79" t="s">
        <v>3572</v>
      </c>
      <c r="M249" s="83" t="s">
        <v>3573</v>
      </c>
      <c r="N249" s="78">
        <v>34690.0</v>
      </c>
      <c r="O249" s="80" t="s">
        <v>44</v>
      </c>
      <c r="P249" s="70">
        <v>180101.0</v>
      </c>
      <c r="Q249" s="54"/>
      <c r="R249" s="84"/>
      <c r="S249" s="84"/>
      <c r="T249" s="54"/>
      <c r="U249" s="86"/>
      <c r="V249" s="54"/>
      <c r="W249" s="86"/>
      <c r="X249" s="54"/>
      <c r="Y249" s="78"/>
      <c r="Z249" s="54"/>
      <c r="AA249" s="70"/>
      <c r="AB249" s="83"/>
      <c r="AC249" s="83"/>
      <c r="AD249" s="83"/>
      <c r="AE249" s="83"/>
      <c r="AF249" s="83"/>
      <c r="AG249" s="83"/>
      <c r="AH249" s="83"/>
      <c r="AI249" s="83" t="s">
        <v>3065</v>
      </c>
      <c r="AJ249" s="83"/>
      <c r="AK249" s="83"/>
      <c r="AL249" s="83"/>
      <c r="AM249" s="83"/>
      <c r="AN249" s="83"/>
      <c r="AO249" s="83"/>
      <c r="AP249" s="83"/>
      <c r="AQ249" s="54" t="s">
        <v>3574</v>
      </c>
      <c r="AR249" s="83" t="s">
        <v>3575</v>
      </c>
      <c r="AS249" s="83" t="s">
        <v>3576</v>
      </c>
      <c r="AT249" s="93" t="s">
        <v>3571</v>
      </c>
      <c r="AU249" s="93" t="s">
        <v>3571</v>
      </c>
      <c r="AV249" s="93" t="s">
        <v>3571</v>
      </c>
      <c r="AW249" s="83" t="s">
        <v>3577</v>
      </c>
      <c r="AX249" s="83">
        <v>1.0</v>
      </c>
      <c r="AY249" s="83">
        <v>0.0</v>
      </c>
      <c r="AZ249" s="83" t="s">
        <v>3578</v>
      </c>
      <c r="BA249" s="83" t="s">
        <v>3579</v>
      </c>
      <c r="BB249" s="83" t="s">
        <v>3580</v>
      </c>
      <c r="BC249" s="54" t="s">
        <v>44</v>
      </c>
      <c r="BD249" s="54" t="str">
        <f t="shared" si="1"/>
        <v>Mariscal Nieto</v>
      </c>
      <c r="BE249" s="67" t="s">
        <v>140</v>
      </c>
      <c r="BF249" s="67" t="s">
        <v>141</v>
      </c>
      <c r="BG249" s="67" t="s">
        <v>142</v>
      </c>
      <c r="BH249" s="67"/>
      <c r="BI249" s="67"/>
      <c r="BJ249" s="67"/>
      <c r="BK249" s="67"/>
      <c r="BL249" s="67" t="s">
        <v>147</v>
      </c>
      <c r="BM249" s="67" t="s">
        <v>247</v>
      </c>
      <c r="BN249" s="100">
        <v>89.0</v>
      </c>
      <c r="BO249" s="102" t="s">
        <v>148</v>
      </c>
      <c r="BP249" s="67" t="s">
        <v>141</v>
      </c>
      <c r="BQ249" s="79" t="s">
        <v>141</v>
      </c>
      <c r="BR249" s="67" t="s">
        <v>149</v>
      </c>
      <c r="BS249" s="102">
        <v>1.0</v>
      </c>
      <c r="BT249" s="106"/>
      <c r="BU249" s="107"/>
      <c r="BV249" s="108">
        <f t="shared" si="2"/>
        <v>46216</v>
      </c>
      <c r="BW249" s="108">
        <f t="shared" si="14"/>
        <v>46217</v>
      </c>
      <c r="BX249" s="102" t="str">
        <f t="shared" si="15"/>
        <v>11</v>
      </c>
      <c r="BY249" s="107">
        <f t="shared" si="5"/>
        <v>3</v>
      </c>
      <c r="BZ249" s="107">
        <f t="array" ref="BZ249">IF($A249&lt;&gt;"",INDEX(LISTA!$M$2:$N$27,MATCH($BC249,LISTA!$N$2:$N$27,0),1),"")</f>
        <v>19</v>
      </c>
      <c r="CA249" s="67">
        <f t="shared" si="6"/>
        <v>7</v>
      </c>
      <c r="CB249" s="114" t="str">
        <f t="shared" si="7"/>
        <v/>
      </c>
      <c r="CC249" s="114"/>
    </row>
    <row r="250" ht="15.0" hidden="1" customHeight="1" outlineLevel="1">
      <c r="A250" s="59">
        <v>46234.75625431713</v>
      </c>
      <c r="B250" s="62" t="s">
        <v>410</v>
      </c>
      <c r="C250" s="54" t="s">
        <v>100</v>
      </c>
      <c r="D250" s="56" t="s">
        <v>319</v>
      </c>
      <c r="E250" s="69">
        <v>46238.375</v>
      </c>
      <c r="F250" s="73" t="s">
        <v>3581</v>
      </c>
      <c r="G250" s="60" t="s">
        <v>3582</v>
      </c>
      <c r="H250" s="60" t="s">
        <v>3583</v>
      </c>
      <c r="I250" s="67" t="s">
        <v>367</v>
      </c>
      <c r="J250" s="79" t="s">
        <v>3584</v>
      </c>
      <c r="K250" s="67" t="s">
        <v>109</v>
      </c>
      <c r="L250" s="79" t="s">
        <v>3585</v>
      </c>
      <c r="M250" s="83" t="s">
        <v>3586</v>
      </c>
      <c r="N250" s="78">
        <v>29152.0</v>
      </c>
      <c r="O250" s="80" t="s">
        <v>48</v>
      </c>
      <c r="P250" s="70">
        <v>210401.0</v>
      </c>
      <c r="Q250" s="54"/>
      <c r="R250" s="84"/>
      <c r="S250" s="84"/>
      <c r="T250" s="54"/>
      <c r="U250" s="86"/>
      <c r="V250" s="54"/>
      <c r="W250" s="86"/>
      <c r="X250" s="54"/>
      <c r="Y250" s="78"/>
      <c r="Z250" s="54"/>
      <c r="AA250" s="70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 t="s">
        <v>2669</v>
      </c>
      <c r="AM250" s="83"/>
      <c r="AN250" s="83"/>
      <c r="AO250" s="83"/>
      <c r="AP250" s="83"/>
      <c r="AQ250" s="54" t="s">
        <v>3587</v>
      </c>
      <c r="AR250" s="83" t="s">
        <v>125</v>
      </c>
      <c r="AS250" s="83" t="s">
        <v>3588</v>
      </c>
      <c r="AT250" s="93" t="s">
        <v>3584</v>
      </c>
      <c r="AU250" s="93" t="s">
        <v>3584</v>
      </c>
      <c r="AV250" s="93" t="s">
        <v>3584</v>
      </c>
      <c r="AW250" s="83" t="s">
        <v>3589</v>
      </c>
      <c r="AX250" s="83">
        <v>2.0</v>
      </c>
      <c r="AY250" s="83">
        <v>1.0</v>
      </c>
      <c r="AZ250" s="83" t="s">
        <v>3590</v>
      </c>
      <c r="BA250" s="83" t="s">
        <v>3591</v>
      </c>
      <c r="BB250" s="83" t="s">
        <v>3592</v>
      </c>
      <c r="BC250" s="54" t="s">
        <v>48</v>
      </c>
      <c r="BD250" s="54" t="str">
        <f t="shared" si="1"/>
        <v>Puno</v>
      </c>
      <c r="BE250" s="67" t="s">
        <v>140</v>
      </c>
      <c r="BF250" s="67" t="s">
        <v>141</v>
      </c>
      <c r="BG250" s="67" t="s">
        <v>142</v>
      </c>
      <c r="BH250" s="67"/>
      <c r="BI250" s="67"/>
      <c r="BJ250" s="67"/>
      <c r="BK250" s="67"/>
      <c r="BL250" s="67" t="s">
        <v>147</v>
      </c>
      <c r="BM250" s="67" t="s">
        <v>146</v>
      </c>
      <c r="BN250" s="100">
        <v>89.0</v>
      </c>
      <c r="BO250" s="102" t="s">
        <v>148</v>
      </c>
      <c r="BP250" s="67" t="s">
        <v>141</v>
      </c>
      <c r="BQ250" s="79" t="s">
        <v>141</v>
      </c>
      <c r="BR250" s="67" t="s">
        <v>149</v>
      </c>
      <c r="BS250" s="102">
        <v>1.0</v>
      </c>
      <c r="BT250" s="106"/>
      <c r="BU250" s="107"/>
      <c r="BV250" s="108">
        <f t="shared" si="2"/>
        <v>46234</v>
      </c>
      <c r="BW250" s="108">
        <f t="shared" si="14"/>
        <v>46238</v>
      </c>
      <c r="BX250" s="102" t="str">
        <f t="shared" si="15"/>
        <v>09</v>
      </c>
      <c r="BY250" s="107">
        <f t="shared" si="5"/>
        <v>3</v>
      </c>
      <c r="BZ250" s="107">
        <f t="array" ref="BZ250">IF($A250&lt;&gt;"",INDEX(LISTA!$M$2:$N$27,MATCH($BC250,LISTA!$N$2:$N$27,0),1),"")</f>
        <v>22</v>
      </c>
      <c r="CA250" s="67">
        <f t="shared" si="6"/>
        <v>7</v>
      </c>
      <c r="CB250" s="114" t="str">
        <f t="shared" si="7"/>
        <v/>
      </c>
      <c r="CC250" s="114"/>
    </row>
    <row r="251" ht="15.0" hidden="1" customHeight="1" outlineLevel="1">
      <c r="A251" s="59">
        <v>46213.551698587966</v>
      </c>
      <c r="B251" s="115" t="s">
        <v>410</v>
      </c>
      <c r="C251" s="54" t="s">
        <v>100</v>
      </c>
      <c r="D251" s="56" t="s">
        <v>319</v>
      </c>
      <c r="E251" s="69">
        <v>46214.583333333336</v>
      </c>
      <c r="F251" s="73" t="s">
        <v>3593</v>
      </c>
      <c r="G251" s="60" t="s">
        <v>3594</v>
      </c>
      <c r="H251" s="60" t="s">
        <v>3595</v>
      </c>
      <c r="I251" s="67" t="s">
        <v>392</v>
      </c>
      <c r="J251" s="79" t="s">
        <v>3596</v>
      </c>
      <c r="K251" s="67" t="s">
        <v>109</v>
      </c>
      <c r="L251" s="79" t="s">
        <v>3597</v>
      </c>
      <c r="M251" s="83" t="s">
        <v>3598</v>
      </c>
      <c r="N251" s="78">
        <v>32265.0</v>
      </c>
      <c r="O251" s="80" t="s">
        <v>48</v>
      </c>
      <c r="P251" s="70">
        <v>210301.0</v>
      </c>
      <c r="Q251" s="54"/>
      <c r="R251" s="84"/>
      <c r="S251" s="84"/>
      <c r="T251" s="54"/>
      <c r="U251" s="86"/>
      <c r="V251" s="54"/>
      <c r="W251" s="86"/>
      <c r="X251" s="54"/>
      <c r="Y251" s="78"/>
      <c r="Z251" s="54"/>
      <c r="AA251" s="70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 t="s">
        <v>1910</v>
      </c>
      <c r="AM251" s="83"/>
      <c r="AN251" s="83"/>
      <c r="AO251" s="83"/>
      <c r="AP251" s="83"/>
      <c r="AQ251" s="54" t="s">
        <v>3599</v>
      </c>
      <c r="AR251" s="83" t="s">
        <v>3600</v>
      </c>
      <c r="AS251" s="83" t="s">
        <v>3601</v>
      </c>
      <c r="AT251" s="93" t="s">
        <v>3596</v>
      </c>
      <c r="AU251" s="93" t="s">
        <v>3596</v>
      </c>
      <c r="AV251" s="93" t="s">
        <v>3596</v>
      </c>
      <c r="AW251" s="83" t="s">
        <v>3602</v>
      </c>
      <c r="AX251" s="83">
        <v>1.0</v>
      </c>
      <c r="AY251" s="83" t="s">
        <v>2519</v>
      </c>
      <c r="AZ251" s="83" t="s">
        <v>3603</v>
      </c>
      <c r="BA251" s="83" t="s">
        <v>3604</v>
      </c>
      <c r="BB251" s="83" t="s">
        <v>3605</v>
      </c>
      <c r="BC251" s="54" t="s">
        <v>48</v>
      </c>
      <c r="BD251" s="54" t="str">
        <f t="shared" si="1"/>
        <v>Carabaya</v>
      </c>
      <c r="BE251" s="67" t="s">
        <v>140</v>
      </c>
      <c r="BF251" s="67" t="s">
        <v>144</v>
      </c>
      <c r="BG251" s="67" t="s">
        <v>142</v>
      </c>
      <c r="BH251" s="67"/>
      <c r="BI251" s="67"/>
      <c r="BJ251" s="67"/>
      <c r="BK251" s="67"/>
      <c r="BL251" s="67" t="s">
        <v>147</v>
      </c>
      <c r="BM251" s="67" t="s">
        <v>146</v>
      </c>
      <c r="BN251" s="100">
        <v>89.0</v>
      </c>
      <c r="BO251" s="102" t="s">
        <v>148</v>
      </c>
      <c r="BP251" s="67" t="s">
        <v>141</v>
      </c>
      <c r="BQ251" s="79" t="s">
        <v>141</v>
      </c>
      <c r="BR251" s="67" t="s">
        <v>149</v>
      </c>
      <c r="BS251" s="102">
        <v>1.0</v>
      </c>
      <c r="BT251" s="106"/>
      <c r="BU251" s="107"/>
      <c r="BV251" s="108">
        <f t="shared" si="2"/>
        <v>46213</v>
      </c>
      <c r="BW251" s="108">
        <f t="shared" si="14"/>
        <v>46214</v>
      </c>
      <c r="BX251" s="102" t="str">
        <f t="shared" si="15"/>
        <v>14</v>
      </c>
      <c r="BY251" s="107">
        <f t="shared" si="5"/>
        <v>3</v>
      </c>
      <c r="BZ251" s="107">
        <f t="array" ref="BZ251">IF($A251&lt;&gt;"",INDEX(LISTA!$M$2:$N$27,MATCH($BC251,LISTA!$N$2:$N$27,0),1),"")</f>
        <v>22</v>
      </c>
      <c r="CA251" s="67">
        <f t="shared" si="6"/>
        <v>7</v>
      </c>
      <c r="CB251" s="114" t="str">
        <f t="shared" si="7"/>
        <v/>
      </c>
      <c r="CC251" s="114"/>
    </row>
    <row r="252" ht="15.0" hidden="1" customHeight="1" outlineLevel="1">
      <c r="A252" s="59">
        <v>46221.74589189814</v>
      </c>
      <c r="B252" s="115" t="s">
        <v>410</v>
      </c>
      <c r="C252" s="54" t="s">
        <v>100</v>
      </c>
      <c r="D252" s="56" t="s">
        <v>319</v>
      </c>
      <c r="E252" s="69">
        <v>46223.375</v>
      </c>
      <c r="F252" s="73" t="s">
        <v>3606</v>
      </c>
      <c r="G252" s="60" t="s">
        <v>3607</v>
      </c>
      <c r="H252" s="60" t="s">
        <v>3608</v>
      </c>
      <c r="I252" s="67" t="s">
        <v>355</v>
      </c>
      <c r="J252" s="79" t="s">
        <v>3609</v>
      </c>
      <c r="K252" s="67" t="s">
        <v>109</v>
      </c>
      <c r="L252" s="79" t="s">
        <v>3610</v>
      </c>
      <c r="M252" s="83" t="s">
        <v>3611</v>
      </c>
      <c r="N252" s="78">
        <v>37785.0</v>
      </c>
      <c r="O252" s="80" t="s">
        <v>44</v>
      </c>
      <c r="P252" s="70">
        <v>180300.0</v>
      </c>
      <c r="Q252" s="54"/>
      <c r="R252" s="84"/>
      <c r="S252" s="84"/>
      <c r="T252" s="54"/>
      <c r="U252" s="86"/>
      <c r="V252" s="54"/>
      <c r="W252" s="86"/>
      <c r="X252" s="54"/>
      <c r="Y252" s="78"/>
      <c r="Z252" s="54"/>
      <c r="AA252" s="70"/>
      <c r="AB252" s="83"/>
      <c r="AC252" s="83"/>
      <c r="AD252" s="83"/>
      <c r="AE252" s="83"/>
      <c r="AF252" s="83"/>
      <c r="AG252" s="83"/>
      <c r="AH252" s="83"/>
      <c r="AI252" s="83" t="s">
        <v>3440</v>
      </c>
      <c r="AJ252" s="83"/>
      <c r="AK252" s="83"/>
      <c r="AL252" s="83"/>
      <c r="AM252" s="83"/>
      <c r="AN252" s="83"/>
      <c r="AO252" s="83"/>
      <c r="AP252" s="83"/>
      <c r="AQ252" s="54" t="s">
        <v>200</v>
      </c>
      <c r="AR252" s="83" t="s">
        <v>3612</v>
      </c>
      <c r="AS252" s="83" t="s">
        <v>3613</v>
      </c>
      <c r="AT252" s="93" t="s">
        <v>3609</v>
      </c>
      <c r="AU252" s="93" t="s">
        <v>3609</v>
      </c>
      <c r="AV252" s="93" t="s">
        <v>3609</v>
      </c>
      <c r="AW252" s="83" t="s">
        <v>3614</v>
      </c>
      <c r="AX252" s="83">
        <v>1.0</v>
      </c>
      <c r="AY252" s="83" t="s">
        <v>174</v>
      </c>
      <c r="AZ252" s="83" t="s">
        <v>3615</v>
      </c>
      <c r="BA252" s="83" t="s">
        <v>3616</v>
      </c>
      <c r="BB252" s="83" t="s">
        <v>3617</v>
      </c>
      <c r="BC252" s="54" t="s">
        <v>44</v>
      </c>
      <c r="BD252" s="54" t="str">
        <f t="shared" si="1"/>
        <v>Ilo</v>
      </c>
      <c r="BE252" s="67" t="s">
        <v>140</v>
      </c>
      <c r="BF252" s="67" t="s">
        <v>141</v>
      </c>
      <c r="BG252" s="67" t="s">
        <v>142</v>
      </c>
      <c r="BH252" s="67"/>
      <c r="BI252" s="67"/>
      <c r="BJ252" s="67"/>
      <c r="BK252" s="67"/>
      <c r="BL252" s="67" t="s">
        <v>147</v>
      </c>
      <c r="BM252" s="67" t="s">
        <v>247</v>
      </c>
      <c r="BN252" s="100">
        <v>89.0</v>
      </c>
      <c r="BO252" s="102" t="s">
        <v>148</v>
      </c>
      <c r="BP252" s="67" t="s">
        <v>141</v>
      </c>
      <c r="BQ252" s="79" t="s">
        <v>141</v>
      </c>
      <c r="BR252" s="67" t="s">
        <v>149</v>
      </c>
      <c r="BS252" s="102">
        <v>1.0</v>
      </c>
      <c r="BT252" s="106"/>
      <c r="BU252" s="107"/>
      <c r="BV252" s="108">
        <f t="shared" si="2"/>
        <v>46221</v>
      </c>
      <c r="BW252" s="108">
        <f t="shared" si="14"/>
        <v>46223</v>
      </c>
      <c r="BX252" s="102" t="str">
        <f t="shared" si="15"/>
        <v>09</v>
      </c>
      <c r="BY252" s="107">
        <f t="shared" si="5"/>
        <v>3</v>
      </c>
      <c r="BZ252" s="107">
        <f t="array" ref="BZ252">IF($A252&lt;&gt;"",INDEX(LISTA!$M$2:$N$27,MATCH($BC252,LISTA!$N$2:$N$27,0),1),"")</f>
        <v>19</v>
      </c>
      <c r="CA252" s="67">
        <f t="shared" si="6"/>
        <v>7</v>
      </c>
      <c r="CB252" s="114" t="str">
        <f t="shared" si="7"/>
        <v/>
      </c>
      <c r="CC252" s="114"/>
    </row>
    <row r="253" ht="15.0" hidden="1" customHeight="1" outlineLevel="1">
      <c r="A253" s="59">
        <v>46223.682934247685</v>
      </c>
      <c r="B253" s="115" t="s">
        <v>410</v>
      </c>
      <c r="C253" s="54" t="s">
        <v>100</v>
      </c>
      <c r="D253" s="56" t="s">
        <v>101</v>
      </c>
      <c r="E253" s="69">
        <v>46225.375</v>
      </c>
      <c r="F253" s="73" t="s">
        <v>3618</v>
      </c>
      <c r="G253" s="60" t="s">
        <v>3619</v>
      </c>
      <c r="H253" s="60" t="s">
        <v>3620</v>
      </c>
      <c r="I253" s="67" t="s">
        <v>350</v>
      </c>
      <c r="J253" s="79" t="s">
        <v>3621</v>
      </c>
      <c r="K253" s="67" t="s">
        <v>109</v>
      </c>
      <c r="L253" s="79" t="s">
        <v>3622</v>
      </c>
      <c r="M253" s="83" t="s">
        <v>3623</v>
      </c>
      <c r="N253" s="78">
        <v>35507.0</v>
      </c>
      <c r="O253" s="80" t="s">
        <v>24</v>
      </c>
      <c r="P253" s="156" t="s">
        <v>1283</v>
      </c>
      <c r="Q253" s="54"/>
      <c r="R253" s="84" t="s">
        <v>1284</v>
      </c>
      <c r="S253" s="84"/>
      <c r="T253" s="54"/>
      <c r="U253" s="86"/>
      <c r="V253" s="54"/>
      <c r="W253" s="86"/>
      <c r="X253" s="54"/>
      <c r="Y253" s="78"/>
      <c r="Z253" s="54"/>
      <c r="AA253" s="70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54" t="s">
        <v>2697</v>
      </c>
      <c r="AR253" s="83" t="s">
        <v>3624</v>
      </c>
      <c r="AS253" s="83" t="s">
        <v>3625</v>
      </c>
      <c r="AT253" s="93" t="s">
        <v>3621</v>
      </c>
      <c r="AU253" s="93" t="s">
        <v>3621</v>
      </c>
      <c r="AV253" s="93" t="s">
        <v>3621</v>
      </c>
      <c r="AW253" s="83" t="s">
        <v>3626</v>
      </c>
      <c r="AX253" s="83">
        <v>2.0</v>
      </c>
      <c r="AY253" s="83">
        <v>0.0</v>
      </c>
      <c r="AZ253" s="83" t="s">
        <v>3627</v>
      </c>
      <c r="BA253" s="83" t="s">
        <v>3628</v>
      </c>
      <c r="BB253" s="83" t="s">
        <v>3629</v>
      </c>
      <c r="BC253" s="54" t="s">
        <v>24</v>
      </c>
      <c r="BD253" s="54" t="str">
        <f t="shared" si="1"/>
        <v>Santa</v>
      </c>
      <c r="BE253" s="67" t="s">
        <v>140</v>
      </c>
      <c r="BF253" s="67" t="s">
        <v>141</v>
      </c>
      <c r="BG253" s="67" t="s">
        <v>142</v>
      </c>
      <c r="BH253" s="67"/>
      <c r="BI253" s="67"/>
      <c r="BJ253" s="67"/>
      <c r="BK253" s="67"/>
      <c r="BL253" s="67" t="s">
        <v>145</v>
      </c>
      <c r="BM253" s="67" t="s">
        <v>146</v>
      </c>
      <c r="BN253" s="100">
        <v>150.0</v>
      </c>
      <c r="BO253" s="102" t="s">
        <v>615</v>
      </c>
      <c r="BP253" s="67" t="s">
        <v>141</v>
      </c>
      <c r="BQ253" s="79" t="s">
        <v>141</v>
      </c>
      <c r="BR253" s="67">
        <v>2.0</v>
      </c>
      <c r="BS253" s="102" t="s">
        <v>149</v>
      </c>
      <c r="BT253" s="106"/>
      <c r="BU253" s="107"/>
      <c r="BV253" s="108">
        <f t="shared" si="2"/>
        <v>46223</v>
      </c>
      <c r="BW253" s="108">
        <f t="shared" si="14"/>
        <v>46225</v>
      </c>
      <c r="BX253" s="102" t="str">
        <f t="shared" si="15"/>
        <v>09</v>
      </c>
      <c r="BY253" s="107">
        <f t="shared" si="5"/>
        <v>3</v>
      </c>
      <c r="BZ253" s="107">
        <f t="array" ref="BZ253">IF($A253&lt;&gt;"",INDEX(LISTA!$M$2:$N$27,MATCH($BC253,LISTA!$N$2:$N$27,0),1),"")</f>
        <v>5</v>
      </c>
      <c r="CA253" s="67">
        <f t="shared" si="6"/>
        <v>7</v>
      </c>
      <c r="CB253" s="114" t="str">
        <f t="shared" si="7"/>
        <v/>
      </c>
      <c r="CC253" s="114"/>
    </row>
    <row r="254" ht="15.0" hidden="1" customHeight="1" outlineLevel="1">
      <c r="A254" s="59">
        <v>46210.62385667824</v>
      </c>
      <c r="B254" s="115" t="s">
        <v>373</v>
      </c>
      <c r="C254" s="54" t="s">
        <v>100</v>
      </c>
      <c r="D254" s="56" t="s">
        <v>101</v>
      </c>
      <c r="E254" s="69">
        <v>46211.583333333336</v>
      </c>
      <c r="F254" s="73" t="s">
        <v>1184</v>
      </c>
      <c r="G254" s="60" t="s">
        <v>3630</v>
      </c>
      <c r="H254" s="60" t="s">
        <v>3631</v>
      </c>
      <c r="I254" s="67" t="s">
        <v>355</v>
      </c>
      <c r="J254" s="79" t="s">
        <v>3632</v>
      </c>
      <c r="K254" s="67" t="s">
        <v>109</v>
      </c>
      <c r="L254" s="79" t="s">
        <v>3633</v>
      </c>
      <c r="M254" s="83" t="s">
        <v>3634</v>
      </c>
      <c r="N254" s="78">
        <v>30525.0</v>
      </c>
      <c r="O254" s="80" t="s">
        <v>28</v>
      </c>
      <c r="P254" s="156" t="s">
        <v>3317</v>
      </c>
      <c r="Q254" s="54"/>
      <c r="R254" s="84"/>
      <c r="S254" s="84"/>
      <c r="T254" s="54"/>
      <c r="U254" s="86"/>
      <c r="V254" s="54"/>
      <c r="W254" s="86"/>
      <c r="X254" s="54"/>
      <c r="Y254" s="78"/>
      <c r="Z254" s="54"/>
      <c r="AA254" s="70"/>
      <c r="AB254" s="83"/>
      <c r="AC254" s="83"/>
      <c r="AD254" s="83"/>
      <c r="AE254" s="83"/>
      <c r="AF254" s="83" t="s">
        <v>972</v>
      </c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54" t="s">
        <v>3635</v>
      </c>
      <c r="AR254" s="83" t="s">
        <v>3636</v>
      </c>
      <c r="AS254" s="83" t="s">
        <v>3637</v>
      </c>
      <c r="AT254" s="93" t="s">
        <v>3638</v>
      </c>
      <c r="AU254" s="93" t="s">
        <v>3638</v>
      </c>
      <c r="AV254" s="93" t="s">
        <v>3639</v>
      </c>
      <c r="AW254" s="83" t="s">
        <v>3640</v>
      </c>
      <c r="AX254" s="83">
        <v>2.0</v>
      </c>
      <c r="AY254" s="83" t="s">
        <v>3641</v>
      </c>
      <c r="AZ254" s="83" t="s">
        <v>3642</v>
      </c>
      <c r="BA254" s="83" t="s">
        <v>3643</v>
      </c>
      <c r="BB254" s="83" t="s">
        <v>2229</v>
      </c>
      <c r="BC254" s="54" t="s">
        <v>41</v>
      </c>
      <c r="BD254" s="54" t="str">
        <f t="shared" si="1"/>
        <v>San Juan de Lurigancho</v>
      </c>
      <c r="BE254" s="67" t="s">
        <v>140</v>
      </c>
      <c r="BF254" s="67" t="s">
        <v>141</v>
      </c>
      <c r="BG254" s="67" t="s">
        <v>142</v>
      </c>
      <c r="BH254" s="67"/>
      <c r="BI254" s="67"/>
      <c r="BJ254" s="67"/>
      <c r="BK254" s="67"/>
      <c r="BL254" s="67" t="s">
        <v>145</v>
      </c>
      <c r="BM254" s="67" t="s">
        <v>146</v>
      </c>
      <c r="BN254" s="100">
        <v>150.0</v>
      </c>
      <c r="BO254" s="102" t="s">
        <v>615</v>
      </c>
      <c r="BP254" s="67" t="s">
        <v>144</v>
      </c>
      <c r="BQ254" s="79" t="s">
        <v>141</v>
      </c>
      <c r="BR254" s="67">
        <v>1.0</v>
      </c>
      <c r="BS254" s="102" t="s">
        <v>149</v>
      </c>
      <c r="BT254" s="106"/>
      <c r="BU254" s="107"/>
      <c r="BV254" s="108">
        <f t="shared" si="2"/>
        <v>46210</v>
      </c>
      <c r="BW254" s="108">
        <f t="shared" si="14"/>
        <v>46211</v>
      </c>
      <c r="BX254" s="102" t="str">
        <f t="shared" si="15"/>
        <v>14</v>
      </c>
      <c r="BY254" s="107">
        <f t="shared" si="5"/>
        <v>2</v>
      </c>
      <c r="BZ254" s="107">
        <f t="array" ref="BZ254">IF($A254&lt;&gt;"",INDEX(LISTA!$M$2:$N$27,MATCH($BC254,LISTA!$N$2:$N$27,0),1),"")</f>
        <v>1</v>
      </c>
      <c r="CA254" s="67">
        <f t="shared" si="6"/>
        <v>7</v>
      </c>
      <c r="CB254" s="114" t="str">
        <f t="shared" si="7"/>
        <v/>
      </c>
      <c r="CC254" s="114"/>
    </row>
    <row r="255" ht="15.0" hidden="1" customHeight="1" outlineLevel="1">
      <c r="A255" s="59">
        <v>46212.525793796296</v>
      </c>
      <c r="B255" s="115" t="s">
        <v>373</v>
      </c>
      <c r="C255" s="54" t="s">
        <v>100</v>
      </c>
      <c r="D255" s="56" t="s">
        <v>101</v>
      </c>
      <c r="E255" s="69">
        <v>46216.458333333336</v>
      </c>
      <c r="F255" s="73" t="s">
        <v>3644</v>
      </c>
      <c r="G255" s="60" t="s">
        <v>3645</v>
      </c>
      <c r="H255" s="60" t="s">
        <v>3646</v>
      </c>
      <c r="I255" s="67" t="s">
        <v>392</v>
      </c>
      <c r="J255" s="79" t="s">
        <v>3647</v>
      </c>
      <c r="K255" s="67" t="s">
        <v>109</v>
      </c>
      <c r="L255" s="79" t="s">
        <v>3648</v>
      </c>
      <c r="M255" s="83" t="s">
        <v>3649</v>
      </c>
      <c r="N255" s="78">
        <v>46213.0</v>
      </c>
      <c r="O255" s="80" t="s">
        <v>34</v>
      </c>
      <c r="P255" s="70">
        <v>110101.0</v>
      </c>
      <c r="Q255" s="54"/>
      <c r="R255" s="84"/>
      <c r="S255" s="84"/>
      <c r="T255" s="54"/>
      <c r="U255" s="86"/>
      <c r="V255" s="54"/>
      <c r="W255" s="86"/>
      <c r="X255" s="54"/>
      <c r="Y255" s="78"/>
      <c r="Z255" s="54"/>
      <c r="AA255" s="70" t="s">
        <v>525</v>
      </c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54" t="s">
        <v>3650</v>
      </c>
      <c r="AR255" s="83" t="s">
        <v>3651</v>
      </c>
      <c r="AS255" s="83" t="s">
        <v>3652</v>
      </c>
      <c r="AT255" s="93" t="s">
        <v>3647</v>
      </c>
      <c r="AU255" s="93" t="s">
        <v>3647</v>
      </c>
      <c r="AV255" s="93" t="s">
        <v>3647</v>
      </c>
      <c r="AW255" s="83" t="s">
        <v>3653</v>
      </c>
      <c r="AX255" s="83">
        <v>2.0</v>
      </c>
      <c r="AY255" s="83">
        <v>1.0</v>
      </c>
      <c r="AZ255" s="83" t="s">
        <v>3654</v>
      </c>
      <c r="BA255" s="83" t="s">
        <v>3655</v>
      </c>
      <c r="BB255" s="83" t="s">
        <v>3656</v>
      </c>
      <c r="BC255" s="54" t="s">
        <v>34</v>
      </c>
      <c r="BD255" s="70" t="str">
        <f t="shared" si="1"/>
        <v>Ica</v>
      </c>
      <c r="BE255" s="67" t="s">
        <v>143</v>
      </c>
      <c r="BF255" s="67" t="s">
        <v>144</v>
      </c>
      <c r="BG255" s="67" t="s">
        <v>142</v>
      </c>
      <c r="BH255" s="67"/>
      <c r="BI255" s="67"/>
      <c r="BJ255" s="67"/>
      <c r="BK255" s="67"/>
      <c r="BL255" s="67" t="s">
        <v>145</v>
      </c>
      <c r="BM255" s="67" t="s">
        <v>1897</v>
      </c>
      <c r="BN255" s="100">
        <v>99.0</v>
      </c>
      <c r="BO255" s="102" t="s">
        <v>1647</v>
      </c>
      <c r="BP255" s="67" t="s">
        <v>144</v>
      </c>
      <c r="BQ255" s="79" t="s">
        <v>141</v>
      </c>
      <c r="BR255" s="67" t="s">
        <v>149</v>
      </c>
      <c r="BS255" s="102" t="s">
        <v>149</v>
      </c>
      <c r="BT255" s="106"/>
      <c r="BU255" s="107"/>
      <c r="BV255" s="108">
        <f t="shared" si="2"/>
        <v>46212</v>
      </c>
      <c r="BW255" s="108">
        <f t="shared" si="14"/>
        <v>46216</v>
      </c>
      <c r="BX255" s="102" t="str">
        <f t="shared" si="15"/>
        <v>11</v>
      </c>
      <c r="BY255" s="107">
        <f t="shared" si="5"/>
        <v>2</v>
      </c>
      <c r="BZ255" s="107">
        <f t="array" ref="BZ255">IF($A255&lt;&gt;"",INDEX(LISTA!$M$2:$N$27,MATCH($BC255,LISTA!$N$2:$N$27,0),1),"")</f>
        <v>13</v>
      </c>
      <c r="CA255" s="67">
        <f t="shared" si="6"/>
        <v>7</v>
      </c>
      <c r="CB255" s="114" t="str">
        <f t="shared" si="7"/>
        <v/>
      </c>
      <c r="CC255" s="114"/>
    </row>
    <row r="256" ht="15.0" hidden="1" customHeight="1" outlineLevel="1">
      <c r="A256" s="59">
        <v>46219.77012480324</v>
      </c>
      <c r="B256" s="115" t="s">
        <v>373</v>
      </c>
      <c r="C256" s="54" t="s">
        <v>100</v>
      </c>
      <c r="D256" s="56" t="s">
        <v>319</v>
      </c>
      <c r="E256" s="69">
        <v>46220.583333333336</v>
      </c>
      <c r="F256" s="73" t="s">
        <v>3644</v>
      </c>
      <c r="G256" s="60" t="s">
        <v>3657</v>
      </c>
      <c r="H256" s="60" t="s">
        <v>3658</v>
      </c>
      <c r="I256" s="67" t="s">
        <v>363</v>
      </c>
      <c r="J256" s="79" t="s">
        <v>3659</v>
      </c>
      <c r="K256" s="67" t="s">
        <v>109</v>
      </c>
      <c r="L256" s="79" t="s">
        <v>3660</v>
      </c>
      <c r="M256" s="83" t="s">
        <v>3661</v>
      </c>
      <c r="N256" s="78">
        <v>29228.0</v>
      </c>
      <c r="O256" s="80" t="s">
        <v>43</v>
      </c>
      <c r="P256" s="70">
        <v>170101.0</v>
      </c>
      <c r="Q256" s="54"/>
      <c r="R256" s="84"/>
      <c r="S256" s="84"/>
      <c r="T256" s="54"/>
      <c r="U256" s="86"/>
      <c r="V256" s="54"/>
      <c r="W256" s="86"/>
      <c r="X256" s="54"/>
      <c r="Y256" s="78"/>
      <c r="Z256" s="54"/>
      <c r="AA256" s="70"/>
      <c r="AB256" s="83"/>
      <c r="AC256" s="83"/>
      <c r="AD256" s="83"/>
      <c r="AE256" s="83"/>
      <c r="AF256" s="83"/>
      <c r="AG256" s="83"/>
      <c r="AH256" s="83" t="s">
        <v>3662</v>
      </c>
      <c r="AI256" s="83"/>
      <c r="AJ256" s="83"/>
      <c r="AK256" s="83"/>
      <c r="AL256" s="83"/>
      <c r="AM256" s="83"/>
      <c r="AN256" s="83"/>
      <c r="AO256" s="83"/>
      <c r="AP256" s="83"/>
      <c r="AQ256" s="54" t="s">
        <v>3663</v>
      </c>
      <c r="AR256" s="83" t="s">
        <v>3664</v>
      </c>
      <c r="AS256" s="83" t="s">
        <v>3665</v>
      </c>
      <c r="AT256" s="93" t="s">
        <v>3659</v>
      </c>
      <c r="AU256" s="93" t="s">
        <v>3659</v>
      </c>
      <c r="AV256" s="93" t="s">
        <v>3659</v>
      </c>
      <c r="AW256" s="83" t="s">
        <v>3666</v>
      </c>
      <c r="AX256" s="83">
        <v>1.0</v>
      </c>
      <c r="AY256" s="83">
        <v>1.0</v>
      </c>
      <c r="AZ256" s="83" t="s">
        <v>3667</v>
      </c>
      <c r="BA256" s="161" t="s">
        <v>3668</v>
      </c>
      <c r="BB256" s="83" t="s">
        <v>3669</v>
      </c>
      <c r="BC256" s="54" t="s">
        <v>43</v>
      </c>
      <c r="BD256" s="54" t="str">
        <f t="shared" si="1"/>
        <v>Tambopata</v>
      </c>
      <c r="BE256" s="67" t="s">
        <v>143</v>
      </c>
      <c r="BF256" s="67" t="s">
        <v>141</v>
      </c>
      <c r="BG256" s="67" t="s">
        <v>142</v>
      </c>
      <c r="BH256" s="67"/>
      <c r="BI256" s="67"/>
      <c r="BJ256" s="67"/>
      <c r="BK256" s="67"/>
      <c r="BL256" s="67" t="s">
        <v>147</v>
      </c>
      <c r="BM256" s="67" t="s">
        <v>1897</v>
      </c>
      <c r="BN256" s="100">
        <v>44.0</v>
      </c>
      <c r="BO256" s="102" t="s">
        <v>1647</v>
      </c>
      <c r="BP256" s="67" t="s">
        <v>141</v>
      </c>
      <c r="BQ256" s="79" t="s">
        <v>141</v>
      </c>
      <c r="BR256" s="67" t="s">
        <v>149</v>
      </c>
      <c r="BS256" s="102" t="s">
        <v>149</v>
      </c>
      <c r="BT256" s="106"/>
      <c r="BU256" s="107"/>
      <c r="BV256" s="108">
        <f t="shared" si="2"/>
        <v>46219</v>
      </c>
      <c r="BW256" s="108">
        <v>46220.0</v>
      </c>
      <c r="BX256" s="102" t="str">
        <f t="shared" si="15"/>
        <v>14</v>
      </c>
      <c r="BY256" s="107">
        <f t="shared" si="5"/>
        <v>2</v>
      </c>
      <c r="BZ256" s="107">
        <f t="array" ref="BZ256">IF($A256&lt;&gt;"",INDEX(LISTA!$M$2:$N$27,MATCH($BC256,LISTA!$N$2:$N$27,0),1),"")</f>
        <v>18</v>
      </c>
      <c r="CA256" s="67">
        <f t="shared" si="6"/>
        <v>7</v>
      </c>
      <c r="CB256" s="114" t="str">
        <f t="shared" si="7"/>
        <v/>
      </c>
      <c r="CC256" s="114"/>
    </row>
    <row r="257" ht="15.0" hidden="1" customHeight="1" outlineLevel="1">
      <c r="A257" s="59">
        <v>46221.44497615741</v>
      </c>
      <c r="B257" s="115" t="s">
        <v>373</v>
      </c>
      <c r="C257" s="54" t="s">
        <v>100</v>
      </c>
      <c r="D257" s="56" t="s">
        <v>319</v>
      </c>
      <c r="E257" s="69">
        <v>46223.458333333336</v>
      </c>
      <c r="F257" s="73" t="s">
        <v>3670</v>
      </c>
      <c r="G257" s="60" t="s">
        <v>3671</v>
      </c>
      <c r="H257" s="60" t="s">
        <v>3672</v>
      </c>
      <c r="I257" s="67" t="s">
        <v>293</v>
      </c>
      <c r="J257" s="79" t="s">
        <v>3673</v>
      </c>
      <c r="K257" s="67" t="s">
        <v>109</v>
      </c>
      <c r="L257" s="79" t="s">
        <v>3674</v>
      </c>
      <c r="M257" s="83" t="s">
        <v>3675</v>
      </c>
      <c r="N257" s="78">
        <v>23267.0</v>
      </c>
      <c r="O257" s="80" t="s">
        <v>31</v>
      </c>
      <c r="P257" s="156" t="s">
        <v>3676</v>
      </c>
      <c r="Q257" s="54"/>
      <c r="R257" s="84"/>
      <c r="S257" s="84"/>
      <c r="T257" s="54"/>
      <c r="U257" s="86"/>
      <c r="V257" s="54"/>
      <c r="W257" s="86"/>
      <c r="X257" s="54"/>
      <c r="Y257" s="78"/>
      <c r="Z257" s="54"/>
      <c r="AA257" s="70"/>
      <c r="AB257" s="83"/>
      <c r="AC257" s="83"/>
      <c r="AD257" s="83"/>
      <c r="AE257" s="83"/>
      <c r="AF257" s="83" t="s">
        <v>3042</v>
      </c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54" t="s">
        <v>3677</v>
      </c>
      <c r="AR257" s="83" t="s">
        <v>3678</v>
      </c>
      <c r="AS257" s="83" t="s">
        <v>3679</v>
      </c>
      <c r="AT257" s="93" t="s">
        <v>3673</v>
      </c>
      <c r="AU257" s="93" t="s">
        <v>3673</v>
      </c>
      <c r="AV257" s="93" t="s">
        <v>3673</v>
      </c>
      <c r="AW257" s="83" t="s">
        <v>3680</v>
      </c>
      <c r="AX257" s="83">
        <v>3.0</v>
      </c>
      <c r="AY257" s="83">
        <v>1.0</v>
      </c>
      <c r="AZ257" s="83" t="s">
        <v>3681</v>
      </c>
      <c r="BA257" s="83" t="s">
        <v>3682</v>
      </c>
      <c r="BB257" s="83" t="s">
        <v>3683</v>
      </c>
      <c r="BC257" s="54" t="s">
        <v>41</v>
      </c>
      <c r="BD257" s="54" t="str">
        <f t="shared" si="1"/>
        <v>Villa El Salvador</v>
      </c>
      <c r="BE257" s="67" t="s">
        <v>140</v>
      </c>
      <c r="BF257" s="67" t="s">
        <v>144</v>
      </c>
      <c r="BG257" s="67" t="s">
        <v>142</v>
      </c>
      <c r="BH257" s="67"/>
      <c r="BI257" s="67"/>
      <c r="BJ257" s="67"/>
      <c r="BK257" s="67"/>
      <c r="BL257" s="67" t="s">
        <v>283</v>
      </c>
      <c r="BM257" s="67" t="s">
        <v>146</v>
      </c>
      <c r="BN257" s="100">
        <v>74.0</v>
      </c>
      <c r="BO257" s="102" t="s">
        <v>615</v>
      </c>
      <c r="BP257" s="67" t="s">
        <v>141</v>
      </c>
      <c r="BQ257" s="79" t="s">
        <v>144</v>
      </c>
      <c r="BR257" s="67" t="s">
        <v>149</v>
      </c>
      <c r="BS257" s="102" t="s">
        <v>149</v>
      </c>
      <c r="BT257" s="106"/>
      <c r="BU257" s="107"/>
      <c r="BV257" s="108">
        <f t="shared" si="2"/>
        <v>46221</v>
      </c>
      <c r="BW257" s="108">
        <f t="shared" ref="BW257:BW1148" si="16">IF($E257&lt;&gt;"",DATE(YEAR($E257),MONTH($E257),DAY($E257)),"")</f>
        <v>46223</v>
      </c>
      <c r="BX257" s="102" t="str">
        <f t="shared" si="15"/>
        <v>11</v>
      </c>
      <c r="BY257" s="107">
        <f t="shared" si="5"/>
        <v>2</v>
      </c>
      <c r="BZ257" s="107">
        <f t="array" ref="BZ257">IF($A257&lt;&gt;"",INDEX(LISTA!$M$2:$N$27,MATCH($BC257,LISTA!$N$2:$N$27,0),1),"")</f>
        <v>1</v>
      </c>
      <c r="CA257" s="67">
        <f t="shared" si="6"/>
        <v>7</v>
      </c>
      <c r="CB257" s="114" t="str">
        <f t="shared" si="7"/>
        <v/>
      </c>
      <c r="CC257" s="114"/>
    </row>
    <row r="258" ht="15.0" hidden="1" customHeight="1" outlineLevel="1">
      <c r="A258" s="59">
        <v>46221.64931057871</v>
      </c>
      <c r="B258" s="115" t="s">
        <v>373</v>
      </c>
      <c r="C258" s="54" t="s">
        <v>100</v>
      </c>
      <c r="D258" s="56" t="s">
        <v>319</v>
      </c>
      <c r="E258" s="69"/>
      <c r="F258" s="73" t="s">
        <v>3644</v>
      </c>
      <c r="G258" s="60" t="s">
        <v>3684</v>
      </c>
      <c r="H258" s="60" t="s">
        <v>3685</v>
      </c>
      <c r="I258" s="67" t="s">
        <v>107</v>
      </c>
      <c r="J258" s="79" t="s">
        <v>3686</v>
      </c>
      <c r="K258" s="67" t="s">
        <v>109</v>
      </c>
      <c r="L258" s="79" t="s">
        <v>3687</v>
      </c>
      <c r="M258" s="83" t="s">
        <v>3688</v>
      </c>
      <c r="N258" s="78">
        <v>35874.0</v>
      </c>
      <c r="O258" s="80" t="s">
        <v>37</v>
      </c>
      <c r="P258" s="70">
        <v>140126.0</v>
      </c>
      <c r="Q258" s="54"/>
      <c r="R258" s="84"/>
      <c r="S258" s="84"/>
      <c r="T258" s="54"/>
      <c r="U258" s="86"/>
      <c r="V258" s="54"/>
      <c r="W258" s="86"/>
      <c r="X258" s="54"/>
      <c r="Y258" s="78"/>
      <c r="Z258" s="54"/>
      <c r="AA258" s="70"/>
      <c r="AB258" s="83"/>
      <c r="AC258" s="83"/>
      <c r="AD258" s="83"/>
      <c r="AE258" s="83"/>
      <c r="AF258" s="83" t="s">
        <v>3042</v>
      </c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54" t="s">
        <v>1416</v>
      </c>
      <c r="AR258" s="83" t="s">
        <v>3689</v>
      </c>
      <c r="AS258" s="83" t="s">
        <v>3690</v>
      </c>
      <c r="AT258" s="93" t="s">
        <v>3691</v>
      </c>
      <c r="AU258" s="93" t="s">
        <v>3691</v>
      </c>
      <c r="AV258" s="93" t="s">
        <v>3692</v>
      </c>
      <c r="AW258" s="83" t="s">
        <v>3693</v>
      </c>
      <c r="AX258" s="83">
        <v>2.0</v>
      </c>
      <c r="AY258" s="83">
        <v>1.0</v>
      </c>
      <c r="AZ258" s="83" t="s">
        <v>3694</v>
      </c>
      <c r="BA258" s="83" t="s">
        <v>3695</v>
      </c>
      <c r="BB258" s="83" t="s">
        <v>3696</v>
      </c>
      <c r="BC258" s="54" t="s">
        <v>41</v>
      </c>
      <c r="BD258" s="54" t="str">
        <f t="shared" si="1"/>
        <v>Villa El Salvador</v>
      </c>
      <c r="BE258" s="67" t="s">
        <v>140</v>
      </c>
      <c r="BF258" s="67" t="s">
        <v>144</v>
      </c>
      <c r="BG258" s="67" t="s">
        <v>142</v>
      </c>
      <c r="BH258" s="67"/>
      <c r="BI258" s="67"/>
      <c r="BJ258" s="67"/>
      <c r="BK258" s="67"/>
      <c r="BL258" s="67" t="s">
        <v>145</v>
      </c>
      <c r="BM258" s="67" t="s">
        <v>146</v>
      </c>
      <c r="BN258" s="100">
        <v>170.0</v>
      </c>
      <c r="BO258" s="102" t="s">
        <v>148</v>
      </c>
      <c r="BP258" s="67" t="s">
        <v>144</v>
      </c>
      <c r="BQ258" s="79" t="s">
        <v>141</v>
      </c>
      <c r="BR258" s="67" t="s">
        <v>149</v>
      </c>
      <c r="BS258" s="102">
        <v>1.0</v>
      </c>
      <c r="BT258" s="106"/>
      <c r="BU258" s="107"/>
      <c r="BV258" s="108">
        <f t="shared" si="2"/>
        <v>46221</v>
      </c>
      <c r="BW258" s="108" t="str">
        <f t="shared" si="16"/>
        <v/>
      </c>
      <c r="BX258" s="102" t="str">
        <f t="shared" si="15"/>
        <v/>
      </c>
      <c r="BY258" s="107">
        <f t="shared" si="5"/>
        <v>2</v>
      </c>
      <c r="BZ258" s="107">
        <f t="array" ref="BZ258">IF($A258&lt;&gt;"",INDEX(LISTA!$M$2:$N$27,MATCH($BC258,LISTA!$N$2:$N$27,0),1),"")</f>
        <v>1</v>
      </c>
      <c r="CA258" s="67">
        <f t="shared" si="6"/>
        <v>7</v>
      </c>
      <c r="CB258" s="114" t="str">
        <f t="shared" si="7"/>
        <v/>
      </c>
      <c r="CC258" s="114"/>
    </row>
    <row r="259" ht="15.0" hidden="1" customHeight="1" outlineLevel="1">
      <c r="A259" s="59">
        <v>46221.67035046296</v>
      </c>
      <c r="B259" s="115" t="s">
        <v>375</v>
      </c>
      <c r="C259" s="54" t="s">
        <v>100</v>
      </c>
      <c r="D259" s="56" t="s">
        <v>319</v>
      </c>
      <c r="E259" s="69"/>
      <c r="F259" s="73" t="s">
        <v>3697</v>
      </c>
      <c r="G259" s="60" t="s">
        <v>3698</v>
      </c>
      <c r="H259" s="60" t="s">
        <v>3699</v>
      </c>
      <c r="I259" s="67" t="s">
        <v>355</v>
      </c>
      <c r="J259" s="79" t="s">
        <v>3700</v>
      </c>
      <c r="K259" s="67" t="s">
        <v>109</v>
      </c>
      <c r="L259" s="79" t="s">
        <v>3701</v>
      </c>
      <c r="M259" s="83" t="s">
        <v>3702</v>
      </c>
      <c r="N259" s="78">
        <v>31756.0</v>
      </c>
      <c r="O259" s="80" t="s">
        <v>48</v>
      </c>
      <c r="P259" s="70">
        <v>210000.0</v>
      </c>
      <c r="Q259" s="54"/>
      <c r="R259" s="84"/>
      <c r="S259" s="84"/>
      <c r="T259" s="54"/>
      <c r="U259" s="86"/>
      <c r="V259" s="54"/>
      <c r="W259" s="86"/>
      <c r="X259" s="54"/>
      <c r="Y259" s="78"/>
      <c r="Z259" s="54"/>
      <c r="AA259" s="70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 t="s">
        <v>892</v>
      </c>
      <c r="AM259" s="83"/>
      <c r="AN259" s="83"/>
      <c r="AO259" s="83"/>
      <c r="AP259" s="83"/>
      <c r="AQ259" s="54" t="s">
        <v>1911</v>
      </c>
      <c r="AR259" s="83" t="s">
        <v>3703</v>
      </c>
      <c r="AS259" s="83" t="s">
        <v>3704</v>
      </c>
      <c r="AT259" s="93" t="s">
        <v>3700</v>
      </c>
      <c r="AU259" s="93" t="s">
        <v>3700</v>
      </c>
      <c r="AV259" s="93" t="s">
        <v>3700</v>
      </c>
      <c r="AW259" s="83" t="s">
        <v>3705</v>
      </c>
      <c r="AX259" s="83">
        <v>2.0</v>
      </c>
      <c r="AY259" s="83" t="s">
        <v>174</v>
      </c>
      <c r="AZ259" s="83" t="s">
        <v>3706</v>
      </c>
      <c r="BA259" s="83" t="s">
        <v>3707</v>
      </c>
      <c r="BB259" s="83" t="s">
        <v>3708</v>
      </c>
      <c r="BC259" s="54" t="s">
        <v>48</v>
      </c>
      <c r="BD259" s="54" t="str">
        <f t="shared" si="1"/>
        <v>San Román</v>
      </c>
      <c r="BE259" s="67" t="s">
        <v>140</v>
      </c>
      <c r="BF259" s="67" t="s">
        <v>141</v>
      </c>
      <c r="BG259" s="67" t="s">
        <v>142</v>
      </c>
      <c r="BH259" s="67"/>
      <c r="BI259" s="67"/>
      <c r="BJ259" s="67"/>
      <c r="BK259" s="67"/>
      <c r="BL259" s="67" t="s">
        <v>147</v>
      </c>
      <c r="BM259" s="67" t="s">
        <v>1172</v>
      </c>
      <c r="BN259" s="100">
        <v>69.0</v>
      </c>
      <c r="BO259" s="102" t="s">
        <v>615</v>
      </c>
      <c r="BP259" s="67" t="s">
        <v>141</v>
      </c>
      <c r="BQ259" s="79" t="s">
        <v>141</v>
      </c>
      <c r="BR259" s="67" t="s">
        <v>149</v>
      </c>
      <c r="BS259" s="102" t="s">
        <v>149</v>
      </c>
      <c r="BT259" s="106"/>
      <c r="BU259" s="107"/>
      <c r="BV259" s="108">
        <f t="shared" si="2"/>
        <v>46221</v>
      </c>
      <c r="BW259" s="108" t="str">
        <f t="shared" si="16"/>
        <v/>
      </c>
      <c r="BX259" s="102" t="str">
        <f t="shared" si="15"/>
        <v/>
      </c>
      <c r="BY259" s="107">
        <f t="shared" si="5"/>
        <v>2</v>
      </c>
      <c r="BZ259" s="107">
        <f t="array" ref="BZ259">IF($A259&lt;&gt;"",INDEX(LISTA!$M$2:$N$27,MATCH($BC259,LISTA!$N$2:$N$27,0),1),"")</f>
        <v>22</v>
      </c>
      <c r="CA259" s="67">
        <f t="shared" si="6"/>
        <v>7</v>
      </c>
      <c r="CB259" s="114" t="str">
        <f t="shared" si="7"/>
        <v/>
      </c>
      <c r="CC259" s="114"/>
    </row>
    <row r="260" ht="15.0" hidden="1" customHeight="1" outlineLevel="1">
      <c r="A260" s="59">
        <v>46221.50740372685</v>
      </c>
      <c r="B260" s="115" t="s">
        <v>393</v>
      </c>
      <c r="C260" s="54" t="s">
        <v>100</v>
      </c>
      <c r="D260" s="56" t="s">
        <v>319</v>
      </c>
      <c r="E260" s="69">
        <v>46224.458333333336</v>
      </c>
      <c r="F260" s="73" t="s">
        <v>3709</v>
      </c>
      <c r="G260" s="60" t="s">
        <v>3710</v>
      </c>
      <c r="H260" s="60" t="s">
        <v>3711</v>
      </c>
      <c r="I260" s="67" t="s">
        <v>363</v>
      </c>
      <c r="J260" s="79" t="s">
        <v>3712</v>
      </c>
      <c r="K260" s="67" t="s">
        <v>109</v>
      </c>
      <c r="L260" s="79" t="s">
        <v>3713</v>
      </c>
      <c r="M260" s="83" t="s">
        <v>3714</v>
      </c>
      <c r="N260" s="78">
        <v>27886.0</v>
      </c>
      <c r="O260" s="80" t="s">
        <v>29</v>
      </c>
      <c r="P260" s="156" t="s">
        <v>3715</v>
      </c>
      <c r="Q260" s="54"/>
      <c r="R260" s="84"/>
      <c r="S260" s="84"/>
      <c r="T260" s="54"/>
      <c r="U260" s="86"/>
      <c r="V260" s="54"/>
      <c r="W260" s="86"/>
      <c r="X260" s="54"/>
      <c r="Y260" s="78"/>
      <c r="Z260" s="54"/>
      <c r="AA260" s="70"/>
      <c r="AB260" s="83"/>
      <c r="AC260" s="83"/>
      <c r="AD260" s="83"/>
      <c r="AE260" s="83"/>
      <c r="AF260" s="83" t="s">
        <v>972</v>
      </c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54" t="s">
        <v>3716</v>
      </c>
      <c r="AR260" s="83" t="s">
        <v>3467</v>
      </c>
      <c r="AS260" s="83" t="s">
        <v>3717</v>
      </c>
      <c r="AT260" s="93" t="s">
        <v>3712</v>
      </c>
      <c r="AU260" s="93" t="s">
        <v>3712</v>
      </c>
      <c r="AV260" s="93" t="s">
        <v>3712</v>
      </c>
      <c r="AW260" s="83" t="s">
        <v>3718</v>
      </c>
      <c r="AX260" s="83">
        <v>1.0</v>
      </c>
      <c r="AY260" s="83">
        <v>0.0</v>
      </c>
      <c r="AZ260" s="83" t="s">
        <v>3719</v>
      </c>
      <c r="BA260" s="83" t="s">
        <v>3720</v>
      </c>
      <c r="BB260" s="83" t="s">
        <v>3721</v>
      </c>
      <c r="BC260" s="54" t="s">
        <v>41</v>
      </c>
      <c r="BD260" s="54" t="str">
        <f t="shared" si="1"/>
        <v>San Juan de Lurigancho</v>
      </c>
      <c r="BE260" s="67" t="s">
        <v>140</v>
      </c>
      <c r="BF260" s="67" t="s">
        <v>141</v>
      </c>
      <c r="BG260" s="67" t="s">
        <v>142</v>
      </c>
      <c r="BH260" s="67"/>
      <c r="BI260" s="67"/>
      <c r="BJ260" s="67"/>
      <c r="BK260" s="67"/>
      <c r="BL260" s="67" t="s">
        <v>147</v>
      </c>
      <c r="BM260" s="67" t="s">
        <v>146</v>
      </c>
      <c r="BN260" s="100">
        <v>89.0</v>
      </c>
      <c r="BO260" s="102" t="s">
        <v>148</v>
      </c>
      <c r="BP260" s="67" t="s">
        <v>141</v>
      </c>
      <c r="BQ260" s="79" t="s">
        <v>141</v>
      </c>
      <c r="BR260" s="67" t="s">
        <v>149</v>
      </c>
      <c r="BS260" s="102" t="s">
        <v>149</v>
      </c>
      <c r="BT260" s="106"/>
      <c r="BU260" s="107"/>
      <c r="BV260" s="108">
        <f t="shared" si="2"/>
        <v>46221</v>
      </c>
      <c r="BW260" s="108">
        <f t="shared" si="16"/>
        <v>46224</v>
      </c>
      <c r="BX260" s="102" t="str">
        <f t="shared" si="15"/>
        <v>11</v>
      </c>
      <c r="BY260" s="107">
        <f t="shared" si="5"/>
        <v>2</v>
      </c>
      <c r="BZ260" s="107">
        <f t="array" ref="BZ260">IF($A260&lt;&gt;"",INDEX(LISTA!$M$2:$N$27,MATCH($BC260,LISTA!$N$2:$N$27,0),1),"")</f>
        <v>1</v>
      </c>
      <c r="CA260" s="67">
        <f t="shared" si="6"/>
        <v>7</v>
      </c>
      <c r="CB260" s="114" t="str">
        <f t="shared" si="7"/>
        <v/>
      </c>
      <c r="CC260" s="114"/>
    </row>
    <row r="261" ht="15.0" hidden="1" customHeight="1" outlineLevel="1">
      <c r="A261" s="59">
        <v>46228.489792824075</v>
      </c>
      <c r="B261" s="115" t="s">
        <v>379</v>
      </c>
      <c r="C261" s="54" t="s">
        <v>100</v>
      </c>
      <c r="D261" s="56" t="s">
        <v>101</v>
      </c>
      <c r="E261" s="69">
        <v>46235.583333333336</v>
      </c>
      <c r="F261" s="73"/>
      <c r="G261" s="60" t="s">
        <v>3722</v>
      </c>
      <c r="H261" s="60" t="s">
        <v>3723</v>
      </c>
      <c r="I261" s="67" t="s">
        <v>394</v>
      </c>
      <c r="J261" s="79" t="s">
        <v>3724</v>
      </c>
      <c r="K261" s="67" t="s">
        <v>1151</v>
      </c>
      <c r="L261" s="79" t="s">
        <v>3725</v>
      </c>
      <c r="M261" s="83" t="s">
        <v>3726</v>
      </c>
      <c r="N261" s="78">
        <v>23152.0</v>
      </c>
      <c r="O261" s="80" t="s">
        <v>37</v>
      </c>
      <c r="P261" s="70">
        <v>140102.0</v>
      </c>
      <c r="Q261" s="54"/>
      <c r="R261" s="84"/>
      <c r="S261" s="84"/>
      <c r="T261" s="54"/>
      <c r="U261" s="86"/>
      <c r="V261" s="54"/>
      <c r="W261" s="86"/>
      <c r="X261" s="54"/>
      <c r="Y261" s="78"/>
      <c r="Z261" s="54"/>
      <c r="AA261" s="70"/>
      <c r="AB261" s="83"/>
      <c r="AC261" s="83"/>
      <c r="AD261" s="83"/>
      <c r="AE261" s="83"/>
      <c r="AF261" s="83" t="s">
        <v>3727</v>
      </c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54" t="s">
        <v>3728</v>
      </c>
      <c r="AR261" s="83" t="s">
        <v>3729</v>
      </c>
      <c r="AS261" s="83" t="s">
        <v>3730</v>
      </c>
      <c r="AT261" s="93" t="s">
        <v>3724</v>
      </c>
      <c r="AU261" s="93" t="s">
        <v>3724</v>
      </c>
      <c r="AV261" s="93" t="s">
        <v>3724</v>
      </c>
      <c r="AW261" s="83" t="s">
        <v>3731</v>
      </c>
      <c r="AX261" s="83">
        <v>1.0</v>
      </c>
      <c r="AY261" s="83">
        <v>1.0</v>
      </c>
      <c r="AZ261" s="83" t="s">
        <v>3732</v>
      </c>
      <c r="BA261" s="83" t="s">
        <v>3733</v>
      </c>
      <c r="BB261" s="83" t="s">
        <v>3734</v>
      </c>
      <c r="BC261" s="54" t="s">
        <v>41</v>
      </c>
      <c r="BD261" s="54" t="str">
        <f t="shared" si="1"/>
        <v>Ancón</v>
      </c>
      <c r="BE261" s="67" t="s">
        <v>140</v>
      </c>
      <c r="BF261" s="67" t="s">
        <v>141</v>
      </c>
      <c r="BG261" s="67" t="s">
        <v>142</v>
      </c>
      <c r="BH261" s="67"/>
      <c r="BI261" s="67"/>
      <c r="BJ261" s="67"/>
      <c r="BK261" s="67"/>
      <c r="BL261" s="67" t="s">
        <v>145</v>
      </c>
      <c r="BM261" s="67" t="s">
        <v>146</v>
      </c>
      <c r="BN261" s="100" t="s">
        <v>3735</v>
      </c>
      <c r="BO261" s="102" t="s">
        <v>148</v>
      </c>
      <c r="BP261" s="67" t="s">
        <v>144</v>
      </c>
      <c r="BQ261" s="79" t="s">
        <v>141</v>
      </c>
      <c r="BR261" s="67">
        <v>5.0</v>
      </c>
      <c r="BS261" s="102">
        <v>1.0</v>
      </c>
      <c r="BT261" s="106"/>
      <c r="BU261" s="107"/>
      <c r="BV261" s="108">
        <f t="shared" si="2"/>
        <v>46228</v>
      </c>
      <c r="BW261" s="108">
        <f t="shared" si="16"/>
        <v>46235</v>
      </c>
      <c r="BX261" s="102" t="str">
        <f t="shared" si="15"/>
        <v>14</v>
      </c>
      <c r="BY261" s="107">
        <f t="shared" si="5"/>
        <v>2</v>
      </c>
      <c r="BZ261" s="107">
        <f t="array" ref="BZ261">IF($A261&lt;&gt;"",INDEX(LISTA!$M$2:$N$27,MATCH($BC261,LISTA!$N$2:$N$27,0),1),"")</f>
        <v>1</v>
      </c>
      <c r="CA261" s="67">
        <f t="shared" si="6"/>
        <v>7</v>
      </c>
      <c r="CB261" s="114" t="str">
        <f t="shared" si="7"/>
        <v/>
      </c>
      <c r="CC261" s="114"/>
    </row>
    <row r="262" ht="15.0" hidden="1" customHeight="1" outlineLevel="1">
      <c r="A262" s="59">
        <v>46204.4496243287</v>
      </c>
      <c r="B262" s="115" t="s">
        <v>379</v>
      </c>
      <c r="C262" s="54" t="s">
        <v>100</v>
      </c>
      <c r="D262" s="56" t="s">
        <v>101</v>
      </c>
      <c r="E262" s="69">
        <v>46204.666666666664</v>
      </c>
      <c r="F262" s="73" t="s">
        <v>3736</v>
      </c>
      <c r="G262" s="60" t="s">
        <v>1844</v>
      </c>
      <c r="H262" s="60" t="s">
        <v>1845</v>
      </c>
      <c r="I262" s="67" t="s">
        <v>350</v>
      </c>
      <c r="J262" s="79" t="s">
        <v>1846</v>
      </c>
      <c r="K262" s="67" t="s">
        <v>109</v>
      </c>
      <c r="L262" s="79" t="s">
        <v>1848</v>
      </c>
      <c r="M262" s="83" t="s">
        <v>1851</v>
      </c>
      <c r="N262" s="78">
        <v>31058.0</v>
      </c>
      <c r="O262" s="80" t="s">
        <v>48</v>
      </c>
      <c r="P262" s="70" t="s">
        <v>1852</v>
      </c>
      <c r="Q262" s="54"/>
      <c r="R262" s="84"/>
      <c r="S262" s="84"/>
      <c r="T262" s="54" t="s">
        <v>122</v>
      </c>
      <c r="U262" s="86"/>
      <c r="V262" s="54"/>
      <c r="W262" s="86"/>
      <c r="X262" s="54"/>
      <c r="Y262" s="78"/>
      <c r="Z262" s="54"/>
      <c r="AA262" s="70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54" t="s">
        <v>1860</v>
      </c>
      <c r="AR262" s="83" t="s">
        <v>1863</v>
      </c>
      <c r="AS262" s="83" t="s">
        <v>1865</v>
      </c>
      <c r="AT262" s="93" t="s">
        <v>1846</v>
      </c>
      <c r="AU262" s="93" t="s">
        <v>1846</v>
      </c>
      <c r="AV262" s="93" t="s">
        <v>1846</v>
      </c>
      <c r="AW262" s="83" t="s">
        <v>1866</v>
      </c>
      <c r="AX262" s="83">
        <v>5.0</v>
      </c>
      <c r="AY262" s="83">
        <v>1.0</v>
      </c>
      <c r="AZ262" s="83" t="s">
        <v>1867</v>
      </c>
      <c r="BA262" s="83" t="s">
        <v>1868</v>
      </c>
      <c r="BB262" s="83" t="s">
        <v>1870</v>
      </c>
      <c r="BC262" s="54" t="s">
        <v>27</v>
      </c>
      <c r="BD262" s="54" t="str">
        <f t="shared" si="1"/>
        <v>Arequipa</v>
      </c>
      <c r="BE262" s="67" t="s">
        <v>140</v>
      </c>
      <c r="BF262" s="67" t="s">
        <v>141</v>
      </c>
      <c r="BG262" s="67" t="s">
        <v>142</v>
      </c>
      <c r="BH262" s="67"/>
      <c r="BI262" s="67"/>
      <c r="BJ262" s="67"/>
      <c r="BK262" s="67"/>
      <c r="BL262" s="67" t="s">
        <v>283</v>
      </c>
      <c r="BM262" s="67" t="s">
        <v>146</v>
      </c>
      <c r="BN262" s="100">
        <v>94.0</v>
      </c>
      <c r="BO262" s="102" t="s">
        <v>148</v>
      </c>
      <c r="BP262" s="67" t="s">
        <v>141</v>
      </c>
      <c r="BQ262" s="79" t="s">
        <v>144</v>
      </c>
      <c r="BR262" s="67" t="s">
        <v>149</v>
      </c>
      <c r="BS262" s="102">
        <v>1.0</v>
      </c>
      <c r="BT262" s="106"/>
      <c r="BU262" s="107"/>
      <c r="BV262" s="108">
        <f t="shared" si="2"/>
        <v>46204</v>
      </c>
      <c r="BW262" s="108">
        <f t="shared" si="16"/>
        <v>46204</v>
      </c>
      <c r="BX262" s="102" t="str">
        <f t="shared" si="15"/>
        <v>16</v>
      </c>
      <c r="BY262" s="107">
        <f t="shared" si="5"/>
        <v>2</v>
      </c>
      <c r="BZ262" s="107">
        <f t="array" ref="BZ262">IF($A262&lt;&gt;"",INDEX(LISTA!$M$2:$N$27,MATCH($BC262,LISTA!$N$2:$N$27,0),1),"")</f>
        <v>7</v>
      </c>
      <c r="CA262" s="67">
        <f t="shared" si="6"/>
        <v>7</v>
      </c>
      <c r="CB262" s="114" t="str">
        <f t="shared" si="7"/>
        <v/>
      </c>
      <c r="CC262" s="114"/>
    </row>
    <row r="263" ht="15.0" hidden="1" customHeight="1" outlineLevel="1">
      <c r="A263" s="59">
        <v>46210.731069525464</v>
      </c>
      <c r="B263" s="115" t="s">
        <v>379</v>
      </c>
      <c r="C263" s="54" t="s">
        <v>100</v>
      </c>
      <c r="D263" s="56" t="s">
        <v>101</v>
      </c>
      <c r="E263" s="69">
        <v>46211.458333333336</v>
      </c>
      <c r="F263" s="73" t="s">
        <v>3737</v>
      </c>
      <c r="G263" s="60" t="s">
        <v>3738</v>
      </c>
      <c r="H263" s="60" t="s">
        <v>3739</v>
      </c>
      <c r="I263" s="67" t="s">
        <v>355</v>
      </c>
      <c r="J263" s="79" t="s">
        <v>3740</v>
      </c>
      <c r="K263" s="67" t="s">
        <v>109</v>
      </c>
      <c r="L263" s="79" t="s">
        <v>3741</v>
      </c>
      <c r="M263" s="83" t="s">
        <v>3742</v>
      </c>
      <c r="N263" s="78">
        <v>34998.0</v>
      </c>
      <c r="O263" s="80" t="s">
        <v>34</v>
      </c>
      <c r="P263" s="70">
        <v>110101.0</v>
      </c>
      <c r="Q263" s="54"/>
      <c r="R263" s="84"/>
      <c r="S263" s="84"/>
      <c r="T263" s="54"/>
      <c r="U263" s="86"/>
      <c r="V263" s="54"/>
      <c r="W263" s="86"/>
      <c r="X263" s="54"/>
      <c r="Y263" s="78"/>
      <c r="Z263" s="54"/>
      <c r="AA263" s="70" t="s">
        <v>525</v>
      </c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54" t="s">
        <v>234</v>
      </c>
      <c r="AR263" s="83" t="s">
        <v>1165</v>
      </c>
      <c r="AS263" s="83" t="s">
        <v>3743</v>
      </c>
      <c r="AT263" s="93" t="s">
        <v>3740</v>
      </c>
      <c r="AU263" s="93" t="s">
        <v>3740</v>
      </c>
      <c r="AV263" s="93" t="s">
        <v>3740</v>
      </c>
      <c r="AW263" s="83" t="s">
        <v>3744</v>
      </c>
      <c r="AX263" s="83">
        <v>2.0</v>
      </c>
      <c r="AY263" s="83">
        <v>201.0</v>
      </c>
      <c r="AZ263" s="83" t="s">
        <v>3745</v>
      </c>
      <c r="BA263" s="83" t="s">
        <v>3746</v>
      </c>
      <c r="BB263" s="83" t="s">
        <v>3747</v>
      </c>
      <c r="BC263" s="54" t="s">
        <v>34</v>
      </c>
      <c r="BD263" s="70" t="str">
        <f t="shared" si="1"/>
        <v>Ica</v>
      </c>
      <c r="BE263" s="67" t="s">
        <v>140</v>
      </c>
      <c r="BF263" s="67" t="s">
        <v>141</v>
      </c>
      <c r="BG263" s="67" t="s">
        <v>142</v>
      </c>
      <c r="BH263" s="67"/>
      <c r="BI263" s="67"/>
      <c r="BJ263" s="67"/>
      <c r="BK263" s="67"/>
      <c r="BL263" s="67" t="s">
        <v>147</v>
      </c>
      <c r="BM263" s="67" t="s">
        <v>247</v>
      </c>
      <c r="BN263" s="100">
        <v>89.0</v>
      </c>
      <c r="BO263" s="102" t="s">
        <v>148</v>
      </c>
      <c r="BP263" s="67" t="s">
        <v>141</v>
      </c>
      <c r="BQ263" s="79" t="s">
        <v>141</v>
      </c>
      <c r="BR263" s="67" t="s">
        <v>149</v>
      </c>
      <c r="BS263" s="102">
        <v>1.0</v>
      </c>
      <c r="BT263" s="106"/>
      <c r="BU263" s="107"/>
      <c r="BV263" s="108">
        <f t="shared" si="2"/>
        <v>46210</v>
      </c>
      <c r="BW263" s="108">
        <f t="shared" si="16"/>
        <v>46211</v>
      </c>
      <c r="BX263" s="102" t="str">
        <f t="shared" si="15"/>
        <v>11</v>
      </c>
      <c r="BY263" s="107">
        <f t="shared" si="5"/>
        <v>2</v>
      </c>
      <c r="BZ263" s="107">
        <f t="array" ref="BZ263">IF($A263&lt;&gt;"",INDEX(LISTA!$M$2:$N$27,MATCH($BC263,LISTA!$N$2:$N$27,0),1),"")</f>
        <v>13</v>
      </c>
      <c r="CA263" s="67">
        <f t="shared" si="6"/>
        <v>7</v>
      </c>
      <c r="CB263" s="114" t="str">
        <f t="shared" si="7"/>
        <v/>
      </c>
      <c r="CC263" s="114"/>
    </row>
    <row r="264" ht="15.0" hidden="1" customHeight="1" outlineLevel="1">
      <c r="A264" s="59">
        <v>46211.52796236111</v>
      </c>
      <c r="B264" s="115" t="s">
        <v>379</v>
      </c>
      <c r="C264" s="54" t="s">
        <v>100</v>
      </c>
      <c r="D264" s="56" t="s">
        <v>101</v>
      </c>
      <c r="E264" s="69">
        <v>46213.458333333336</v>
      </c>
      <c r="F264" s="73" t="s">
        <v>103</v>
      </c>
      <c r="G264" s="60" t="s">
        <v>3748</v>
      </c>
      <c r="H264" s="60" t="s">
        <v>3749</v>
      </c>
      <c r="I264" s="67" t="s">
        <v>156</v>
      </c>
      <c r="J264" s="79" t="s">
        <v>3750</v>
      </c>
      <c r="K264" s="67" t="s">
        <v>109</v>
      </c>
      <c r="L264" s="79" t="s">
        <v>3751</v>
      </c>
      <c r="M264" s="83" t="s">
        <v>3752</v>
      </c>
      <c r="N264" s="78">
        <v>31137.0</v>
      </c>
      <c r="O264" s="80" t="s">
        <v>34</v>
      </c>
      <c r="P264" s="70">
        <v>100101.0</v>
      </c>
      <c r="Q264" s="54"/>
      <c r="R264" s="84"/>
      <c r="S264" s="84"/>
      <c r="T264" s="54"/>
      <c r="U264" s="86"/>
      <c r="V264" s="54"/>
      <c r="W264" s="86"/>
      <c r="X264" s="54"/>
      <c r="Y264" s="78"/>
      <c r="Z264" s="54"/>
      <c r="AA264" s="70" t="s">
        <v>525</v>
      </c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54" t="s">
        <v>3753</v>
      </c>
      <c r="AR264" s="83" t="s">
        <v>125</v>
      </c>
      <c r="AS264" s="83" t="s">
        <v>3754</v>
      </c>
      <c r="AT264" s="93" t="s">
        <v>3750</v>
      </c>
      <c r="AU264" s="93" t="s">
        <v>3750</v>
      </c>
      <c r="AV264" s="93" t="s">
        <v>3750</v>
      </c>
      <c r="AW264" s="83" t="s">
        <v>3755</v>
      </c>
      <c r="AX264" s="83">
        <v>1.0</v>
      </c>
      <c r="AY264" s="83" t="s">
        <v>174</v>
      </c>
      <c r="AZ264" s="83" t="s">
        <v>3756</v>
      </c>
      <c r="BA264" s="83" t="s">
        <v>3757</v>
      </c>
      <c r="BB264" s="83" t="s">
        <v>3758</v>
      </c>
      <c r="BC264" s="54" t="s">
        <v>34</v>
      </c>
      <c r="BD264" s="70" t="str">
        <f t="shared" si="1"/>
        <v>Ica</v>
      </c>
      <c r="BE264" s="67" t="s">
        <v>143</v>
      </c>
      <c r="BF264" s="67" t="s">
        <v>141</v>
      </c>
      <c r="BG264" s="67" t="s">
        <v>142</v>
      </c>
      <c r="BH264" s="67"/>
      <c r="BI264" s="67"/>
      <c r="BJ264" s="67"/>
      <c r="BK264" s="67"/>
      <c r="BL264" s="67" t="s">
        <v>147</v>
      </c>
      <c r="BM264" s="67" t="s">
        <v>1897</v>
      </c>
      <c r="BN264" s="100">
        <v>44.0</v>
      </c>
      <c r="BO264" s="102" t="s">
        <v>1647</v>
      </c>
      <c r="BP264" s="67" t="s">
        <v>141</v>
      </c>
      <c r="BQ264" s="79" t="s">
        <v>141</v>
      </c>
      <c r="BR264" s="67" t="s">
        <v>149</v>
      </c>
      <c r="BS264" s="102" t="s">
        <v>149</v>
      </c>
      <c r="BT264" s="106"/>
      <c r="BU264" s="107"/>
      <c r="BV264" s="108">
        <f t="shared" si="2"/>
        <v>46211</v>
      </c>
      <c r="BW264" s="108">
        <f t="shared" si="16"/>
        <v>46213</v>
      </c>
      <c r="BX264" s="102" t="str">
        <f t="shared" si="15"/>
        <v>11</v>
      </c>
      <c r="BY264" s="107">
        <f t="shared" si="5"/>
        <v>2</v>
      </c>
      <c r="BZ264" s="107">
        <f t="array" ref="BZ264">IF($A264&lt;&gt;"",INDEX(LISTA!$M$2:$N$27,MATCH($BC264,LISTA!$N$2:$N$27,0),1),"")</f>
        <v>13</v>
      </c>
      <c r="CA264" s="67">
        <f t="shared" si="6"/>
        <v>7</v>
      </c>
      <c r="CB264" s="114" t="str">
        <f t="shared" si="7"/>
        <v/>
      </c>
      <c r="CC264" s="114"/>
    </row>
    <row r="265" ht="15.0" hidden="1" customHeight="1" outlineLevel="1">
      <c r="A265" s="59">
        <v>46223.67808564815</v>
      </c>
      <c r="B265" s="115" t="s">
        <v>379</v>
      </c>
      <c r="C265" s="54" t="s">
        <v>100</v>
      </c>
      <c r="D265" s="56" t="s">
        <v>101</v>
      </c>
      <c r="E265" s="69">
        <v>46225.375</v>
      </c>
      <c r="F265" s="73"/>
      <c r="G265" s="60" t="s">
        <v>3759</v>
      </c>
      <c r="H265" s="60" t="s">
        <v>3760</v>
      </c>
      <c r="I265" s="67" t="s">
        <v>355</v>
      </c>
      <c r="J265" s="79" t="s">
        <v>3761</v>
      </c>
      <c r="K265" s="67" t="s">
        <v>109</v>
      </c>
      <c r="L265" s="79" t="s">
        <v>3762</v>
      </c>
      <c r="M265" s="83" t="s">
        <v>3763</v>
      </c>
      <c r="N265" s="78">
        <v>27735.0</v>
      </c>
      <c r="O265" s="80" t="s">
        <v>41</v>
      </c>
      <c r="P265" s="70">
        <v>150132.0</v>
      </c>
      <c r="Q265" s="54"/>
      <c r="R265" s="84"/>
      <c r="S265" s="84"/>
      <c r="T265" s="54"/>
      <c r="U265" s="86"/>
      <c r="V265" s="54"/>
      <c r="W265" s="86"/>
      <c r="X265" s="54"/>
      <c r="Y265" s="78"/>
      <c r="Z265" s="54"/>
      <c r="AA265" s="70"/>
      <c r="AB265" s="83"/>
      <c r="AC265" s="83"/>
      <c r="AD265" s="83"/>
      <c r="AE265" s="83"/>
      <c r="AF265" s="83" t="s">
        <v>1056</v>
      </c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54" t="s">
        <v>3764</v>
      </c>
      <c r="AR265" s="83" t="s">
        <v>3765</v>
      </c>
      <c r="AS265" s="83" t="s">
        <v>3766</v>
      </c>
      <c r="AT265" s="93" t="s">
        <v>3761</v>
      </c>
      <c r="AU265" s="93" t="s">
        <v>3761</v>
      </c>
      <c r="AV265" s="93" t="s">
        <v>3761</v>
      </c>
      <c r="AW265" s="83" t="s">
        <v>3767</v>
      </c>
      <c r="AX265" s="83">
        <v>2.0</v>
      </c>
      <c r="AY265" s="83" t="s">
        <v>174</v>
      </c>
      <c r="AZ265" s="83" t="s">
        <v>3768</v>
      </c>
      <c r="BA265" s="83" t="s">
        <v>3769</v>
      </c>
      <c r="BB265" s="83" t="s">
        <v>3770</v>
      </c>
      <c r="BC265" s="54" t="s">
        <v>41</v>
      </c>
      <c r="BD265" s="54" t="str">
        <f t="shared" si="1"/>
        <v>San Borja</v>
      </c>
      <c r="BE265" s="67" t="s">
        <v>140</v>
      </c>
      <c r="BF265" s="67" t="s">
        <v>141</v>
      </c>
      <c r="BG265" s="67" t="s">
        <v>142</v>
      </c>
      <c r="BH265" s="67"/>
      <c r="BI265" s="67"/>
      <c r="BJ265" s="67"/>
      <c r="BK265" s="67"/>
      <c r="BL265" s="67" t="s">
        <v>145</v>
      </c>
      <c r="BM265" s="67" t="s">
        <v>146</v>
      </c>
      <c r="BN265" s="100">
        <v>170.0</v>
      </c>
      <c r="BO265" s="102" t="s">
        <v>148</v>
      </c>
      <c r="BP265" s="67" t="s">
        <v>144</v>
      </c>
      <c r="BQ265" s="79" t="s">
        <v>141</v>
      </c>
      <c r="BR265" s="67">
        <v>2.0</v>
      </c>
      <c r="BS265" s="102">
        <v>1.0</v>
      </c>
      <c r="BT265" s="106"/>
      <c r="BU265" s="107"/>
      <c r="BV265" s="108">
        <f t="shared" si="2"/>
        <v>46223</v>
      </c>
      <c r="BW265" s="108">
        <f t="shared" si="16"/>
        <v>46225</v>
      </c>
      <c r="BX265" s="102" t="str">
        <f t="shared" si="15"/>
        <v>09</v>
      </c>
      <c r="BY265" s="107">
        <f t="shared" si="5"/>
        <v>2</v>
      </c>
      <c r="BZ265" s="107">
        <f t="array" ref="BZ265">IF($A265&lt;&gt;"",INDEX(LISTA!$M$2:$N$27,MATCH($BC265,LISTA!$N$2:$N$27,0),1),"")</f>
        <v>1</v>
      </c>
      <c r="CA265" s="67">
        <f t="shared" si="6"/>
        <v>7</v>
      </c>
      <c r="CB265" s="114" t="str">
        <f t="shared" si="7"/>
        <v/>
      </c>
      <c r="CC265" s="114"/>
    </row>
    <row r="266" ht="15.0" hidden="1" customHeight="1" outlineLevel="1">
      <c r="A266" s="59">
        <v>46214.52284052083</v>
      </c>
      <c r="B266" s="115" t="s">
        <v>398</v>
      </c>
      <c r="C266" s="54" t="s">
        <v>100</v>
      </c>
      <c r="D266" s="56" t="s">
        <v>319</v>
      </c>
      <c r="E266" s="69">
        <v>46221.375</v>
      </c>
      <c r="F266" s="73" t="s">
        <v>3771</v>
      </c>
      <c r="G266" s="60" t="s">
        <v>3772</v>
      </c>
      <c r="H266" s="60" t="s">
        <v>3773</v>
      </c>
      <c r="I266" s="67" t="s">
        <v>350</v>
      </c>
      <c r="J266" s="79" t="s">
        <v>3774</v>
      </c>
      <c r="K266" s="67" t="s">
        <v>109</v>
      </c>
      <c r="L266" s="79" t="s">
        <v>3775</v>
      </c>
      <c r="M266" s="83" t="s">
        <v>3776</v>
      </c>
      <c r="N266" s="78">
        <v>35654.0</v>
      </c>
      <c r="O266" s="80" t="s">
        <v>46</v>
      </c>
      <c r="P266" s="70">
        <v>200701.0</v>
      </c>
      <c r="Q266" s="54"/>
      <c r="R266" s="84"/>
      <c r="S266" s="84"/>
      <c r="T266" s="54"/>
      <c r="U266" s="86"/>
      <c r="V266" s="54"/>
      <c r="W266" s="86"/>
      <c r="X266" s="54"/>
      <c r="Y266" s="78"/>
      <c r="Z266" s="54"/>
      <c r="AA266" s="70"/>
      <c r="AB266" s="83"/>
      <c r="AC266" s="83"/>
      <c r="AD266" s="83"/>
      <c r="AE266" s="83"/>
      <c r="AF266" s="83" t="s">
        <v>2598</v>
      </c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54" t="s">
        <v>432</v>
      </c>
      <c r="AR266" s="83" t="s">
        <v>3777</v>
      </c>
      <c r="AS266" s="83" t="s">
        <v>3778</v>
      </c>
      <c r="AT266" s="93" t="s">
        <v>3774</v>
      </c>
      <c r="AU266" s="93" t="s">
        <v>3774</v>
      </c>
      <c r="AV266" s="93" t="s">
        <v>3774</v>
      </c>
      <c r="AW266" s="83" t="s">
        <v>3779</v>
      </c>
      <c r="AX266" s="83">
        <v>1.0</v>
      </c>
      <c r="AY266" s="83">
        <v>101.0</v>
      </c>
      <c r="AZ266" s="83" t="s">
        <v>3780</v>
      </c>
      <c r="BA266" s="83" t="s">
        <v>3781</v>
      </c>
      <c r="BB266" s="83" t="s">
        <v>3782</v>
      </c>
      <c r="BC266" s="54" t="s">
        <v>41</v>
      </c>
      <c r="BD266" s="54" t="str">
        <f t="shared" si="1"/>
        <v>La Molina</v>
      </c>
      <c r="BE266" s="67" t="s">
        <v>140</v>
      </c>
      <c r="BF266" s="67" t="s">
        <v>141</v>
      </c>
      <c r="BG266" s="67" t="s">
        <v>142</v>
      </c>
      <c r="BH266" s="67"/>
      <c r="BI266" s="67"/>
      <c r="BJ266" s="67"/>
      <c r="BK266" s="67"/>
      <c r="BL266" s="67" t="s">
        <v>147</v>
      </c>
      <c r="BM266" s="67" t="s">
        <v>146</v>
      </c>
      <c r="BN266" s="100">
        <v>69.0</v>
      </c>
      <c r="BO266" s="102" t="s">
        <v>615</v>
      </c>
      <c r="BP266" s="67" t="s">
        <v>141</v>
      </c>
      <c r="BQ266" s="79" t="s">
        <v>141</v>
      </c>
      <c r="BR266" s="67" t="s">
        <v>149</v>
      </c>
      <c r="BS266" s="102" t="s">
        <v>149</v>
      </c>
      <c r="BT266" s="106"/>
      <c r="BU266" s="107"/>
      <c r="BV266" s="108">
        <f t="shared" si="2"/>
        <v>46214</v>
      </c>
      <c r="BW266" s="108">
        <f t="shared" si="16"/>
        <v>46221</v>
      </c>
      <c r="BX266" s="102" t="str">
        <f t="shared" si="15"/>
        <v>09</v>
      </c>
      <c r="BY266" s="107">
        <f t="shared" si="5"/>
        <v>2</v>
      </c>
      <c r="BZ266" s="107">
        <f t="array" ref="BZ266">IF($A266&lt;&gt;"",INDEX(LISTA!$M$2:$N$27,MATCH($BC266,LISTA!$N$2:$N$27,0),1),"")</f>
        <v>1</v>
      </c>
      <c r="CA266" s="67">
        <f t="shared" si="6"/>
        <v>7</v>
      </c>
      <c r="CB266" s="114" t="str">
        <f t="shared" si="7"/>
        <v/>
      </c>
      <c r="CC266" s="114"/>
    </row>
    <row r="267" ht="15.0" hidden="1" customHeight="1" outlineLevel="1">
      <c r="A267" s="59">
        <v>46218.60466349537</v>
      </c>
      <c r="B267" s="115" t="s">
        <v>381</v>
      </c>
      <c r="C267" s="54" t="s">
        <v>100</v>
      </c>
      <c r="D267" s="56" t="s">
        <v>101</v>
      </c>
      <c r="E267" s="69">
        <v>46219.583333333336</v>
      </c>
      <c r="F267" s="73"/>
      <c r="G267" s="60" t="s">
        <v>3783</v>
      </c>
      <c r="H267" s="60" t="s">
        <v>3784</v>
      </c>
      <c r="I267" s="67" t="s">
        <v>367</v>
      </c>
      <c r="J267" s="79" t="s">
        <v>3785</v>
      </c>
      <c r="K267" s="67" t="s">
        <v>109</v>
      </c>
      <c r="L267" s="79" t="s">
        <v>3786</v>
      </c>
      <c r="M267" s="83" t="s">
        <v>3787</v>
      </c>
      <c r="N267" s="78">
        <v>31100.0</v>
      </c>
      <c r="O267" s="80" t="s">
        <v>41</v>
      </c>
      <c r="P267" s="70">
        <v>150101.0</v>
      </c>
      <c r="Q267" s="54"/>
      <c r="R267" s="84"/>
      <c r="S267" s="84"/>
      <c r="T267" s="54"/>
      <c r="U267" s="86"/>
      <c r="V267" s="54"/>
      <c r="W267" s="86"/>
      <c r="X267" s="54"/>
      <c r="Y267" s="78"/>
      <c r="Z267" s="54"/>
      <c r="AA267" s="70"/>
      <c r="AB267" s="83"/>
      <c r="AC267" s="83"/>
      <c r="AD267" s="83"/>
      <c r="AE267" s="83"/>
      <c r="AF267" s="83" t="s">
        <v>972</v>
      </c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54" t="s">
        <v>3788</v>
      </c>
      <c r="AR267" s="83" t="s">
        <v>310</v>
      </c>
      <c r="AS267" s="83" t="s">
        <v>3789</v>
      </c>
      <c r="AT267" s="93" t="s">
        <v>3785</v>
      </c>
      <c r="AU267" s="93" t="s">
        <v>3785</v>
      </c>
      <c r="AV267" s="93" t="s">
        <v>3785</v>
      </c>
      <c r="AW267" s="83" t="s">
        <v>3790</v>
      </c>
      <c r="AX267" s="83">
        <v>1.0</v>
      </c>
      <c r="AY267" s="83" t="s">
        <v>1767</v>
      </c>
      <c r="AZ267" s="83" t="s">
        <v>3791</v>
      </c>
      <c r="BA267" s="83" t="s">
        <v>3792</v>
      </c>
      <c r="BB267" s="83" t="s">
        <v>3793</v>
      </c>
      <c r="BC267" s="54" t="s">
        <v>41</v>
      </c>
      <c r="BD267" s="54" t="str">
        <f t="shared" si="1"/>
        <v>San Juan de Lurigancho</v>
      </c>
      <c r="BE267" s="67" t="s">
        <v>140</v>
      </c>
      <c r="BF267" s="67" t="s">
        <v>144</v>
      </c>
      <c r="BG267" s="67" t="s">
        <v>142</v>
      </c>
      <c r="BH267" s="67"/>
      <c r="BI267" s="67"/>
      <c r="BJ267" s="67"/>
      <c r="BK267" s="67"/>
      <c r="BL267" s="67" t="s">
        <v>147</v>
      </c>
      <c r="BM267" s="67" t="s">
        <v>247</v>
      </c>
      <c r="BN267" s="100">
        <v>89.0</v>
      </c>
      <c r="BO267" s="102" t="s">
        <v>148</v>
      </c>
      <c r="BP267" s="67" t="s">
        <v>141</v>
      </c>
      <c r="BQ267" s="79" t="s">
        <v>141</v>
      </c>
      <c r="BR267" s="67" t="s">
        <v>149</v>
      </c>
      <c r="BS267" s="102">
        <v>1.0</v>
      </c>
      <c r="BT267" s="106"/>
      <c r="BU267" s="107"/>
      <c r="BV267" s="108">
        <f t="shared" si="2"/>
        <v>46218</v>
      </c>
      <c r="BW267" s="108">
        <f t="shared" si="16"/>
        <v>46219</v>
      </c>
      <c r="BX267" s="102" t="str">
        <f t="shared" si="15"/>
        <v>14</v>
      </c>
      <c r="BY267" s="107">
        <f t="shared" si="5"/>
        <v>2</v>
      </c>
      <c r="BZ267" s="107">
        <f t="array" ref="BZ267">IF($A267&lt;&gt;"",INDEX(LISTA!$M$2:$N$27,MATCH($BC267,LISTA!$N$2:$N$27,0),1),"")</f>
        <v>1</v>
      </c>
      <c r="CA267" s="67">
        <f t="shared" si="6"/>
        <v>7</v>
      </c>
      <c r="CB267" s="114" t="str">
        <f t="shared" si="7"/>
        <v/>
      </c>
      <c r="CC267" s="114"/>
    </row>
    <row r="268" ht="15.0" hidden="1" customHeight="1" outlineLevel="1">
      <c r="A268" s="59">
        <v>46228.63200875</v>
      </c>
      <c r="B268" s="115" t="s">
        <v>381</v>
      </c>
      <c r="C268" s="54" t="s">
        <v>100</v>
      </c>
      <c r="D268" s="56" t="s">
        <v>319</v>
      </c>
      <c r="E268" s="69">
        <v>46231.583333333336</v>
      </c>
      <c r="F268" s="73"/>
      <c r="G268" s="60" t="s">
        <v>3794</v>
      </c>
      <c r="H268" s="60" t="s">
        <v>3795</v>
      </c>
      <c r="I268" s="67" t="s">
        <v>374</v>
      </c>
      <c r="J268" s="79" t="s">
        <v>3796</v>
      </c>
      <c r="K268" s="67" t="s">
        <v>109</v>
      </c>
      <c r="L268" s="79" t="s">
        <v>3797</v>
      </c>
      <c r="M268" s="83" t="s">
        <v>3798</v>
      </c>
      <c r="N268" s="78">
        <v>26620.0</v>
      </c>
      <c r="O268" s="80" t="s">
        <v>39</v>
      </c>
      <c r="P268" s="70">
        <v>130101.0</v>
      </c>
      <c r="Q268" s="54"/>
      <c r="R268" s="84"/>
      <c r="S268" s="84"/>
      <c r="T268" s="54"/>
      <c r="U268" s="86"/>
      <c r="V268" s="54"/>
      <c r="W268" s="86"/>
      <c r="X268" s="54"/>
      <c r="Y268" s="78"/>
      <c r="Z268" s="54"/>
      <c r="AA268" s="70"/>
      <c r="AB268" s="83"/>
      <c r="AC268" s="83" t="s">
        <v>1690</v>
      </c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54" t="s">
        <v>2160</v>
      </c>
      <c r="AR268" s="83" t="s">
        <v>2956</v>
      </c>
      <c r="AS268" s="83" t="s">
        <v>3799</v>
      </c>
      <c r="AT268" s="93" t="s">
        <v>3796</v>
      </c>
      <c r="AU268" s="93" t="s">
        <v>3796</v>
      </c>
      <c r="AV268" s="93" t="s">
        <v>3796</v>
      </c>
      <c r="AW268" s="83" t="s">
        <v>3800</v>
      </c>
      <c r="AX268" s="83">
        <v>1.0</v>
      </c>
      <c r="AY268" s="83">
        <v>1.0</v>
      </c>
      <c r="AZ268" s="83" t="s">
        <v>3801</v>
      </c>
      <c r="BA268" s="83" t="s">
        <v>1767</v>
      </c>
      <c r="BB268" s="83" t="s">
        <v>3802</v>
      </c>
      <c r="BC268" s="54" t="s">
        <v>39</v>
      </c>
      <c r="BD268" s="54" t="str">
        <f t="shared" si="1"/>
        <v>Trujillo</v>
      </c>
      <c r="BE268" s="67" t="s">
        <v>140</v>
      </c>
      <c r="BF268" s="67" t="s">
        <v>144</v>
      </c>
      <c r="BG268" s="67" t="s">
        <v>142</v>
      </c>
      <c r="BH268" s="67"/>
      <c r="BI268" s="67"/>
      <c r="BJ268" s="67"/>
      <c r="BK268" s="67"/>
      <c r="BL268" s="67" t="s">
        <v>727</v>
      </c>
      <c r="BM268" s="67" t="s">
        <v>214</v>
      </c>
      <c r="BN268" s="100">
        <v>195.0</v>
      </c>
      <c r="BO268" s="102" t="s">
        <v>2305</v>
      </c>
      <c r="BP268" s="67" t="s">
        <v>141</v>
      </c>
      <c r="BQ268" s="79" t="s">
        <v>144</v>
      </c>
      <c r="BR268" s="67" t="s">
        <v>149</v>
      </c>
      <c r="BS268" s="102" t="s">
        <v>149</v>
      </c>
      <c r="BT268" s="106"/>
      <c r="BU268" s="107"/>
      <c r="BV268" s="108">
        <f t="shared" si="2"/>
        <v>46228</v>
      </c>
      <c r="BW268" s="108">
        <f t="shared" si="16"/>
        <v>46231</v>
      </c>
      <c r="BX268" s="102" t="str">
        <f t="shared" si="15"/>
        <v>14</v>
      </c>
      <c r="BY268" s="107">
        <f t="shared" si="5"/>
        <v>2</v>
      </c>
      <c r="BZ268" s="107">
        <f t="array" ref="BZ268">IF($A268&lt;&gt;"",INDEX(LISTA!$M$2:$N$27,MATCH($BC268,LISTA!$N$2:$N$27,0),1),"")</f>
        <v>15</v>
      </c>
      <c r="CA268" s="67">
        <f t="shared" si="6"/>
        <v>7</v>
      </c>
      <c r="CB268" s="114" t="str">
        <f t="shared" si="7"/>
        <v/>
      </c>
      <c r="CC268" s="114"/>
    </row>
    <row r="269" ht="15.0" hidden="1" customHeight="1" outlineLevel="1">
      <c r="A269" s="59">
        <v>46223.70948427083</v>
      </c>
      <c r="B269" s="115" t="s">
        <v>381</v>
      </c>
      <c r="C269" s="54" t="s">
        <v>100</v>
      </c>
      <c r="D269" s="56" t="s">
        <v>101</v>
      </c>
      <c r="E269" s="69">
        <v>46224.583333333336</v>
      </c>
      <c r="F269" s="73" t="s">
        <v>3803</v>
      </c>
      <c r="G269" s="60" t="s">
        <v>3804</v>
      </c>
      <c r="H269" s="60" t="s">
        <v>3805</v>
      </c>
      <c r="I269" s="67" t="s">
        <v>107</v>
      </c>
      <c r="J269" s="79" t="s">
        <v>3806</v>
      </c>
      <c r="K269" s="67" t="s">
        <v>109</v>
      </c>
      <c r="L269" s="79" t="s">
        <v>3807</v>
      </c>
      <c r="M269" s="83" t="s">
        <v>3808</v>
      </c>
      <c r="N269" s="78">
        <v>27570.0</v>
      </c>
      <c r="O269" s="80" t="s">
        <v>41</v>
      </c>
      <c r="P269" s="70">
        <v>140101.0</v>
      </c>
      <c r="Q269" s="54"/>
      <c r="R269" s="84"/>
      <c r="S269" s="84"/>
      <c r="T269" s="54"/>
      <c r="U269" s="86"/>
      <c r="V269" s="54"/>
      <c r="W269" s="86"/>
      <c r="X269" s="54"/>
      <c r="Y269" s="78"/>
      <c r="Z269" s="54"/>
      <c r="AA269" s="70"/>
      <c r="AB269" s="83"/>
      <c r="AC269" s="83"/>
      <c r="AD269" s="83"/>
      <c r="AE269" s="83"/>
      <c r="AF269" s="83" t="s">
        <v>165</v>
      </c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54" t="s">
        <v>3809</v>
      </c>
      <c r="AR269" s="83" t="s">
        <v>3810</v>
      </c>
      <c r="AS269" s="83" t="s">
        <v>3811</v>
      </c>
      <c r="AT269" s="93" t="s">
        <v>3806</v>
      </c>
      <c r="AU269" s="93" t="s">
        <v>3806</v>
      </c>
      <c r="AV269" s="93" t="s">
        <v>3806</v>
      </c>
      <c r="AW269" s="83" t="s">
        <v>3812</v>
      </c>
      <c r="AX269" s="83">
        <v>1.0</v>
      </c>
      <c r="AY269" s="83">
        <v>1.0</v>
      </c>
      <c r="AZ269" s="83" t="s">
        <v>3813</v>
      </c>
      <c r="BA269" s="83" t="s">
        <v>3814</v>
      </c>
      <c r="BB269" s="83" t="s">
        <v>3815</v>
      </c>
      <c r="BC269" s="54" t="s">
        <v>41</v>
      </c>
      <c r="BD269" s="54" t="str">
        <f t="shared" si="1"/>
        <v>San Martín de Porres</v>
      </c>
      <c r="BE269" s="67" t="s">
        <v>143</v>
      </c>
      <c r="BF269" s="67" t="s">
        <v>141</v>
      </c>
      <c r="BG269" s="67" t="s">
        <v>142</v>
      </c>
      <c r="BH269" s="67"/>
      <c r="BI269" s="67"/>
      <c r="BJ269" s="67"/>
      <c r="BK269" s="67"/>
      <c r="BL269" s="67" t="s">
        <v>145</v>
      </c>
      <c r="BM269" s="67" t="s">
        <v>146</v>
      </c>
      <c r="BN269" s="100">
        <v>170.0</v>
      </c>
      <c r="BO269" s="102" t="s">
        <v>148</v>
      </c>
      <c r="BP269" s="67" t="s">
        <v>144</v>
      </c>
      <c r="BQ269" s="79" t="s">
        <v>141</v>
      </c>
      <c r="BR269" s="67">
        <v>2.0</v>
      </c>
      <c r="BS269" s="102" t="s">
        <v>149</v>
      </c>
      <c r="BT269" s="106"/>
      <c r="BU269" s="107"/>
      <c r="BV269" s="108">
        <f t="shared" si="2"/>
        <v>46223</v>
      </c>
      <c r="BW269" s="108">
        <f t="shared" si="16"/>
        <v>46224</v>
      </c>
      <c r="BX269" s="102" t="str">
        <f t="shared" si="15"/>
        <v>14</v>
      </c>
      <c r="BY269" s="107">
        <f t="shared" si="5"/>
        <v>2</v>
      </c>
      <c r="BZ269" s="107">
        <f t="array" ref="BZ269">IF($A269&lt;&gt;"",INDEX(LISTA!$M$2:$N$27,MATCH($BC269,LISTA!$N$2:$N$27,0),1),"")</f>
        <v>1</v>
      </c>
      <c r="CA269" s="67">
        <f t="shared" si="6"/>
        <v>7</v>
      </c>
      <c r="CB269" s="114" t="str">
        <f t="shared" si="7"/>
        <v/>
      </c>
      <c r="CC269" s="114"/>
    </row>
    <row r="270" ht="15.0" hidden="1" customHeight="1" outlineLevel="1">
      <c r="A270" s="59">
        <v>46228.659716875</v>
      </c>
      <c r="B270" s="115" t="s">
        <v>381</v>
      </c>
      <c r="C270" s="54" t="s">
        <v>100</v>
      </c>
      <c r="D270" s="56" t="s">
        <v>101</v>
      </c>
      <c r="E270" s="69">
        <v>46232.375</v>
      </c>
      <c r="F270" s="73" t="s">
        <v>3816</v>
      </c>
      <c r="G270" s="60" t="s">
        <v>3817</v>
      </c>
      <c r="H270" s="60" t="s">
        <v>3818</v>
      </c>
      <c r="I270" s="67" t="s">
        <v>107</v>
      </c>
      <c r="J270" s="79" t="s">
        <v>3819</v>
      </c>
      <c r="K270" s="67" t="s">
        <v>109</v>
      </c>
      <c r="L270" s="79" t="s">
        <v>3820</v>
      </c>
      <c r="M270" s="83" t="s">
        <v>3821</v>
      </c>
      <c r="N270" s="78">
        <v>30795.0</v>
      </c>
      <c r="O270" s="80" t="s">
        <v>52</v>
      </c>
      <c r="P270" s="70">
        <v>250101.0</v>
      </c>
      <c r="Q270" s="54"/>
      <c r="R270" s="84"/>
      <c r="S270" s="84"/>
      <c r="T270" s="54"/>
      <c r="U270" s="86"/>
      <c r="V270" s="54"/>
      <c r="W270" s="86"/>
      <c r="X270" s="54"/>
      <c r="Y270" s="78"/>
      <c r="Z270" s="54"/>
      <c r="AA270" s="70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 t="s">
        <v>1926</v>
      </c>
      <c r="AQ270" s="54" t="s">
        <v>3822</v>
      </c>
      <c r="AR270" s="83" t="s">
        <v>3823</v>
      </c>
      <c r="AS270" s="83" t="s">
        <v>3824</v>
      </c>
      <c r="AT270" s="93" t="s">
        <v>3819</v>
      </c>
      <c r="AU270" s="93" t="s">
        <v>3819</v>
      </c>
      <c r="AV270" s="93" t="s">
        <v>3819</v>
      </c>
      <c r="AW270" s="83" t="s">
        <v>3825</v>
      </c>
      <c r="AX270" s="83">
        <v>1.0</v>
      </c>
      <c r="AY270" s="83">
        <v>0.0</v>
      </c>
      <c r="AZ270" s="83" t="s">
        <v>3826</v>
      </c>
      <c r="BA270" s="83" t="s">
        <v>3827</v>
      </c>
      <c r="BB270" s="83" t="s">
        <v>3828</v>
      </c>
      <c r="BC270" s="54" t="s">
        <v>52</v>
      </c>
      <c r="BD270" s="54" t="str">
        <f t="shared" si="1"/>
        <v>Coronel Portillo</v>
      </c>
      <c r="BE270" s="67" t="s">
        <v>143</v>
      </c>
      <c r="BF270" s="67" t="s">
        <v>141</v>
      </c>
      <c r="BG270" s="67" t="s">
        <v>142</v>
      </c>
      <c r="BH270" s="67"/>
      <c r="BI270" s="67"/>
      <c r="BJ270" s="67"/>
      <c r="BK270" s="67"/>
      <c r="BL270" s="67" t="s">
        <v>147</v>
      </c>
      <c r="BM270" s="67" t="s">
        <v>146</v>
      </c>
      <c r="BN270" s="100">
        <v>89.0</v>
      </c>
      <c r="BO270" s="102" t="s">
        <v>148</v>
      </c>
      <c r="BP270" s="67" t="s">
        <v>141</v>
      </c>
      <c r="BQ270" s="79" t="s">
        <v>141</v>
      </c>
      <c r="BR270" s="67" t="s">
        <v>149</v>
      </c>
      <c r="BS270" s="102" t="s">
        <v>149</v>
      </c>
      <c r="BT270" s="106"/>
      <c r="BU270" s="107"/>
      <c r="BV270" s="108">
        <f t="shared" si="2"/>
        <v>46228</v>
      </c>
      <c r="BW270" s="108">
        <f t="shared" si="16"/>
        <v>46232</v>
      </c>
      <c r="BX270" s="102" t="str">
        <f t="shared" si="15"/>
        <v>09</v>
      </c>
      <c r="BY270" s="107">
        <f t="shared" si="5"/>
        <v>2</v>
      </c>
      <c r="BZ270" s="107">
        <f t="array" ref="BZ270">IF($A270&lt;&gt;"",INDEX(LISTA!$M$2:$N$27,MATCH($BC270,LISTA!$N$2:$N$27,0),1),"")</f>
        <v>26</v>
      </c>
      <c r="CA270" s="67">
        <f t="shared" si="6"/>
        <v>7</v>
      </c>
      <c r="CB270" s="114" t="str">
        <f t="shared" si="7"/>
        <v/>
      </c>
      <c r="CC270" s="114"/>
    </row>
    <row r="271" ht="15.0" hidden="1" customHeight="1" outlineLevel="1">
      <c r="A271" s="59">
        <v>46216.394807627315</v>
      </c>
      <c r="B271" s="115" t="s">
        <v>381</v>
      </c>
      <c r="C271" s="54" t="s">
        <v>100</v>
      </c>
      <c r="D271" s="56" t="s">
        <v>319</v>
      </c>
      <c r="E271" s="69">
        <v>46217.666666666664</v>
      </c>
      <c r="F271" s="73" t="s">
        <v>3485</v>
      </c>
      <c r="G271" s="60" t="s">
        <v>3829</v>
      </c>
      <c r="H271" s="60" t="s">
        <v>3830</v>
      </c>
      <c r="I271" s="67" t="s">
        <v>350</v>
      </c>
      <c r="J271" s="79" t="s">
        <v>3831</v>
      </c>
      <c r="K271" s="67" t="s">
        <v>109</v>
      </c>
      <c r="L271" s="79" t="s">
        <v>3832</v>
      </c>
      <c r="M271" s="83" t="s">
        <v>3833</v>
      </c>
      <c r="N271" s="78">
        <v>39121.0</v>
      </c>
      <c r="O271" s="80" t="s">
        <v>1120</v>
      </c>
      <c r="P271" s="156" t="s">
        <v>3834</v>
      </c>
      <c r="Q271" s="54"/>
      <c r="R271" s="84"/>
      <c r="S271" s="84"/>
      <c r="T271" s="54"/>
      <c r="U271" s="86"/>
      <c r="V271" s="54"/>
      <c r="W271" s="86"/>
      <c r="X271" s="54"/>
      <c r="Y271" s="78"/>
      <c r="Z271" s="54"/>
      <c r="AA271" s="70"/>
      <c r="AB271" s="83"/>
      <c r="AC271" s="83"/>
      <c r="AD271" s="83"/>
      <c r="AE271" s="83"/>
      <c r="AF271" s="83" t="s">
        <v>1355</v>
      </c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54" t="s">
        <v>3835</v>
      </c>
      <c r="AR271" s="83" t="s">
        <v>3836</v>
      </c>
      <c r="AS271" s="83" t="s">
        <v>3837</v>
      </c>
      <c r="AT271" s="93" t="s">
        <v>3838</v>
      </c>
      <c r="AU271" s="93" t="s">
        <v>3838</v>
      </c>
      <c r="AV271" s="93" t="s">
        <v>3831</v>
      </c>
      <c r="AW271" s="83" t="s">
        <v>3839</v>
      </c>
      <c r="AX271" s="83">
        <v>2.0</v>
      </c>
      <c r="AY271" s="83">
        <v>1.0</v>
      </c>
      <c r="AZ271" s="83" t="s">
        <v>3840</v>
      </c>
      <c r="BA271" s="83" t="s">
        <v>3841</v>
      </c>
      <c r="BB271" s="83" t="s">
        <v>3842</v>
      </c>
      <c r="BC271" s="54" t="s">
        <v>41</v>
      </c>
      <c r="BD271" s="54" t="str">
        <f t="shared" si="1"/>
        <v>Villa María del Triunfo</v>
      </c>
      <c r="BE271" s="67" t="s">
        <v>143</v>
      </c>
      <c r="BF271" s="67" t="s">
        <v>144</v>
      </c>
      <c r="BG271" s="67" t="s">
        <v>142</v>
      </c>
      <c r="BH271" s="67"/>
      <c r="BI271" s="67"/>
      <c r="BJ271" s="67"/>
      <c r="BK271" s="67"/>
      <c r="BL271" s="67" t="s">
        <v>147</v>
      </c>
      <c r="BM271" s="67" t="s">
        <v>214</v>
      </c>
      <c r="BN271" s="100">
        <v>89.0</v>
      </c>
      <c r="BO271" s="102" t="s">
        <v>148</v>
      </c>
      <c r="BP271" s="67" t="s">
        <v>141</v>
      </c>
      <c r="BQ271" s="79" t="s">
        <v>141</v>
      </c>
      <c r="BR271" s="67" t="s">
        <v>149</v>
      </c>
      <c r="BS271" s="102" t="s">
        <v>149</v>
      </c>
      <c r="BT271" s="106"/>
      <c r="BU271" s="107"/>
      <c r="BV271" s="108">
        <f t="shared" si="2"/>
        <v>46216</v>
      </c>
      <c r="BW271" s="108">
        <f t="shared" si="16"/>
        <v>46217</v>
      </c>
      <c r="BX271" s="102" t="str">
        <f t="shared" si="15"/>
        <v>16</v>
      </c>
      <c r="BY271" s="107">
        <f t="shared" si="5"/>
        <v>2</v>
      </c>
      <c r="BZ271" s="107">
        <f t="array" ref="BZ271">IF($A271&lt;&gt;"",INDEX(LISTA!$M$2:$N$27,MATCH($BC271,LISTA!$N$2:$N$27,0),1),"")</f>
        <v>1</v>
      </c>
      <c r="CA271" s="67">
        <f t="shared" si="6"/>
        <v>7</v>
      </c>
      <c r="CB271" s="114" t="str">
        <f t="shared" si="7"/>
        <v/>
      </c>
      <c r="CC271" s="114"/>
    </row>
    <row r="272" ht="15.0" hidden="1" customHeight="1" outlineLevel="1">
      <c r="A272" s="59">
        <v>46209.73041142361</v>
      </c>
      <c r="B272" s="115" t="s">
        <v>381</v>
      </c>
      <c r="C272" s="54" t="s">
        <v>100</v>
      </c>
      <c r="D272" s="56" t="s">
        <v>101</v>
      </c>
      <c r="E272" s="69">
        <v>46211.375</v>
      </c>
      <c r="F272" s="73" t="s">
        <v>3843</v>
      </c>
      <c r="G272" s="60" t="s">
        <v>3844</v>
      </c>
      <c r="H272" s="60" t="s">
        <v>3845</v>
      </c>
      <c r="I272" s="67" t="s">
        <v>367</v>
      </c>
      <c r="J272" s="79" t="s">
        <v>3846</v>
      </c>
      <c r="K272" s="67" t="s">
        <v>109</v>
      </c>
      <c r="L272" s="79" t="s">
        <v>3847</v>
      </c>
      <c r="M272" s="83" t="s">
        <v>3848</v>
      </c>
      <c r="N272" s="78">
        <v>35610.0</v>
      </c>
      <c r="O272" s="80" t="s">
        <v>24</v>
      </c>
      <c r="P272" s="156" t="s">
        <v>1283</v>
      </c>
      <c r="Q272" s="54"/>
      <c r="R272" s="84" t="s">
        <v>1284</v>
      </c>
      <c r="S272" s="84"/>
      <c r="T272" s="54"/>
      <c r="U272" s="86"/>
      <c r="V272" s="54"/>
      <c r="W272" s="86"/>
      <c r="X272" s="54"/>
      <c r="Y272" s="78"/>
      <c r="Z272" s="54"/>
      <c r="AA272" s="70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54" t="s">
        <v>3849</v>
      </c>
      <c r="AR272" s="83" t="s">
        <v>3850</v>
      </c>
      <c r="AS272" s="83" t="s">
        <v>3851</v>
      </c>
      <c r="AT272" s="93" t="s">
        <v>3846</v>
      </c>
      <c r="AU272" s="93" t="s">
        <v>3846</v>
      </c>
      <c r="AV272" s="93" t="s">
        <v>3846</v>
      </c>
      <c r="AW272" s="83" t="s">
        <v>3852</v>
      </c>
      <c r="AX272" s="83">
        <v>1.0</v>
      </c>
      <c r="AY272" s="83" t="s">
        <v>1767</v>
      </c>
      <c r="AZ272" s="83" t="s">
        <v>3853</v>
      </c>
      <c r="BA272" s="83" t="s">
        <v>3854</v>
      </c>
      <c r="BB272" s="83" t="s">
        <v>3855</v>
      </c>
      <c r="BC272" s="54" t="s">
        <v>24</v>
      </c>
      <c r="BD272" s="54" t="str">
        <f t="shared" si="1"/>
        <v>Santa</v>
      </c>
      <c r="BE272" s="67" t="s">
        <v>140</v>
      </c>
      <c r="BF272" s="67" t="s">
        <v>141</v>
      </c>
      <c r="BG272" s="67" t="s">
        <v>142</v>
      </c>
      <c r="BH272" s="67"/>
      <c r="BI272" s="67"/>
      <c r="BJ272" s="67"/>
      <c r="BK272" s="67"/>
      <c r="BL272" s="67" t="s">
        <v>145</v>
      </c>
      <c r="BM272" s="67" t="s">
        <v>146</v>
      </c>
      <c r="BN272" s="100">
        <v>160.0</v>
      </c>
      <c r="BO272" s="102" t="s">
        <v>182</v>
      </c>
      <c r="BP272" s="67" t="s">
        <v>144</v>
      </c>
      <c r="BQ272" s="79" t="s">
        <v>141</v>
      </c>
      <c r="BR272" s="67">
        <v>2.0</v>
      </c>
      <c r="BS272" s="102" t="s">
        <v>149</v>
      </c>
      <c r="BT272" s="106"/>
      <c r="BU272" s="107"/>
      <c r="BV272" s="108">
        <f t="shared" si="2"/>
        <v>46209</v>
      </c>
      <c r="BW272" s="108">
        <f t="shared" si="16"/>
        <v>46211</v>
      </c>
      <c r="BX272" s="102" t="str">
        <f t="shared" si="15"/>
        <v>09</v>
      </c>
      <c r="BY272" s="107">
        <f t="shared" si="5"/>
        <v>2</v>
      </c>
      <c r="BZ272" s="107">
        <f t="array" ref="BZ272">IF($A272&lt;&gt;"",INDEX(LISTA!$M$2:$N$27,MATCH($BC272,LISTA!$N$2:$N$27,0),1),"")</f>
        <v>5</v>
      </c>
      <c r="CA272" s="67">
        <f t="shared" si="6"/>
        <v>7</v>
      </c>
      <c r="CB272" s="114" t="str">
        <f t="shared" si="7"/>
        <v/>
      </c>
      <c r="CC272" s="114"/>
    </row>
    <row r="273" ht="15.0" hidden="1" customHeight="1" outlineLevel="1">
      <c r="A273" s="59">
        <v>46209.73799300926</v>
      </c>
      <c r="B273" s="115" t="s">
        <v>381</v>
      </c>
      <c r="C273" s="54" t="s">
        <v>100</v>
      </c>
      <c r="D273" s="56" t="s">
        <v>101</v>
      </c>
      <c r="E273" s="69">
        <v>46225.375</v>
      </c>
      <c r="F273" s="73" t="s">
        <v>3856</v>
      </c>
      <c r="G273" s="60" t="s">
        <v>3857</v>
      </c>
      <c r="H273" s="60" t="s">
        <v>3858</v>
      </c>
      <c r="I273" s="67" t="s">
        <v>107</v>
      </c>
      <c r="J273" s="79" t="s">
        <v>3859</v>
      </c>
      <c r="K273" s="67" t="s">
        <v>109</v>
      </c>
      <c r="L273" s="79" t="s">
        <v>3860</v>
      </c>
      <c r="M273" s="83" t="s">
        <v>3861</v>
      </c>
      <c r="N273" s="78">
        <v>34563.0</v>
      </c>
      <c r="O273" s="80" t="s">
        <v>37</v>
      </c>
      <c r="P273" s="70">
        <v>140101.0</v>
      </c>
      <c r="Q273" s="54"/>
      <c r="R273" s="84"/>
      <c r="S273" s="84"/>
      <c r="T273" s="54"/>
      <c r="U273" s="86"/>
      <c r="V273" s="54"/>
      <c r="W273" s="86"/>
      <c r="X273" s="54"/>
      <c r="Y273" s="78"/>
      <c r="Z273" s="54"/>
      <c r="AA273" s="70"/>
      <c r="AB273" s="83"/>
      <c r="AC273" s="83"/>
      <c r="AD273" s="83"/>
      <c r="AE273" s="83"/>
      <c r="AF273" s="83" t="s">
        <v>972</v>
      </c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54" t="s">
        <v>3862</v>
      </c>
      <c r="AR273" s="83" t="s">
        <v>3863</v>
      </c>
      <c r="AS273" s="83" t="s">
        <v>3864</v>
      </c>
      <c r="AT273" s="93" t="s">
        <v>3859</v>
      </c>
      <c r="AU273" s="93" t="s">
        <v>3859</v>
      </c>
      <c r="AV273" s="93" t="s">
        <v>3859</v>
      </c>
      <c r="AW273" s="83" t="s">
        <v>3865</v>
      </c>
      <c r="AX273" s="83">
        <v>1.0</v>
      </c>
      <c r="AY273" s="83">
        <v>1.0</v>
      </c>
      <c r="AZ273" s="83" t="s">
        <v>3866</v>
      </c>
      <c r="BA273" s="83" t="s">
        <v>3867</v>
      </c>
      <c r="BB273" s="83" t="s">
        <v>1112</v>
      </c>
      <c r="BC273" s="54" t="s">
        <v>41</v>
      </c>
      <c r="BD273" s="54" t="str">
        <f t="shared" si="1"/>
        <v>San Juan de Lurigancho</v>
      </c>
      <c r="BE273" s="67" t="s">
        <v>140</v>
      </c>
      <c r="BF273" s="67" t="s">
        <v>144</v>
      </c>
      <c r="BG273" s="67" t="s">
        <v>142</v>
      </c>
      <c r="BH273" s="67"/>
      <c r="BI273" s="67"/>
      <c r="BJ273" s="67"/>
      <c r="BK273" s="67"/>
      <c r="BL273" s="67" t="s">
        <v>727</v>
      </c>
      <c r="BM273" s="67" t="s">
        <v>146</v>
      </c>
      <c r="BN273" s="100">
        <v>175.0</v>
      </c>
      <c r="BO273" s="102" t="s">
        <v>148</v>
      </c>
      <c r="BP273" s="67" t="s">
        <v>144</v>
      </c>
      <c r="BQ273" s="79" t="s">
        <v>144</v>
      </c>
      <c r="BR273" s="67">
        <v>2.0</v>
      </c>
      <c r="BS273" s="102">
        <v>1.0</v>
      </c>
      <c r="BT273" s="106"/>
      <c r="BU273" s="107"/>
      <c r="BV273" s="108">
        <f t="shared" si="2"/>
        <v>46209</v>
      </c>
      <c r="BW273" s="108">
        <f t="shared" si="16"/>
        <v>46225</v>
      </c>
      <c r="BX273" s="102" t="str">
        <f t="shared" si="15"/>
        <v>09</v>
      </c>
      <c r="BY273" s="107">
        <f t="shared" si="5"/>
        <v>2</v>
      </c>
      <c r="BZ273" s="107">
        <f t="array" ref="BZ273">IF($A273&lt;&gt;"",INDEX(LISTA!$M$2:$N$27,MATCH($BC273,LISTA!$N$2:$N$27,0),1),"")</f>
        <v>1</v>
      </c>
      <c r="CA273" s="67">
        <f t="shared" si="6"/>
        <v>7</v>
      </c>
      <c r="CB273" s="114" t="str">
        <f t="shared" si="7"/>
        <v/>
      </c>
      <c r="CC273" s="114"/>
    </row>
    <row r="274" ht="15.0" hidden="1" customHeight="1" outlineLevel="1">
      <c r="A274" s="59">
        <v>46209.76729092593</v>
      </c>
      <c r="B274" s="115" t="s">
        <v>381</v>
      </c>
      <c r="C274" s="54" t="s">
        <v>100</v>
      </c>
      <c r="D274" s="56" t="s">
        <v>101</v>
      </c>
      <c r="E274" s="69">
        <v>46226.583333333336</v>
      </c>
      <c r="F274" s="73" t="s">
        <v>3868</v>
      </c>
      <c r="G274" s="60" t="s">
        <v>3869</v>
      </c>
      <c r="H274" s="60" t="s">
        <v>3870</v>
      </c>
      <c r="I274" s="67" t="s">
        <v>367</v>
      </c>
      <c r="J274" s="79" t="s">
        <v>3871</v>
      </c>
      <c r="K274" s="67" t="s">
        <v>109</v>
      </c>
      <c r="L274" s="79" t="s">
        <v>3872</v>
      </c>
      <c r="M274" s="83" t="s">
        <v>3873</v>
      </c>
      <c r="N274" s="78">
        <v>35297.0</v>
      </c>
      <c r="O274" s="80" t="s">
        <v>41</v>
      </c>
      <c r="P274" s="70">
        <v>150113.0</v>
      </c>
      <c r="Q274" s="54"/>
      <c r="R274" s="84"/>
      <c r="S274" s="84"/>
      <c r="T274" s="54"/>
      <c r="U274" s="86"/>
      <c r="V274" s="54"/>
      <c r="W274" s="86"/>
      <c r="X274" s="54"/>
      <c r="Y274" s="78"/>
      <c r="Z274" s="54"/>
      <c r="AA274" s="70"/>
      <c r="AB274" s="83"/>
      <c r="AC274" s="83"/>
      <c r="AD274" s="83"/>
      <c r="AE274" s="83"/>
      <c r="AF274" s="83" t="s">
        <v>467</v>
      </c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54" t="s">
        <v>3874</v>
      </c>
      <c r="AR274" s="83" t="s">
        <v>3875</v>
      </c>
      <c r="AS274" s="83" t="s">
        <v>3876</v>
      </c>
      <c r="AT274" s="93" t="s">
        <v>3871</v>
      </c>
      <c r="AU274" s="93" t="s">
        <v>3871</v>
      </c>
      <c r="AV274" s="93" t="s">
        <v>3871</v>
      </c>
      <c r="AW274" s="83" t="s">
        <v>3877</v>
      </c>
      <c r="AX274" s="83">
        <v>2.0</v>
      </c>
      <c r="AY274" s="83">
        <v>202.0</v>
      </c>
      <c r="AZ274" s="83" t="s">
        <v>3878</v>
      </c>
      <c r="BA274" s="83" t="s">
        <v>3879</v>
      </c>
      <c r="BB274" s="83" t="s">
        <v>3880</v>
      </c>
      <c r="BC274" s="54" t="s">
        <v>41</v>
      </c>
      <c r="BD274" s="54" t="str">
        <f t="shared" si="1"/>
        <v>Surquillo</v>
      </c>
      <c r="BE274" s="67" t="s">
        <v>143</v>
      </c>
      <c r="BF274" s="67" t="s">
        <v>144</v>
      </c>
      <c r="BG274" s="67" t="s">
        <v>142</v>
      </c>
      <c r="BH274" s="67"/>
      <c r="BI274" s="67"/>
      <c r="BJ274" s="67"/>
      <c r="BK274" s="67"/>
      <c r="BL274" s="67" t="s">
        <v>213</v>
      </c>
      <c r="BM274" s="67" t="s">
        <v>146</v>
      </c>
      <c r="BN274" s="100">
        <v>110.0</v>
      </c>
      <c r="BO274" s="102" t="s">
        <v>182</v>
      </c>
      <c r="BP274" s="67" t="s">
        <v>144</v>
      </c>
      <c r="BQ274" s="79" t="s">
        <v>141</v>
      </c>
      <c r="BR274" s="67" t="s">
        <v>149</v>
      </c>
      <c r="BS274" s="102" t="s">
        <v>149</v>
      </c>
      <c r="BT274" s="106"/>
      <c r="BU274" s="107"/>
      <c r="BV274" s="108">
        <f t="shared" si="2"/>
        <v>46209</v>
      </c>
      <c r="BW274" s="108">
        <f t="shared" si="16"/>
        <v>46226</v>
      </c>
      <c r="BX274" s="102" t="str">
        <f t="shared" si="15"/>
        <v>14</v>
      </c>
      <c r="BY274" s="107">
        <f t="shared" si="5"/>
        <v>2</v>
      </c>
      <c r="BZ274" s="107">
        <f t="array" ref="BZ274">IF($A274&lt;&gt;"",INDEX(LISTA!$M$2:$N$27,MATCH($BC274,LISTA!$N$2:$N$27,0),1),"")</f>
        <v>1</v>
      </c>
      <c r="CA274" s="67">
        <f t="shared" si="6"/>
        <v>7</v>
      </c>
      <c r="CB274" s="114" t="str">
        <f t="shared" si="7"/>
        <v/>
      </c>
      <c r="CC274" s="114"/>
    </row>
    <row r="275" ht="15.0" hidden="1" customHeight="1" outlineLevel="1">
      <c r="A275" s="59">
        <v>46211.76683278935</v>
      </c>
      <c r="B275" s="115" t="s">
        <v>381</v>
      </c>
      <c r="C275" s="54" t="s">
        <v>100</v>
      </c>
      <c r="D275" s="56" t="s">
        <v>101</v>
      </c>
      <c r="E275" s="69">
        <v>46220.375</v>
      </c>
      <c r="F275" s="73" t="s">
        <v>3881</v>
      </c>
      <c r="G275" s="60" t="s">
        <v>3882</v>
      </c>
      <c r="H275" s="60" t="s">
        <v>3883</v>
      </c>
      <c r="I275" s="67" t="s">
        <v>156</v>
      </c>
      <c r="J275" s="79" t="s">
        <v>3884</v>
      </c>
      <c r="K275" s="67" t="s">
        <v>109</v>
      </c>
      <c r="L275" s="79" t="s">
        <v>3885</v>
      </c>
      <c r="M275" s="83" t="s">
        <v>3886</v>
      </c>
      <c r="N275" s="78">
        <v>35530.0</v>
      </c>
      <c r="O275" s="80" t="s">
        <v>37</v>
      </c>
      <c r="P275" s="70">
        <v>140142.0</v>
      </c>
      <c r="Q275" s="54"/>
      <c r="R275" s="84"/>
      <c r="S275" s="84"/>
      <c r="T275" s="54"/>
      <c r="U275" s="86"/>
      <c r="V275" s="54"/>
      <c r="W275" s="86"/>
      <c r="X275" s="54"/>
      <c r="Y275" s="78"/>
      <c r="Z275" s="54"/>
      <c r="AA275" s="70"/>
      <c r="AB275" s="83"/>
      <c r="AC275" s="83"/>
      <c r="AD275" s="83"/>
      <c r="AE275" s="83"/>
      <c r="AF275" s="83" t="s">
        <v>165</v>
      </c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54" t="s">
        <v>754</v>
      </c>
      <c r="AR275" s="83" t="s">
        <v>3887</v>
      </c>
      <c r="AS275" s="83" t="s">
        <v>3888</v>
      </c>
      <c r="AT275" s="93" t="s">
        <v>3884</v>
      </c>
      <c r="AU275" s="93" t="s">
        <v>3884</v>
      </c>
      <c r="AV275" s="93" t="s">
        <v>3884</v>
      </c>
      <c r="AW275" s="83" t="s">
        <v>3889</v>
      </c>
      <c r="AX275" s="83">
        <v>1.0</v>
      </c>
      <c r="AY275" s="83" t="s">
        <v>174</v>
      </c>
      <c r="AZ275" s="83" t="s">
        <v>3890</v>
      </c>
      <c r="BA275" s="83" t="s">
        <v>3891</v>
      </c>
      <c r="BB275" s="83" t="s">
        <v>3892</v>
      </c>
      <c r="BC275" s="54" t="s">
        <v>41</v>
      </c>
      <c r="BD275" s="54" t="str">
        <f t="shared" si="1"/>
        <v>San Martín de Porres</v>
      </c>
      <c r="BE275" s="67" t="s">
        <v>140</v>
      </c>
      <c r="BF275" s="67" t="s">
        <v>144</v>
      </c>
      <c r="BG275" s="67" t="s">
        <v>142</v>
      </c>
      <c r="BH275" s="67"/>
      <c r="BI275" s="67"/>
      <c r="BJ275" s="67"/>
      <c r="BK275" s="67"/>
      <c r="BL275" s="67" t="s">
        <v>147</v>
      </c>
      <c r="BM275" s="67" t="s">
        <v>247</v>
      </c>
      <c r="BN275" s="100">
        <v>89.0</v>
      </c>
      <c r="BO275" s="102" t="s">
        <v>148</v>
      </c>
      <c r="BP275" s="67" t="s">
        <v>141</v>
      </c>
      <c r="BQ275" s="79" t="s">
        <v>141</v>
      </c>
      <c r="BR275" s="67" t="s">
        <v>149</v>
      </c>
      <c r="BS275" s="102">
        <v>1.0</v>
      </c>
      <c r="BT275" s="106"/>
      <c r="BU275" s="107"/>
      <c r="BV275" s="108">
        <f t="shared" si="2"/>
        <v>46211</v>
      </c>
      <c r="BW275" s="108">
        <f t="shared" si="16"/>
        <v>46220</v>
      </c>
      <c r="BX275" s="102" t="str">
        <f t="shared" si="15"/>
        <v>09</v>
      </c>
      <c r="BY275" s="107">
        <f t="shared" si="5"/>
        <v>2</v>
      </c>
      <c r="BZ275" s="107">
        <f t="array" ref="BZ275">IF($A275&lt;&gt;"",INDEX(LISTA!$M$2:$N$27,MATCH($BC275,LISTA!$N$2:$N$27,0),1),"")</f>
        <v>1</v>
      </c>
      <c r="CA275" s="67">
        <f t="shared" si="6"/>
        <v>7</v>
      </c>
      <c r="CB275" s="114" t="str">
        <f t="shared" si="7"/>
        <v/>
      </c>
      <c r="CC275" s="114"/>
    </row>
    <row r="276" ht="15.0" hidden="1" customHeight="1" outlineLevel="1">
      <c r="A276" s="59">
        <v>46212.740609050925</v>
      </c>
      <c r="B276" s="115" t="s">
        <v>381</v>
      </c>
      <c r="C276" s="54" t="s">
        <v>100</v>
      </c>
      <c r="D276" s="56" t="s">
        <v>101</v>
      </c>
      <c r="E276" s="69">
        <v>46214.666666666664</v>
      </c>
      <c r="F276" s="73" t="s">
        <v>3893</v>
      </c>
      <c r="G276" s="60" t="s">
        <v>3894</v>
      </c>
      <c r="H276" s="60" t="s">
        <v>3895</v>
      </c>
      <c r="I276" s="67" t="s">
        <v>355</v>
      </c>
      <c r="J276" s="79" t="s">
        <v>3896</v>
      </c>
      <c r="K276" s="67" t="s">
        <v>109</v>
      </c>
      <c r="L276" s="79" t="s">
        <v>3897</v>
      </c>
      <c r="M276" s="83" t="s">
        <v>3898</v>
      </c>
      <c r="N276" s="78">
        <v>34458.0</v>
      </c>
      <c r="O276" s="80" t="s">
        <v>37</v>
      </c>
      <c r="P276" s="70">
        <v>150136.0</v>
      </c>
      <c r="Q276" s="54"/>
      <c r="R276" s="84"/>
      <c r="S276" s="84"/>
      <c r="T276" s="54"/>
      <c r="U276" s="86"/>
      <c r="V276" s="54"/>
      <c r="W276" s="86"/>
      <c r="X276" s="54"/>
      <c r="Y276" s="78"/>
      <c r="Z276" s="54"/>
      <c r="AA276" s="70"/>
      <c r="AB276" s="83"/>
      <c r="AC276" s="83"/>
      <c r="AD276" s="83"/>
      <c r="AE276" s="83"/>
      <c r="AF276" s="83" t="s">
        <v>2735</v>
      </c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54" t="s">
        <v>716</v>
      </c>
      <c r="AR276" s="83" t="s">
        <v>3624</v>
      </c>
      <c r="AS276" s="83" t="s">
        <v>3899</v>
      </c>
      <c r="AT276" s="93" t="s">
        <v>3896</v>
      </c>
      <c r="AU276" s="93" t="s">
        <v>3896</v>
      </c>
      <c r="AV276" s="93" t="s">
        <v>3896</v>
      </c>
      <c r="AW276" s="83" t="s">
        <v>3900</v>
      </c>
      <c r="AX276" s="83">
        <v>4.0</v>
      </c>
      <c r="AY276" s="83">
        <v>416.0</v>
      </c>
      <c r="AZ276" s="83" t="s">
        <v>3901</v>
      </c>
      <c r="BA276" s="83" t="s">
        <v>3902</v>
      </c>
      <c r="BB276" s="83" t="s">
        <v>3903</v>
      </c>
      <c r="BC276" s="54" t="s">
        <v>41</v>
      </c>
      <c r="BD276" s="54" t="str">
        <f t="shared" si="1"/>
        <v>San Miguel</v>
      </c>
      <c r="BE276" s="67" t="s">
        <v>140</v>
      </c>
      <c r="BF276" s="67" t="s">
        <v>144</v>
      </c>
      <c r="BG276" s="67" t="s">
        <v>142</v>
      </c>
      <c r="BH276" s="67"/>
      <c r="BI276" s="67"/>
      <c r="BJ276" s="67"/>
      <c r="BK276" s="67"/>
      <c r="BL276" s="67" t="s">
        <v>147</v>
      </c>
      <c r="BM276" s="67" t="s">
        <v>146</v>
      </c>
      <c r="BN276" s="100">
        <v>69.0</v>
      </c>
      <c r="BO276" s="102" t="s">
        <v>615</v>
      </c>
      <c r="BP276" s="67" t="s">
        <v>141</v>
      </c>
      <c r="BQ276" s="79" t="s">
        <v>141</v>
      </c>
      <c r="BR276" s="67" t="s">
        <v>149</v>
      </c>
      <c r="BS276" s="102" t="s">
        <v>149</v>
      </c>
      <c r="BT276" s="106"/>
      <c r="BU276" s="107"/>
      <c r="BV276" s="108">
        <f t="shared" si="2"/>
        <v>46212</v>
      </c>
      <c r="BW276" s="108">
        <f t="shared" si="16"/>
        <v>46214</v>
      </c>
      <c r="BX276" s="102" t="str">
        <f t="shared" si="15"/>
        <v>16</v>
      </c>
      <c r="BY276" s="107">
        <f t="shared" si="5"/>
        <v>2</v>
      </c>
      <c r="BZ276" s="107">
        <f t="array" ref="BZ276">IF($A276&lt;&gt;"",INDEX(LISTA!$M$2:$N$27,MATCH($BC276,LISTA!$N$2:$N$27,0),1),"")</f>
        <v>1</v>
      </c>
      <c r="CA276" s="67">
        <f t="shared" si="6"/>
        <v>7</v>
      </c>
      <c r="CB276" s="114" t="str">
        <f t="shared" si="7"/>
        <v/>
      </c>
      <c r="CC276" s="114"/>
    </row>
    <row r="277" ht="15.0" hidden="1" customHeight="1" outlineLevel="1">
      <c r="A277" s="59">
        <v>46214.70255825232</v>
      </c>
      <c r="B277" s="115" t="s">
        <v>381</v>
      </c>
      <c r="C277" s="54" t="s">
        <v>100</v>
      </c>
      <c r="D277" s="56" t="s">
        <v>319</v>
      </c>
      <c r="E277" s="69">
        <v>46216.458333333336</v>
      </c>
      <c r="F277" s="73" t="s">
        <v>3904</v>
      </c>
      <c r="G277" s="60" t="s">
        <v>3905</v>
      </c>
      <c r="H277" s="60" t="s">
        <v>3906</v>
      </c>
      <c r="I277" s="67" t="s">
        <v>234</v>
      </c>
      <c r="J277" s="79" t="s">
        <v>3907</v>
      </c>
      <c r="K277" s="67" t="s">
        <v>109</v>
      </c>
      <c r="L277" s="79" t="s">
        <v>3908</v>
      </c>
      <c r="M277" s="83" t="s">
        <v>3909</v>
      </c>
      <c r="N277" s="78">
        <v>27894.0</v>
      </c>
      <c r="O277" s="80" t="s">
        <v>41</v>
      </c>
      <c r="P277" s="70">
        <v>150101.0</v>
      </c>
      <c r="Q277" s="54"/>
      <c r="R277" s="84"/>
      <c r="S277" s="84"/>
      <c r="T277" s="54"/>
      <c r="U277" s="86"/>
      <c r="V277" s="54"/>
      <c r="W277" s="86"/>
      <c r="X277" s="54"/>
      <c r="Y277" s="78"/>
      <c r="Z277" s="54"/>
      <c r="AA277" s="70"/>
      <c r="AB277" s="83"/>
      <c r="AC277" s="83"/>
      <c r="AD277" s="83"/>
      <c r="AE277" s="83"/>
      <c r="AF277" s="83" t="s">
        <v>577</v>
      </c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54" t="s">
        <v>2697</v>
      </c>
      <c r="AR277" s="83" t="s">
        <v>3910</v>
      </c>
      <c r="AS277" s="83" t="s">
        <v>3911</v>
      </c>
      <c r="AT277" s="93" t="s">
        <v>3907</v>
      </c>
      <c r="AU277" s="93" t="s">
        <v>3907</v>
      </c>
      <c r="AV277" s="93" t="s">
        <v>3907</v>
      </c>
      <c r="AW277" s="83" t="s">
        <v>3912</v>
      </c>
      <c r="AX277" s="83">
        <v>1.0</v>
      </c>
      <c r="AY277" s="83">
        <v>0.0</v>
      </c>
      <c r="AZ277" s="83" t="s">
        <v>3913</v>
      </c>
      <c r="BA277" s="83" t="s">
        <v>3914</v>
      </c>
      <c r="BB277" s="83" t="s">
        <v>3915</v>
      </c>
      <c r="BC277" s="54" t="s">
        <v>41</v>
      </c>
      <c r="BD277" s="54" t="str">
        <f t="shared" si="1"/>
        <v>Rimac</v>
      </c>
      <c r="BE277" s="67" t="s">
        <v>140</v>
      </c>
      <c r="BF277" s="67" t="s">
        <v>141</v>
      </c>
      <c r="BG277" s="67" t="s">
        <v>142</v>
      </c>
      <c r="BH277" s="67"/>
      <c r="BI277" s="67"/>
      <c r="BJ277" s="67"/>
      <c r="BK277" s="67"/>
      <c r="BL277" s="67" t="s">
        <v>147</v>
      </c>
      <c r="BM277" s="67" t="s">
        <v>247</v>
      </c>
      <c r="BN277" s="100">
        <v>89.0</v>
      </c>
      <c r="BO277" s="102" t="s">
        <v>148</v>
      </c>
      <c r="BP277" s="67" t="s">
        <v>141</v>
      </c>
      <c r="BQ277" s="79" t="s">
        <v>141</v>
      </c>
      <c r="BR277" s="67" t="s">
        <v>149</v>
      </c>
      <c r="BS277" s="102">
        <v>1.0</v>
      </c>
      <c r="BT277" s="106"/>
      <c r="BU277" s="107"/>
      <c r="BV277" s="108">
        <f t="shared" si="2"/>
        <v>46214</v>
      </c>
      <c r="BW277" s="108">
        <f t="shared" si="16"/>
        <v>46216</v>
      </c>
      <c r="BX277" s="102" t="str">
        <f t="shared" si="15"/>
        <v>11</v>
      </c>
      <c r="BY277" s="107">
        <f t="shared" si="5"/>
        <v>2</v>
      </c>
      <c r="BZ277" s="107">
        <f t="array" ref="BZ277">IF($A277&lt;&gt;"",INDEX(LISTA!$M$2:$N$27,MATCH($BC277,LISTA!$N$2:$N$27,0),1),"")</f>
        <v>1</v>
      </c>
      <c r="CA277" s="67">
        <f t="shared" si="6"/>
        <v>7</v>
      </c>
      <c r="CB277" s="114" t="str">
        <f t="shared" si="7"/>
        <v/>
      </c>
      <c r="CC277" s="114"/>
    </row>
    <row r="278" ht="15.0" hidden="1" customHeight="1" outlineLevel="1">
      <c r="A278" s="59">
        <v>46214.7462618287</v>
      </c>
      <c r="B278" s="115" t="s">
        <v>381</v>
      </c>
      <c r="C278" s="54" t="s">
        <v>100</v>
      </c>
      <c r="D278" s="56" t="s">
        <v>319</v>
      </c>
      <c r="E278" s="69">
        <v>46220.583333333336</v>
      </c>
      <c r="F278" s="73" t="s">
        <v>3916</v>
      </c>
      <c r="G278" s="60" t="s">
        <v>3917</v>
      </c>
      <c r="H278" s="60" t="s">
        <v>3918</v>
      </c>
      <c r="I278" s="67" t="s">
        <v>107</v>
      </c>
      <c r="J278" s="79" t="s">
        <v>3919</v>
      </c>
      <c r="K278" s="67" t="s">
        <v>109</v>
      </c>
      <c r="L278" s="79" t="s">
        <v>3920</v>
      </c>
      <c r="M278" s="83" t="s">
        <v>3921</v>
      </c>
      <c r="N278" s="78">
        <v>18554.0</v>
      </c>
      <c r="O278" s="80" t="s">
        <v>37</v>
      </c>
      <c r="P278" s="70">
        <v>140501.0</v>
      </c>
      <c r="Q278" s="54"/>
      <c r="R278" s="84"/>
      <c r="S278" s="84"/>
      <c r="T278" s="54"/>
      <c r="U278" s="86"/>
      <c r="V278" s="54"/>
      <c r="W278" s="86"/>
      <c r="X278" s="54"/>
      <c r="Y278" s="78"/>
      <c r="Z278" s="54"/>
      <c r="AA278" s="70"/>
      <c r="AB278" s="83"/>
      <c r="AC278" s="83"/>
      <c r="AD278" s="83"/>
      <c r="AE278" s="83"/>
      <c r="AF278" s="83" t="s">
        <v>1159</v>
      </c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54" t="s">
        <v>3922</v>
      </c>
      <c r="AR278" s="83" t="s">
        <v>125</v>
      </c>
      <c r="AS278" s="83" t="s">
        <v>3923</v>
      </c>
      <c r="AT278" s="93" t="s">
        <v>3919</v>
      </c>
      <c r="AU278" s="93" t="s">
        <v>3919</v>
      </c>
      <c r="AV278" s="93" t="s">
        <v>3919</v>
      </c>
      <c r="AW278" s="83" t="s">
        <v>3924</v>
      </c>
      <c r="AX278" s="83">
        <v>1.0</v>
      </c>
      <c r="AY278" s="83">
        <v>104.0</v>
      </c>
      <c r="AZ278" s="83" t="s">
        <v>3925</v>
      </c>
      <c r="BA278" s="83" t="s">
        <v>3926</v>
      </c>
      <c r="BB278" s="83" t="s">
        <v>3927</v>
      </c>
      <c r="BC278" s="54" t="s">
        <v>41</v>
      </c>
      <c r="BD278" s="54" t="str">
        <f t="shared" si="1"/>
        <v>Cercado de Lima</v>
      </c>
      <c r="BE278" s="67" t="s">
        <v>140</v>
      </c>
      <c r="BF278" s="67" t="s">
        <v>141</v>
      </c>
      <c r="BG278" s="67" t="s">
        <v>142</v>
      </c>
      <c r="BH278" s="67"/>
      <c r="BI278" s="67"/>
      <c r="BJ278" s="67"/>
      <c r="BK278" s="67"/>
      <c r="BL278" s="67" t="s">
        <v>145</v>
      </c>
      <c r="BM278" s="67" t="s">
        <v>146</v>
      </c>
      <c r="BN278" s="100">
        <v>150.0</v>
      </c>
      <c r="BO278" s="102" t="s">
        <v>615</v>
      </c>
      <c r="BP278" s="67" t="s">
        <v>144</v>
      </c>
      <c r="BQ278" s="79" t="s">
        <v>141</v>
      </c>
      <c r="BR278" s="67">
        <v>2.0</v>
      </c>
      <c r="BS278" s="102">
        <v>1.0</v>
      </c>
      <c r="BT278" s="106"/>
      <c r="BU278" s="107"/>
      <c r="BV278" s="108">
        <f t="shared" si="2"/>
        <v>46214</v>
      </c>
      <c r="BW278" s="108">
        <f t="shared" si="16"/>
        <v>46220</v>
      </c>
      <c r="BX278" s="102" t="str">
        <f t="shared" si="15"/>
        <v>14</v>
      </c>
      <c r="BY278" s="107">
        <f t="shared" si="5"/>
        <v>2</v>
      </c>
      <c r="BZ278" s="107">
        <f t="array" ref="BZ278">IF($A278&lt;&gt;"",INDEX(LISTA!$M$2:$N$27,MATCH($BC278,LISTA!$N$2:$N$27,0),1),"")</f>
        <v>1</v>
      </c>
      <c r="CA278" s="67">
        <f t="shared" si="6"/>
        <v>7</v>
      </c>
      <c r="CB278" s="114" t="str">
        <f t="shared" si="7"/>
        <v/>
      </c>
      <c r="CC278" s="114"/>
    </row>
    <row r="279" ht="15.0" hidden="1" customHeight="1" outlineLevel="1">
      <c r="A279" s="59">
        <v>46214.78238962963</v>
      </c>
      <c r="B279" s="115" t="s">
        <v>381</v>
      </c>
      <c r="C279" s="54" t="s">
        <v>100</v>
      </c>
      <c r="D279" s="56" t="s">
        <v>319</v>
      </c>
      <c r="E279" s="69">
        <v>46216.375</v>
      </c>
      <c r="F279" s="73"/>
      <c r="G279" s="60" t="s">
        <v>3928</v>
      </c>
      <c r="H279" s="60" t="s">
        <v>3929</v>
      </c>
      <c r="I279" s="67" t="s">
        <v>107</v>
      </c>
      <c r="J279" s="79" t="s">
        <v>3930</v>
      </c>
      <c r="K279" s="67" t="s">
        <v>109</v>
      </c>
      <c r="L279" s="79" t="s">
        <v>3931</v>
      </c>
      <c r="M279" s="83" t="s">
        <v>3932</v>
      </c>
      <c r="N279" s="78">
        <v>26652.0</v>
      </c>
      <c r="O279" s="80" t="s">
        <v>24</v>
      </c>
      <c r="P279" s="156" t="s">
        <v>1154</v>
      </c>
      <c r="Q279" s="54"/>
      <c r="R279" s="84" t="s">
        <v>1284</v>
      </c>
      <c r="S279" s="84"/>
      <c r="T279" s="54"/>
      <c r="U279" s="86"/>
      <c r="V279" s="54"/>
      <c r="W279" s="86"/>
      <c r="X279" s="54"/>
      <c r="Y279" s="78"/>
      <c r="Z279" s="54"/>
      <c r="AA279" s="70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54" t="s">
        <v>432</v>
      </c>
      <c r="AR279" s="83" t="s">
        <v>125</v>
      </c>
      <c r="AS279" s="83" t="s">
        <v>3933</v>
      </c>
      <c r="AT279" s="93" t="s">
        <v>3930</v>
      </c>
      <c r="AU279" s="93" t="s">
        <v>3930</v>
      </c>
      <c r="AV279" s="93" t="s">
        <v>3930</v>
      </c>
      <c r="AW279" s="83" t="s">
        <v>3934</v>
      </c>
      <c r="AX279" s="83">
        <v>2.0</v>
      </c>
      <c r="AY279" s="83">
        <v>1.0</v>
      </c>
      <c r="AZ279" s="83" t="s">
        <v>3935</v>
      </c>
      <c r="BA279" s="83" t="s">
        <v>3936</v>
      </c>
      <c r="BB279" s="83" t="s">
        <v>3937</v>
      </c>
      <c r="BC279" s="54" t="s">
        <v>24</v>
      </c>
      <c r="BD279" s="54" t="str">
        <f t="shared" si="1"/>
        <v>Santa</v>
      </c>
      <c r="BE279" s="67" t="s">
        <v>140</v>
      </c>
      <c r="BF279" s="67" t="s">
        <v>141</v>
      </c>
      <c r="BG279" s="67" t="s">
        <v>142</v>
      </c>
      <c r="BH279" s="67"/>
      <c r="BI279" s="67"/>
      <c r="BJ279" s="67"/>
      <c r="BK279" s="67"/>
      <c r="BL279" s="67" t="s">
        <v>147</v>
      </c>
      <c r="BM279" s="67" t="s">
        <v>247</v>
      </c>
      <c r="BN279" s="100">
        <v>89.0</v>
      </c>
      <c r="BO279" s="102" t="s">
        <v>148</v>
      </c>
      <c r="BP279" s="67" t="s">
        <v>141</v>
      </c>
      <c r="BQ279" s="79" t="s">
        <v>141</v>
      </c>
      <c r="BR279" s="67" t="s">
        <v>149</v>
      </c>
      <c r="BS279" s="102">
        <v>1.0</v>
      </c>
      <c r="BT279" s="106"/>
      <c r="BU279" s="107"/>
      <c r="BV279" s="108">
        <f t="shared" si="2"/>
        <v>46214</v>
      </c>
      <c r="BW279" s="108">
        <f t="shared" si="16"/>
        <v>46216</v>
      </c>
      <c r="BX279" s="102" t="str">
        <f t="shared" si="15"/>
        <v>09</v>
      </c>
      <c r="BY279" s="107">
        <f t="shared" si="5"/>
        <v>2</v>
      </c>
      <c r="BZ279" s="107">
        <f t="array" ref="BZ279">IF($A279&lt;&gt;"",INDEX(LISTA!$M$2:$N$27,MATCH($BC279,LISTA!$N$2:$N$27,0),1),"")</f>
        <v>5</v>
      </c>
      <c r="CA279" s="67">
        <f t="shared" si="6"/>
        <v>7</v>
      </c>
      <c r="CB279" s="114" t="str">
        <f t="shared" si="7"/>
        <v/>
      </c>
      <c r="CC279" s="114"/>
    </row>
    <row r="280" ht="15.0" hidden="1" customHeight="1" outlineLevel="1">
      <c r="A280" s="59">
        <v>46217.746691064815</v>
      </c>
      <c r="B280" s="115" t="s">
        <v>381</v>
      </c>
      <c r="C280" s="54" t="s">
        <v>100</v>
      </c>
      <c r="D280" s="56" t="s">
        <v>319</v>
      </c>
      <c r="E280" s="69">
        <v>46223.583333333336</v>
      </c>
      <c r="F280" s="73" t="s">
        <v>3938</v>
      </c>
      <c r="G280" s="60" t="s">
        <v>3939</v>
      </c>
      <c r="H280" s="60" t="s">
        <v>3940</v>
      </c>
      <c r="I280" s="67" t="s">
        <v>107</v>
      </c>
      <c r="J280" s="79" t="s">
        <v>3941</v>
      </c>
      <c r="K280" s="67" t="s">
        <v>109</v>
      </c>
      <c r="L280" s="79" t="s">
        <v>3942</v>
      </c>
      <c r="M280" s="83" t="s">
        <v>3943</v>
      </c>
      <c r="N280" s="78">
        <v>36182.0</v>
      </c>
      <c r="O280" s="80" t="s">
        <v>39</v>
      </c>
      <c r="P280" s="70">
        <v>120101.0</v>
      </c>
      <c r="Q280" s="54"/>
      <c r="R280" s="84"/>
      <c r="S280" s="84"/>
      <c r="T280" s="54"/>
      <c r="U280" s="86"/>
      <c r="V280" s="54"/>
      <c r="W280" s="86"/>
      <c r="X280" s="54"/>
      <c r="Y280" s="78"/>
      <c r="Z280" s="54"/>
      <c r="AA280" s="70"/>
      <c r="AB280" s="83"/>
      <c r="AC280" s="83" t="s">
        <v>1690</v>
      </c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54" t="s">
        <v>374</v>
      </c>
      <c r="AR280" s="83" t="s">
        <v>3944</v>
      </c>
      <c r="AS280" s="83" t="s">
        <v>3945</v>
      </c>
      <c r="AT280" s="93" t="s">
        <v>3946</v>
      </c>
      <c r="AU280" s="93" t="s">
        <v>3946</v>
      </c>
      <c r="AV280" s="93" t="s">
        <v>3946</v>
      </c>
      <c r="AW280" s="83" t="s">
        <v>3947</v>
      </c>
      <c r="AX280" s="83">
        <v>4.0</v>
      </c>
      <c r="AY280" s="83">
        <v>1.0</v>
      </c>
      <c r="AZ280" s="83" t="s">
        <v>3948</v>
      </c>
      <c r="BA280" s="83" t="s">
        <v>3949</v>
      </c>
      <c r="BB280" s="83" t="s">
        <v>3950</v>
      </c>
      <c r="BC280" s="54" t="s">
        <v>39</v>
      </c>
      <c r="BD280" s="54" t="str">
        <f t="shared" si="1"/>
        <v>Trujillo</v>
      </c>
      <c r="BE280" s="67" t="s">
        <v>140</v>
      </c>
      <c r="BF280" s="67" t="s">
        <v>141</v>
      </c>
      <c r="BG280" s="67" t="s">
        <v>142</v>
      </c>
      <c r="BH280" s="67"/>
      <c r="BI280" s="67"/>
      <c r="BJ280" s="67"/>
      <c r="BK280" s="67"/>
      <c r="BL280" s="67" t="s">
        <v>147</v>
      </c>
      <c r="BM280" s="67" t="s">
        <v>3951</v>
      </c>
      <c r="BN280" s="100">
        <v>110.0</v>
      </c>
      <c r="BO280" s="102" t="s">
        <v>182</v>
      </c>
      <c r="BP280" s="67" t="s">
        <v>144</v>
      </c>
      <c r="BQ280" s="79" t="s">
        <v>141</v>
      </c>
      <c r="BR280" s="67" t="s">
        <v>149</v>
      </c>
      <c r="BS280" s="102">
        <v>1.0</v>
      </c>
      <c r="BT280" s="106"/>
      <c r="BU280" s="107"/>
      <c r="BV280" s="108">
        <f t="shared" si="2"/>
        <v>46217</v>
      </c>
      <c r="BW280" s="108">
        <f t="shared" si="16"/>
        <v>46223</v>
      </c>
      <c r="BX280" s="102" t="str">
        <f t="shared" si="15"/>
        <v>14</v>
      </c>
      <c r="BY280" s="107">
        <f t="shared" si="5"/>
        <v>2</v>
      </c>
      <c r="BZ280" s="107">
        <f t="array" ref="BZ280">IF($A280&lt;&gt;"",INDEX(LISTA!$M$2:$N$27,MATCH($BC280,LISTA!$N$2:$N$27,0),1),"")</f>
        <v>15</v>
      </c>
      <c r="CA280" s="67">
        <f t="shared" si="6"/>
        <v>7</v>
      </c>
      <c r="CB280" s="114" t="str">
        <f t="shared" si="7"/>
        <v/>
      </c>
      <c r="CC280" s="114"/>
    </row>
    <row r="281" ht="15.0" hidden="1" customHeight="1" outlineLevel="1">
      <c r="A281" s="59">
        <v>46218.431456226856</v>
      </c>
      <c r="B281" s="115" t="s">
        <v>381</v>
      </c>
      <c r="C281" s="54" t="s">
        <v>100</v>
      </c>
      <c r="D281" s="56" t="s">
        <v>319</v>
      </c>
      <c r="E281" s="69">
        <v>46219.666666666664</v>
      </c>
      <c r="F281" s="73" t="s">
        <v>3952</v>
      </c>
      <c r="G281" s="60" t="s">
        <v>3953</v>
      </c>
      <c r="H281" s="60" t="s">
        <v>3954</v>
      </c>
      <c r="I281" s="67" t="s">
        <v>350</v>
      </c>
      <c r="J281" s="79" t="s">
        <v>3955</v>
      </c>
      <c r="K281" s="67" t="s">
        <v>109</v>
      </c>
      <c r="L281" s="79" t="s">
        <v>3956</v>
      </c>
      <c r="M281" s="83" t="s">
        <v>3957</v>
      </c>
      <c r="N281" s="78">
        <v>36687.0</v>
      </c>
      <c r="O281" s="80" t="s">
        <v>27</v>
      </c>
      <c r="P281" s="156" t="s">
        <v>1703</v>
      </c>
      <c r="Q281" s="54"/>
      <c r="R281" s="84"/>
      <c r="S281" s="84"/>
      <c r="T281" s="54" t="s">
        <v>122</v>
      </c>
      <c r="U281" s="86"/>
      <c r="V281" s="54"/>
      <c r="W281" s="86"/>
      <c r="X281" s="54"/>
      <c r="Y281" s="78"/>
      <c r="Z281" s="54"/>
      <c r="AA281" s="70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54" t="s">
        <v>3958</v>
      </c>
      <c r="AR281" s="83" t="s">
        <v>1441</v>
      </c>
      <c r="AS281" s="83" t="s">
        <v>3959</v>
      </c>
      <c r="AT281" s="93" t="s">
        <v>3955</v>
      </c>
      <c r="AU281" s="93" t="s">
        <v>3955</v>
      </c>
      <c r="AV281" s="93" t="s">
        <v>3955</v>
      </c>
      <c r="AW281" s="83" t="s">
        <v>3960</v>
      </c>
      <c r="AX281" s="83">
        <v>3.0</v>
      </c>
      <c r="AY281" s="83">
        <v>0.0</v>
      </c>
      <c r="AZ281" s="83" t="s">
        <v>3961</v>
      </c>
      <c r="BA281" s="83" t="s">
        <v>3962</v>
      </c>
      <c r="BB281" s="83" t="s">
        <v>710</v>
      </c>
      <c r="BC281" s="54" t="s">
        <v>27</v>
      </c>
      <c r="BD281" s="54" t="str">
        <f t="shared" si="1"/>
        <v>Arequipa</v>
      </c>
      <c r="BE281" s="67" t="s">
        <v>140</v>
      </c>
      <c r="BF281" s="67" t="s">
        <v>144</v>
      </c>
      <c r="BG281" s="67" t="s">
        <v>142</v>
      </c>
      <c r="BH281" s="67"/>
      <c r="BI281" s="67"/>
      <c r="BJ281" s="67"/>
      <c r="BK281" s="67"/>
      <c r="BL281" s="67" t="s">
        <v>147</v>
      </c>
      <c r="BM281" s="67" t="s">
        <v>146</v>
      </c>
      <c r="BN281" s="100">
        <v>69.0</v>
      </c>
      <c r="BO281" s="102" t="s">
        <v>615</v>
      </c>
      <c r="BP281" s="67" t="s">
        <v>141</v>
      </c>
      <c r="BQ281" s="79" t="s">
        <v>141</v>
      </c>
      <c r="BR281" s="67" t="s">
        <v>149</v>
      </c>
      <c r="BS281" s="102" t="s">
        <v>149</v>
      </c>
      <c r="BT281" s="106"/>
      <c r="BU281" s="107"/>
      <c r="BV281" s="108">
        <f t="shared" si="2"/>
        <v>46218</v>
      </c>
      <c r="BW281" s="108">
        <f t="shared" si="16"/>
        <v>46219</v>
      </c>
      <c r="BX281" s="102" t="str">
        <f t="shared" si="15"/>
        <v>16</v>
      </c>
      <c r="BY281" s="107">
        <f t="shared" si="5"/>
        <v>2</v>
      </c>
      <c r="BZ281" s="107">
        <f t="array" ref="BZ281">IF($A281&lt;&gt;"",INDEX(LISTA!$M$2:$N$27,MATCH($BC281,LISTA!$N$2:$N$27,0),1),"")</f>
        <v>7</v>
      </c>
      <c r="CA281" s="67">
        <f t="shared" si="6"/>
        <v>7</v>
      </c>
      <c r="CB281" s="114" t="str">
        <f t="shared" si="7"/>
        <v/>
      </c>
      <c r="CC281" s="114"/>
    </row>
    <row r="282" ht="15.0" hidden="1" customHeight="1" outlineLevel="1">
      <c r="A282" s="59">
        <v>46221.435901793986</v>
      </c>
      <c r="B282" s="115" t="s">
        <v>381</v>
      </c>
      <c r="C282" s="54" t="s">
        <v>100</v>
      </c>
      <c r="D282" s="56" t="s">
        <v>319</v>
      </c>
      <c r="E282" s="69">
        <v>46224.583333333336</v>
      </c>
      <c r="F282" s="73" t="s">
        <v>3963</v>
      </c>
      <c r="G282" s="60" t="s">
        <v>3964</v>
      </c>
      <c r="H282" s="60" t="s">
        <v>3965</v>
      </c>
      <c r="I282" s="67" t="s">
        <v>376</v>
      </c>
      <c r="J282" s="79" t="s">
        <v>3966</v>
      </c>
      <c r="K282" s="67" t="s">
        <v>109</v>
      </c>
      <c r="L282" s="79" t="s">
        <v>3967</v>
      </c>
      <c r="M282" s="83" t="s">
        <v>3968</v>
      </c>
      <c r="N282" s="78">
        <v>34536.0</v>
      </c>
      <c r="O282" s="80" t="s">
        <v>27</v>
      </c>
      <c r="P282" s="156" t="s">
        <v>3969</v>
      </c>
      <c r="Q282" s="54"/>
      <c r="R282" s="84"/>
      <c r="S282" s="84"/>
      <c r="T282" s="54" t="s">
        <v>122</v>
      </c>
      <c r="U282" s="86"/>
      <c r="V282" s="54"/>
      <c r="W282" s="86"/>
      <c r="X282" s="54"/>
      <c r="Y282" s="78"/>
      <c r="Z282" s="54"/>
      <c r="AA282" s="70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54" t="s">
        <v>3970</v>
      </c>
      <c r="AR282" s="83" t="s">
        <v>3971</v>
      </c>
      <c r="AS282" s="83" t="s">
        <v>3972</v>
      </c>
      <c r="AT282" s="93" t="s">
        <v>3966</v>
      </c>
      <c r="AU282" s="93" t="s">
        <v>3966</v>
      </c>
      <c r="AV282" s="93" t="s">
        <v>3966</v>
      </c>
      <c r="AW282" s="83" t="s">
        <v>3973</v>
      </c>
      <c r="AX282" s="83">
        <v>2.0</v>
      </c>
      <c r="AY282" s="83">
        <v>1.0</v>
      </c>
      <c r="AZ282" s="83" t="s">
        <v>3974</v>
      </c>
      <c r="BA282" s="83" t="s">
        <v>2519</v>
      </c>
      <c r="BB282" s="83" t="s">
        <v>3975</v>
      </c>
      <c r="BC282" s="54" t="s">
        <v>27</v>
      </c>
      <c r="BD282" s="54" t="str">
        <f t="shared" si="1"/>
        <v>Arequipa</v>
      </c>
      <c r="BE282" s="67" t="s">
        <v>140</v>
      </c>
      <c r="BF282" s="67" t="s">
        <v>144</v>
      </c>
      <c r="BG282" s="67" t="s">
        <v>142</v>
      </c>
      <c r="BH282" s="67"/>
      <c r="BI282" s="67"/>
      <c r="BJ282" s="67"/>
      <c r="BK282" s="67"/>
      <c r="BL282" s="67" t="s">
        <v>147</v>
      </c>
      <c r="BM282" s="67" t="s">
        <v>146</v>
      </c>
      <c r="BN282" s="100">
        <v>89.0</v>
      </c>
      <c r="BO282" s="102" t="s">
        <v>148</v>
      </c>
      <c r="BP282" s="67" t="s">
        <v>141</v>
      </c>
      <c r="BQ282" s="79" t="s">
        <v>141</v>
      </c>
      <c r="BR282" s="67" t="s">
        <v>149</v>
      </c>
      <c r="BS282" s="102">
        <v>1.0</v>
      </c>
      <c r="BT282" s="106"/>
      <c r="BU282" s="107"/>
      <c r="BV282" s="108">
        <f t="shared" si="2"/>
        <v>46221</v>
      </c>
      <c r="BW282" s="108">
        <f t="shared" si="16"/>
        <v>46224</v>
      </c>
      <c r="BX282" s="102" t="str">
        <f t="shared" si="15"/>
        <v>14</v>
      </c>
      <c r="BY282" s="107">
        <f t="shared" si="5"/>
        <v>2</v>
      </c>
      <c r="BZ282" s="107">
        <f t="array" ref="BZ282">IF($A282&lt;&gt;"",INDEX(LISTA!$M$2:$N$27,MATCH($BC282,LISTA!$N$2:$N$27,0),1),"")</f>
        <v>7</v>
      </c>
      <c r="CA282" s="67">
        <f t="shared" si="6"/>
        <v>7</v>
      </c>
      <c r="CB282" s="114" t="str">
        <f t="shared" si="7"/>
        <v/>
      </c>
      <c r="CC282" s="114"/>
    </row>
    <row r="283" ht="15.0" hidden="1" customHeight="1" outlineLevel="1">
      <c r="A283" s="59">
        <v>46221.43969878472</v>
      </c>
      <c r="B283" s="115" t="s">
        <v>381</v>
      </c>
      <c r="C283" s="54" t="s">
        <v>100</v>
      </c>
      <c r="D283" s="56" t="s">
        <v>319</v>
      </c>
      <c r="E283" s="69">
        <v>46224.583333333336</v>
      </c>
      <c r="F283" s="73" t="s">
        <v>3976</v>
      </c>
      <c r="G283" s="60" t="s">
        <v>3977</v>
      </c>
      <c r="H283" s="60" t="s">
        <v>3978</v>
      </c>
      <c r="I283" s="67" t="s">
        <v>363</v>
      </c>
      <c r="J283" s="79" t="s">
        <v>3979</v>
      </c>
      <c r="K283" s="67" t="s">
        <v>109</v>
      </c>
      <c r="L283" s="79" t="s">
        <v>3980</v>
      </c>
      <c r="M283" s="83" t="s">
        <v>3981</v>
      </c>
      <c r="N283" s="78">
        <v>38619.0</v>
      </c>
      <c r="O283" s="80" t="s">
        <v>50</v>
      </c>
      <c r="P283" s="70">
        <v>230100.0</v>
      </c>
      <c r="Q283" s="54"/>
      <c r="R283" s="84"/>
      <c r="S283" s="84"/>
      <c r="T283" s="54"/>
      <c r="U283" s="86"/>
      <c r="V283" s="54"/>
      <c r="W283" s="86"/>
      <c r="X283" s="54"/>
      <c r="Y283" s="78"/>
      <c r="Z283" s="54"/>
      <c r="AA283" s="70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 t="s">
        <v>866</v>
      </c>
      <c r="AO283" s="83"/>
      <c r="AP283" s="83"/>
      <c r="AQ283" s="54" t="s">
        <v>3982</v>
      </c>
      <c r="AR283" s="83" t="s">
        <v>3983</v>
      </c>
      <c r="AS283" s="83" t="s">
        <v>3984</v>
      </c>
      <c r="AT283" s="93" t="s">
        <v>3979</v>
      </c>
      <c r="AU283" s="93" t="s">
        <v>3979</v>
      </c>
      <c r="AV283" s="93" t="s">
        <v>3979</v>
      </c>
      <c r="AW283" s="83" t="s">
        <v>3985</v>
      </c>
      <c r="AX283" s="83">
        <v>2.0</v>
      </c>
      <c r="AY283" s="83">
        <v>0.0</v>
      </c>
      <c r="AZ283" s="83" t="s">
        <v>3986</v>
      </c>
      <c r="BA283" s="83" t="s">
        <v>3987</v>
      </c>
      <c r="BB283" s="83" t="s">
        <v>3988</v>
      </c>
      <c r="BC283" s="54" t="s">
        <v>50</v>
      </c>
      <c r="BD283" s="54" t="str">
        <f t="shared" si="1"/>
        <v>Tacna</v>
      </c>
      <c r="BE283" s="67" t="s">
        <v>140</v>
      </c>
      <c r="BF283" s="67" t="s">
        <v>141</v>
      </c>
      <c r="BG283" s="67" t="s">
        <v>142</v>
      </c>
      <c r="BH283" s="67"/>
      <c r="BI283" s="67"/>
      <c r="BJ283" s="67"/>
      <c r="BK283" s="67"/>
      <c r="BL283" s="67" t="s">
        <v>147</v>
      </c>
      <c r="BM283" s="67" t="s">
        <v>146</v>
      </c>
      <c r="BN283" s="100">
        <v>89.0</v>
      </c>
      <c r="BO283" s="102" t="s">
        <v>148</v>
      </c>
      <c r="BP283" s="67" t="s">
        <v>141</v>
      </c>
      <c r="BQ283" s="79" t="s">
        <v>141</v>
      </c>
      <c r="BR283" s="67" t="s">
        <v>149</v>
      </c>
      <c r="BS283" s="102" t="s">
        <v>149</v>
      </c>
      <c r="BT283" s="106"/>
      <c r="BU283" s="107"/>
      <c r="BV283" s="108">
        <f t="shared" si="2"/>
        <v>46221</v>
      </c>
      <c r="BW283" s="108">
        <f t="shared" si="16"/>
        <v>46224</v>
      </c>
      <c r="BX283" s="102" t="str">
        <f t="shared" si="15"/>
        <v>14</v>
      </c>
      <c r="BY283" s="107">
        <f t="shared" si="5"/>
        <v>2</v>
      </c>
      <c r="BZ283" s="107">
        <f t="array" ref="BZ283">IF($A283&lt;&gt;"",INDEX(LISTA!$M$2:$N$27,MATCH($BC283,LISTA!$N$2:$N$27,0),1),"")</f>
        <v>24</v>
      </c>
      <c r="CA283" s="67">
        <f t="shared" si="6"/>
        <v>7</v>
      </c>
      <c r="CB283" s="114" t="str">
        <f t="shared" si="7"/>
        <v/>
      </c>
      <c r="CC283" s="114"/>
    </row>
    <row r="284" ht="15.0" hidden="1" customHeight="1" outlineLevel="1">
      <c r="A284" s="59">
        <v>46223.53205443287</v>
      </c>
      <c r="B284" s="115" t="s">
        <v>381</v>
      </c>
      <c r="C284" s="54" t="s">
        <v>100</v>
      </c>
      <c r="D284" s="56" t="s">
        <v>101</v>
      </c>
      <c r="E284" s="69">
        <v>46225.375</v>
      </c>
      <c r="F284" s="73"/>
      <c r="G284" s="60" t="s">
        <v>3989</v>
      </c>
      <c r="H284" s="60" t="s">
        <v>3990</v>
      </c>
      <c r="I284" s="67" t="s">
        <v>363</v>
      </c>
      <c r="J284" s="79" t="s">
        <v>3991</v>
      </c>
      <c r="K284" s="67" t="s">
        <v>109</v>
      </c>
      <c r="L284" s="79" t="s">
        <v>3992</v>
      </c>
      <c r="M284" s="83" t="s">
        <v>3993</v>
      </c>
      <c r="N284" s="78">
        <v>24702.0</v>
      </c>
      <c r="O284" s="80" t="s">
        <v>27</v>
      </c>
      <c r="P284" s="156" t="s">
        <v>2026</v>
      </c>
      <c r="Q284" s="54"/>
      <c r="R284" s="84"/>
      <c r="S284" s="84"/>
      <c r="T284" s="54" t="s">
        <v>122</v>
      </c>
      <c r="U284" s="86"/>
      <c r="V284" s="54"/>
      <c r="W284" s="86"/>
      <c r="X284" s="54"/>
      <c r="Y284" s="78"/>
      <c r="Z284" s="54"/>
      <c r="AA284" s="70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54" t="s">
        <v>3994</v>
      </c>
      <c r="AR284" s="83" t="s">
        <v>3995</v>
      </c>
      <c r="AS284" s="83" t="s">
        <v>3996</v>
      </c>
      <c r="AT284" s="93" t="s">
        <v>3991</v>
      </c>
      <c r="AU284" s="93" t="s">
        <v>3991</v>
      </c>
      <c r="AV284" s="93" t="s">
        <v>3991</v>
      </c>
      <c r="AW284" s="83" t="s">
        <v>3997</v>
      </c>
      <c r="AX284" s="83">
        <v>2.0</v>
      </c>
      <c r="AY284" s="83">
        <v>0.0</v>
      </c>
      <c r="AZ284" s="83" t="s">
        <v>3998</v>
      </c>
      <c r="BA284" s="83" t="s">
        <v>3999</v>
      </c>
      <c r="BB284" s="83" t="s">
        <v>4000</v>
      </c>
      <c r="BC284" s="54" t="s">
        <v>27</v>
      </c>
      <c r="BD284" s="54" t="str">
        <f t="shared" si="1"/>
        <v>Arequipa</v>
      </c>
      <c r="BE284" s="67" t="s">
        <v>140</v>
      </c>
      <c r="BF284" s="67" t="s">
        <v>144</v>
      </c>
      <c r="BG284" s="67" t="s">
        <v>142</v>
      </c>
      <c r="BH284" s="67"/>
      <c r="BI284" s="67"/>
      <c r="BJ284" s="67"/>
      <c r="BK284" s="67"/>
      <c r="BL284" s="67" t="s">
        <v>145</v>
      </c>
      <c r="BM284" s="67" t="s">
        <v>146</v>
      </c>
      <c r="BN284" s="100">
        <v>150.0</v>
      </c>
      <c r="BO284" s="102" t="s">
        <v>615</v>
      </c>
      <c r="BP284" s="67" t="s">
        <v>144</v>
      </c>
      <c r="BQ284" s="79" t="s">
        <v>141</v>
      </c>
      <c r="BR284" s="67">
        <v>2.0</v>
      </c>
      <c r="BS284" s="102" t="s">
        <v>149</v>
      </c>
      <c r="BT284" s="106"/>
      <c r="BU284" s="107"/>
      <c r="BV284" s="108">
        <f t="shared" si="2"/>
        <v>46223</v>
      </c>
      <c r="BW284" s="108">
        <f t="shared" si="16"/>
        <v>46225</v>
      </c>
      <c r="BX284" s="102" t="str">
        <f t="shared" si="15"/>
        <v>09</v>
      </c>
      <c r="BY284" s="107">
        <f t="shared" si="5"/>
        <v>2</v>
      </c>
      <c r="BZ284" s="107">
        <f t="array" ref="BZ284">IF($A284&lt;&gt;"",INDEX(LISTA!$M$2:$N$27,MATCH($BC284,LISTA!$N$2:$N$27,0),1),"")</f>
        <v>7</v>
      </c>
      <c r="CA284" s="67">
        <f t="shared" si="6"/>
        <v>7</v>
      </c>
      <c r="CB284" s="114" t="str">
        <f t="shared" si="7"/>
        <v/>
      </c>
      <c r="CC284" s="114"/>
    </row>
    <row r="285" ht="15.0" hidden="1" customHeight="1" outlineLevel="1">
      <c r="A285" s="59">
        <v>46223.56776276621</v>
      </c>
      <c r="B285" s="115" t="s">
        <v>381</v>
      </c>
      <c r="C285" s="54" t="s">
        <v>100</v>
      </c>
      <c r="D285" s="56" t="s">
        <v>101</v>
      </c>
      <c r="E285" s="69">
        <v>46224.583333333336</v>
      </c>
      <c r="F285" s="73" t="s">
        <v>4001</v>
      </c>
      <c r="G285" s="60" t="s">
        <v>4002</v>
      </c>
      <c r="H285" s="60" t="s">
        <v>4003</v>
      </c>
      <c r="I285" s="67" t="s">
        <v>386</v>
      </c>
      <c r="J285" s="79" t="s">
        <v>4004</v>
      </c>
      <c r="K285" s="67" t="s">
        <v>109</v>
      </c>
      <c r="L285" s="79" t="s">
        <v>4005</v>
      </c>
      <c r="M285" s="83" t="s">
        <v>4006</v>
      </c>
      <c r="N285" s="78">
        <v>23938.0</v>
      </c>
      <c r="O285" s="80" t="s">
        <v>33</v>
      </c>
      <c r="P285" s="70">
        <v>100101.0</v>
      </c>
      <c r="Q285" s="54"/>
      <c r="R285" s="84"/>
      <c r="S285" s="84"/>
      <c r="T285" s="54"/>
      <c r="U285" s="86"/>
      <c r="V285" s="54"/>
      <c r="W285" s="86"/>
      <c r="X285" s="54"/>
      <c r="Y285" s="78"/>
      <c r="Z285" s="54"/>
      <c r="AA285" s="70"/>
      <c r="AB285" s="83"/>
      <c r="AC285" s="83"/>
      <c r="AD285" s="83"/>
      <c r="AE285" s="83"/>
      <c r="AF285" s="83" t="s">
        <v>691</v>
      </c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54" t="s">
        <v>2133</v>
      </c>
      <c r="AR285" s="83" t="s">
        <v>4007</v>
      </c>
      <c r="AS285" s="83" t="s">
        <v>4008</v>
      </c>
      <c r="AT285" s="93" t="s">
        <v>4004</v>
      </c>
      <c r="AU285" s="93" t="s">
        <v>4004</v>
      </c>
      <c r="AV285" s="93" t="s">
        <v>4004</v>
      </c>
      <c r="AW285" s="83" t="s">
        <v>4009</v>
      </c>
      <c r="AX285" s="83">
        <v>3.0</v>
      </c>
      <c r="AY285" s="83">
        <v>0.0</v>
      </c>
      <c r="AZ285" s="83" t="s">
        <v>4010</v>
      </c>
      <c r="BA285" s="83" t="s">
        <v>4011</v>
      </c>
      <c r="BB285" s="83" t="s">
        <v>4012</v>
      </c>
      <c r="BC285" s="54" t="s">
        <v>41</v>
      </c>
      <c r="BD285" s="54" t="str">
        <f t="shared" si="1"/>
        <v>Comas</v>
      </c>
      <c r="BE285" s="67" t="s">
        <v>140</v>
      </c>
      <c r="BF285" s="67" t="s">
        <v>141</v>
      </c>
      <c r="BG285" s="67" t="s">
        <v>142</v>
      </c>
      <c r="BH285" s="67"/>
      <c r="BI285" s="67"/>
      <c r="BJ285" s="67"/>
      <c r="BK285" s="67"/>
      <c r="BL285" s="67" t="s">
        <v>145</v>
      </c>
      <c r="BM285" s="67" t="s">
        <v>146</v>
      </c>
      <c r="BN285" s="100">
        <v>170.0</v>
      </c>
      <c r="BO285" s="102" t="s">
        <v>148</v>
      </c>
      <c r="BP285" s="67" t="s">
        <v>144</v>
      </c>
      <c r="BQ285" s="79" t="s">
        <v>141</v>
      </c>
      <c r="BR285" s="67">
        <v>2.0</v>
      </c>
      <c r="BS285" s="102">
        <v>1.0</v>
      </c>
      <c r="BT285" s="106"/>
      <c r="BU285" s="107"/>
      <c r="BV285" s="108">
        <f t="shared" si="2"/>
        <v>46223</v>
      </c>
      <c r="BW285" s="108">
        <f t="shared" si="16"/>
        <v>46224</v>
      </c>
      <c r="BX285" s="102" t="str">
        <f t="shared" si="15"/>
        <v>14</v>
      </c>
      <c r="BY285" s="107">
        <f t="shared" si="5"/>
        <v>2</v>
      </c>
      <c r="BZ285" s="107">
        <f t="array" ref="BZ285">IF($A285&lt;&gt;"",INDEX(LISTA!$M$2:$N$27,MATCH($BC285,LISTA!$N$2:$N$27,0),1),"")</f>
        <v>1</v>
      </c>
      <c r="CA285" s="67">
        <f t="shared" si="6"/>
        <v>7</v>
      </c>
      <c r="CB285" s="114" t="str">
        <f t="shared" si="7"/>
        <v/>
      </c>
      <c r="CC285" s="114"/>
    </row>
    <row r="286" ht="15.0" hidden="1" customHeight="1" outlineLevel="1">
      <c r="A286" s="59">
        <v>46224.66104474537</v>
      </c>
      <c r="B286" s="115" t="s">
        <v>381</v>
      </c>
      <c r="C286" s="54" t="s">
        <v>100</v>
      </c>
      <c r="D286" s="56" t="s">
        <v>101</v>
      </c>
      <c r="E286" s="69">
        <v>46227.375</v>
      </c>
      <c r="F286" s="73" t="s">
        <v>4013</v>
      </c>
      <c r="G286" s="60" t="s">
        <v>4014</v>
      </c>
      <c r="H286" s="60" t="s">
        <v>4015</v>
      </c>
      <c r="I286" s="67" t="s">
        <v>107</v>
      </c>
      <c r="J286" s="79" t="s">
        <v>4016</v>
      </c>
      <c r="K286" s="67" t="s">
        <v>109</v>
      </c>
      <c r="L286" s="79" t="s">
        <v>4017</v>
      </c>
      <c r="M286" s="83" t="s">
        <v>4018</v>
      </c>
      <c r="N286" s="78">
        <v>20513.0</v>
      </c>
      <c r="O286" s="80" t="s">
        <v>41</v>
      </c>
      <c r="P286" s="70">
        <v>140101.0</v>
      </c>
      <c r="Q286" s="54"/>
      <c r="R286" s="84"/>
      <c r="S286" s="84"/>
      <c r="T286" s="54"/>
      <c r="U286" s="86"/>
      <c r="V286" s="54"/>
      <c r="W286" s="86"/>
      <c r="X286" s="54"/>
      <c r="Y286" s="78"/>
      <c r="Z286" s="54"/>
      <c r="AA286" s="70"/>
      <c r="AB286" s="83"/>
      <c r="AC286" s="83"/>
      <c r="AD286" s="83"/>
      <c r="AE286" s="83"/>
      <c r="AF286" s="83" t="s">
        <v>2735</v>
      </c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54" t="s">
        <v>837</v>
      </c>
      <c r="AR286" s="83" t="s">
        <v>1577</v>
      </c>
      <c r="AS286" s="83" t="s">
        <v>4019</v>
      </c>
      <c r="AT286" s="93" t="s">
        <v>4016</v>
      </c>
      <c r="AU286" s="93" t="s">
        <v>4020</v>
      </c>
      <c r="AV286" s="93" t="s">
        <v>4020</v>
      </c>
      <c r="AW286" s="83" t="s">
        <v>4021</v>
      </c>
      <c r="AX286" s="83">
        <v>1.0</v>
      </c>
      <c r="AY286" s="83">
        <v>102.0</v>
      </c>
      <c r="AZ286" s="83" t="s">
        <v>4022</v>
      </c>
      <c r="BA286" s="83" t="s">
        <v>4023</v>
      </c>
      <c r="BB286" s="83" t="s">
        <v>4024</v>
      </c>
      <c r="BC286" s="54" t="s">
        <v>41</v>
      </c>
      <c r="BD286" s="54" t="str">
        <f t="shared" si="1"/>
        <v>San Miguel</v>
      </c>
      <c r="BE286" s="67" t="s">
        <v>140</v>
      </c>
      <c r="BF286" s="67" t="s">
        <v>144</v>
      </c>
      <c r="BG286" s="67" t="s">
        <v>142</v>
      </c>
      <c r="BH286" s="67"/>
      <c r="BI286" s="67"/>
      <c r="BJ286" s="67"/>
      <c r="BK286" s="67"/>
      <c r="BL286" s="67" t="s">
        <v>145</v>
      </c>
      <c r="BM286" s="67" t="s">
        <v>146</v>
      </c>
      <c r="BN286" s="100">
        <v>170.0</v>
      </c>
      <c r="BO286" s="102" t="s">
        <v>148</v>
      </c>
      <c r="BP286" s="67" t="s">
        <v>144</v>
      </c>
      <c r="BQ286" s="79" t="s">
        <v>141</v>
      </c>
      <c r="BR286" s="67">
        <v>2.0</v>
      </c>
      <c r="BS286" s="102">
        <v>1.0</v>
      </c>
      <c r="BT286" s="106"/>
      <c r="BU286" s="107"/>
      <c r="BV286" s="108">
        <f t="shared" si="2"/>
        <v>46224</v>
      </c>
      <c r="BW286" s="108">
        <f t="shared" si="16"/>
        <v>46227</v>
      </c>
      <c r="BX286" s="102" t="str">
        <f t="shared" si="15"/>
        <v>09</v>
      </c>
      <c r="BY286" s="107">
        <f t="shared" si="5"/>
        <v>2</v>
      </c>
      <c r="BZ286" s="107">
        <f t="array" ref="BZ286">IF($A286&lt;&gt;"",INDEX(LISTA!$M$2:$N$27,MATCH($BC286,LISTA!$N$2:$N$27,0),1),"")</f>
        <v>1</v>
      </c>
      <c r="CA286" s="67">
        <f t="shared" si="6"/>
        <v>7</v>
      </c>
      <c r="CB286" s="114" t="str">
        <f t="shared" si="7"/>
        <v/>
      </c>
      <c r="CC286" s="114"/>
    </row>
    <row r="287" ht="15.0" hidden="1" customHeight="1" outlineLevel="1">
      <c r="A287" s="59">
        <v>46225.72361241898</v>
      </c>
      <c r="B287" s="115" t="s">
        <v>381</v>
      </c>
      <c r="C287" s="54" t="s">
        <v>100</v>
      </c>
      <c r="D287" s="56" t="s">
        <v>319</v>
      </c>
      <c r="E287" s="69">
        <v>46227.375</v>
      </c>
      <c r="F287" s="73" t="s">
        <v>4025</v>
      </c>
      <c r="G287" s="60" t="s">
        <v>4026</v>
      </c>
      <c r="H287" s="60" t="s">
        <v>4027</v>
      </c>
      <c r="I287" s="67" t="s">
        <v>374</v>
      </c>
      <c r="J287" s="79" t="s">
        <v>4028</v>
      </c>
      <c r="K287" s="67" t="s">
        <v>109</v>
      </c>
      <c r="L287" s="79" t="s">
        <v>4029</v>
      </c>
      <c r="M287" s="83" t="s">
        <v>4030</v>
      </c>
      <c r="N287" s="78">
        <v>39165.0</v>
      </c>
      <c r="O287" s="80" t="s">
        <v>34</v>
      </c>
      <c r="P287" s="70">
        <v>110101.0</v>
      </c>
      <c r="Q287" s="54"/>
      <c r="R287" s="84"/>
      <c r="S287" s="84"/>
      <c r="T287" s="54"/>
      <c r="U287" s="86"/>
      <c r="V287" s="54"/>
      <c r="W287" s="86"/>
      <c r="X287" s="54"/>
      <c r="Y287" s="78"/>
      <c r="Z287" s="54"/>
      <c r="AA287" s="70" t="s">
        <v>525</v>
      </c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54" t="s">
        <v>1640</v>
      </c>
      <c r="AR287" s="83" t="s">
        <v>4031</v>
      </c>
      <c r="AS287" s="83" t="s">
        <v>4032</v>
      </c>
      <c r="AT287" s="93" t="s">
        <v>4028</v>
      </c>
      <c r="AU287" s="93" t="s">
        <v>4028</v>
      </c>
      <c r="AV287" s="93" t="s">
        <v>4028</v>
      </c>
      <c r="AW287" s="83" t="s">
        <v>4033</v>
      </c>
      <c r="AX287" s="83">
        <v>2.0</v>
      </c>
      <c r="AY287" s="83">
        <v>1.0</v>
      </c>
      <c r="AZ287" s="83" t="s">
        <v>4034</v>
      </c>
      <c r="BA287" s="83" t="s">
        <v>1767</v>
      </c>
      <c r="BB287" s="83" t="s">
        <v>4035</v>
      </c>
      <c r="BC287" s="54" t="s">
        <v>34</v>
      </c>
      <c r="BD287" s="70" t="str">
        <f t="shared" si="1"/>
        <v>Ica</v>
      </c>
      <c r="BE287" s="67" t="s">
        <v>140</v>
      </c>
      <c r="BF287" s="67" t="s">
        <v>141</v>
      </c>
      <c r="BG287" s="67" t="s">
        <v>142</v>
      </c>
      <c r="BH287" s="67"/>
      <c r="BI287" s="67"/>
      <c r="BJ287" s="67"/>
      <c r="BK287" s="67"/>
      <c r="BL287" s="67" t="s">
        <v>147</v>
      </c>
      <c r="BM287" s="67" t="s">
        <v>214</v>
      </c>
      <c r="BN287" s="100">
        <v>79.0</v>
      </c>
      <c r="BO287" s="102" t="s">
        <v>2305</v>
      </c>
      <c r="BP287" s="67" t="s">
        <v>141</v>
      </c>
      <c r="BQ287" s="79" t="s">
        <v>141</v>
      </c>
      <c r="BR287" s="67" t="s">
        <v>149</v>
      </c>
      <c r="BS287" s="102" t="s">
        <v>149</v>
      </c>
      <c r="BT287" s="106"/>
      <c r="BU287" s="107"/>
      <c r="BV287" s="108">
        <f t="shared" si="2"/>
        <v>46225</v>
      </c>
      <c r="BW287" s="108">
        <f t="shared" si="16"/>
        <v>46227</v>
      </c>
      <c r="BX287" s="102" t="str">
        <f t="shared" si="15"/>
        <v>09</v>
      </c>
      <c r="BY287" s="107">
        <f t="shared" si="5"/>
        <v>2</v>
      </c>
      <c r="BZ287" s="107">
        <f t="array" ref="BZ287">IF($A287&lt;&gt;"",INDEX(LISTA!$M$2:$N$27,MATCH($BC287,LISTA!$N$2:$N$27,0),1),"")</f>
        <v>13</v>
      </c>
      <c r="CA287" s="67">
        <f t="shared" si="6"/>
        <v>7</v>
      </c>
      <c r="CB287" s="114" t="str">
        <f t="shared" si="7"/>
        <v/>
      </c>
      <c r="CC287" s="114"/>
    </row>
    <row r="288" ht="15.0" hidden="1" customHeight="1" outlineLevel="1">
      <c r="A288" s="59">
        <v>46227.53796004629</v>
      </c>
      <c r="B288" s="115" t="s">
        <v>377</v>
      </c>
      <c r="C288" s="54" t="s">
        <v>100</v>
      </c>
      <c r="D288" s="56" t="s">
        <v>319</v>
      </c>
      <c r="E288" s="69">
        <v>46230.375</v>
      </c>
      <c r="F288" s="73" t="s">
        <v>4036</v>
      </c>
      <c r="G288" s="60" t="s">
        <v>4037</v>
      </c>
      <c r="H288" s="60" t="s">
        <v>4038</v>
      </c>
      <c r="I288" s="67" t="s">
        <v>363</v>
      </c>
      <c r="J288" s="79" t="s">
        <v>4039</v>
      </c>
      <c r="K288" s="67" t="s">
        <v>109</v>
      </c>
      <c r="L288" s="79" t="s">
        <v>4040</v>
      </c>
      <c r="M288" s="83" t="s">
        <v>4041</v>
      </c>
      <c r="N288" s="78">
        <v>26789.0</v>
      </c>
      <c r="O288" s="80" t="s">
        <v>37</v>
      </c>
      <c r="P288" s="70">
        <v>150100.0</v>
      </c>
      <c r="Q288" s="54"/>
      <c r="R288" s="84"/>
      <c r="S288" s="84"/>
      <c r="T288" s="54"/>
      <c r="U288" s="86"/>
      <c r="V288" s="54"/>
      <c r="W288" s="86"/>
      <c r="X288" s="54"/>
      <c r="Y288" s="78"/>
      <c r="Z288" s="54"/>
      <c r="AA288" s="70"/>
      <c r="AB288" s="83"/>
      <c r="AC288" s="83"/>
      <c r="AD288" s="83"/>
      <c r="AE288" s="83"/>
      <c r="AF288" s="83" t="s">
        <v>2598</v>
      </c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54" t="s">
        <v>4042</v>
      </c>
      <c r="AR288" s="83" t="s">
        <v>4043</v>
      </c>
      <c r="AS288" s="83" t="s">
        <v>4044</v>
      </c>
      <c r="AT288" s="93" t="s">
        <v>4039</v>
      </c>
      <c r="AU288" s="93" t="s">
        <v>4039</v>
      </c>
      <c r="AV288" s="93" t="s">
        <v>4039</v>
      </c>
      <c r="AW288" s="83" t="s">
        <v>4045</v>
      </c>
      <c r="AX288" s="83">
        <v>1.0</v>
      </c>
      <c r="AY288" s="83">
        <v>105.0</v>
      </c>
      <c r="AZ288" s="83" t="s">
        <v>4046</v>
      </c>
      <c r="BA288" s="83" t="s">
        <v>4047</v>
      </c>
      <c r="BB288" s="83" t="s">
        <v>4048</v>
      </c>
      <c r="BC288" s="54" t="s">
        <v>41</v>
      </c>
      <c r="BD288" s="54" t="str">
        <f t="shared" si="1"/>
        <v>La Molina</v>
      </c>
      <c r="BE288" s="67" t="s">
        <v>140</v>
      </c>
      <c r="BF288" s="67" t="s">
        <v>141</v>
      </c>
      <c r="BG288" s="67" t="s">
        <v>142</v>
      </c>
      <c r="BH288" s="67"/>
      <c r="BI288" s="67"/>
      <c r="BJ288" s="67"/>
      <c r="BK288" s="67"/>
      <c r="BL288" s="67" t="s">
        <v>147</v>
      </c>
      <c r="BM288" s="67" t="s">
        <v>146</v>
      </c>
      <c r="BN288" s="100">
        <v>89.0</v>
      </c>
      <c r="BO288" s="102" t="s">
        <v>148</v>
      </c>
      <c r="BP288" s="67" t="s">
        <v>141</v>
      </c>
      <c r="BQ288" s="79" t="s">
        <v>141</v>
      </c>
      <c r="BR288" s="67" t="s">
        <v>149</v>
      </c>
      <c r="BS288" s="102" t="s">
        <v>149</v>
      </c>
      <c r="BT288" s="106"/>
      <c r="BU288" s="107"/>
      <c r="BV288" s="108">
        <f t="shared" si="2"/>
        <v>46227</v>
      </c>
      <c r="BW288" s="108">
        <f t="shared" si="16"/>
        <v>46230</v>
      </c>
      <c r="BX288" s="102" t="str">
        <f t="shared" si="15"/>
        <v>09</v>
      </c>
      <c r="BY288" s="107">
        <f t="shared" si="5"/>
        <v>2</v>
      </c>
      <c r="BZ288" s="107">
        <f t="array" ref="BZ288">IF($A288&lt;&gt;"",INDEX(LISTA!$M$2:$N$27,MATCH($BC288,LISTA!$N$2:$N$27,0),1),"")</f>
        <v>1</v>
      </c>
      <c r="CA288" s="67">
        <f t="shared" si="6"/>
        <v>7</v>
      </c>
      <c r="CB288" s="114" t="str">
        <f t="shared" si="7"/>
        <v/>
      </c>
      <c r="CC288" s="114"/>
    </row>
    <row r="289" ht="15.0" hidden="1" customHeight="1" outlineLevel="1">
      <c r="A289" s="59">
        <v>46221.744535868056</v>
      </c>
      <c r="B289" s="115" t="s">
        <v>377</v>
      </c>
      <c r="C289" s="54" t="s">
        <v>100</v>
      </c>
      <c r="D289" s="56" t="s">
        <v>319</v>
      </c>
      <c r="E289" s="69">
        <v>46230.375</v>
      </c>
      <c r="F289" s="73"/>
      <c r="G289" s="60" t="s">
        <v>4049</v>
      </c>
      <c r="H289" s="60" t="s">
        <v>4050</v>
      </c>
      <c r="I289" s="67" t="s">
        <v>107</v>
      </c>
      <c r="J289" s="79" t="s">
        <v>4051</v>
      </c>
      <c r="K289" s="67" t="s">
        <v>109</v>
      </c>
      <c r="L289" s="79" t="s">
        <v>4052</v>
      </c>
      <c r="M289" s="83" t="s">
        <v>4053</v>
      </c>
      <c r="N289" s="78">
        <v>39642.0</v>
      </c>
      <c r="O289" s="80" t="s">
        <v>29</v>
      </c>
      <c r="P289" s="156" t="s">
        <v>984</v>
      </c>
      <c r="Q289" s="54"/>
      <c r="R289" s="84"/>
      <c r="S289" s="84"/>
      <c r="T289" s="54"/>
      <c r="U289" s="86"/>
      <c r="V289" s="54" t="s">
        <v>1727</v>
      </c>
      <c r="W289" s="86"/>
      <c r="X289" s="54"/>
      <c r="Y289" s="78"/>
      <c r="Z289" s="54"/>
      <c r="AA289" s="70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54" t="s">
        <v>4054</v>
      </c>
      <c r="AR289" s="83" t="s">
        <v>957</v>
      </c>
      <c r="AS289" s="83" t="s">
        <v>4055</v>
      </c>
      <c r="AT289" s="93" t="s">
        <v>4051</v>
      </c>
      <c r="AU289" s="93" t="s">
        <v>4051</v>
      </c>
      <c r="AV289" s="93" t="s">
        <v>4051</v>
      </c>
      <c r="AW289" s="83" t="s">
        <v>4056</v>
      </c>
      <c r="AX289" s="83">
        <v>3.0</v>
      </c>
      <c r="AY289" s="83">
        <v>1.0</v>
      </c>
      <c r="AZ289" s="83" t="s">
        <v>4057</v>
      </c>
      <c r="BA289" s="83" t="s">
        <v>4058</v>
      </c>
      <c r="BB289" s="83" t="s">
        <v>4059</v>
      </c>
      <c r="BC289" s="54" t="s">
        <v>29</v>
      </c>
      <c r="BD289" s="54" t="str">
        <f t="shared" si="1"/>
        <v>Cajamarca</v>
      </c>
      <c r="BE289" s="67" t="s">
        <v>140</v>
      </c>
      <c r="BF289" s="67" t="s">
        <v>141</v>
      </c>
      <c r="BG289" s="67" t="s">
        <v>142</v>
      </c>
      <c r="BH289" s="67"/>
      <c r="BI289" s="67"/>
      <c r="BJ289" s="67"/>
      <c r="BK289" s="67"/>
      <c r="BL289" s="67" t="s">
        <v>147</v>
      </c>
      <c r="BM289" s="67" t="s">
        <v>146</v>
      </c>
      <c r="BN289" s="100">
        <v>69.0</v>
      </c>
      <c r="BO289" s="102" t="s">
        <v>615</v>
      </c>
      <c r="BP289" s="67" t="s">
        <v>141</v>
      </c>
      <c r="BQ289" s="79" t="s">
        <v>141</v>
      </c>
      <c r="BR289" s="67" t="s">
        <v>149</v>
      </c>
      <c r="BS289" s="102" t="s">
        <v>149</v>
      </c>
      <c r="BT289" s="106"/>
      <c r="BU289" s="107"/>
      <c r="BV289" s="108">
        <f t="shared" si="2"/>
        <v>46221</v>
      </c>
      <c r="BW289" s="108">
        <f t="shared" si="16"/>
        <v>46230</v>
      </c>
      <c r="BX289" s="102" t="str">
        <f t="shared" si="15"/>
        <v>09</v>
      </c>
      <c r="BY289" s="107">
        <f t="shared" si="5"/>
        <v>2</v>
      </c>
      <c r="BZ289" s="107">
        <f t="array" ref="BZ289">IF($A289&lt;&gt;"",INDEX(LISTA!$M$2:$N$27,MATCH($BC289,LISTA!$N$2:$N$27,0),1),"")</f>
        <v>9</v>
      </c>
      <c r="CA289" s="67">
        <f t="shared" si="6"/>
        <v>7</v>
      </c>
      <c r="CB289" s="114" t="str">
        <f t="shared" si="7"/>
        <v/>
      </c>
      <c r="CC289" s="114"/>
    </row>
    <row r="290" ht="15.0" hidden="1" customHeight="1" outlineLevel="1">
      <c r="A290" s="59">
        <v>46228.47462491898</v>
      </c>
      <c r="B290" s="115" t="s">
        <v>377</v>
      </c>
      <c r="C290" s="54" t="s">
        <v>100</v>
      </c>
      <c r="D290" s="56" t="s">
        <v>319</v>
      </c>
      <c r="E290" s="69">
        <v>46229.375</v>
      </c>
      <c r="F290" s="73"/>
      <c r="G290" s="60" t="s">
        <v>4060</v>
      </c>
      <c r="H290" s="60" t="s">
        <v>4061</v>
      </c>
      <c r="I290" s="67" t="s">
        <v>350</v>
      </c>
      <c r="J290" s="79" t="s">
        <v>4062</v>
      </c>
      <c r="K290" s="67" t="s">
        <v>109</v>
      </c>
      <c r="L290" s="79" t="s">
        <v>4063</v>
      </c>
      <c r="M290" s="83" t="s">
        <v>4064</v>
      </c>
      <c r="N290" s="78">
        <v>26796.0</v>
      </c>
      <c r="O290" s="80" t="s">
        <v>29</v>
      </c>
      <c r="P290" s="156" t="s">
        <v>984</v>
      </c>
      <c r="Q290" s="54"/>
      <c r="R290" s="84"/>
      <c r="S290" s="84"/>
      <c r="T290" s="54"/>
      <c r="U290" s="86"/>
      <c r="V290" s="54" t="s">
        <v>1727</v>
      </c>
      <c r="W290" s="86"/>
      <c r="X290" s="54"/>
      <c r="Y290" s="78"/>
      <c r="Z290" s="54"/>
      <c r="AA290" s="70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54" t="s">
        <v>4065</v>
      </c>
      <c r="AR290" s="83" t="s">
        <v>4066</v>
      </c>
      <c r="AS290" s="83" t="s">
        <v>4067</v>
      </c>
      <c r="AT290" s="93" t="s">
        <v>4068</v>
      </c>
      <c r="AU290" s="93" t="s">
        <v>4068</v>
      </c>
      <c r="AV290" s="93" t="s">
        <v>4068</v>
      </c>
      <c r="AW290" s="83" t="s">
        <v>4069</v>
      </c>
      <c r="AX290" s="83">
        <v>1.0</v>
      </c>
      <c r="AY290" s="83">
        <v>0.0</v>
      </c>
      <c r="AZ290" s="83" t="s">
        <v>4070</v>
      </c>
      <c r="BA290" s="83" t="s">
        <v>4071</v>
      </c>
      <c r="BB290" s="83" t="s">
        <v>4072</v>
      </c>
      <c r="BC290" s="54" t="s">
        <v>29</v>
      </c>
      <c r="BD290" s="54" t="str">
        <f t="shared" si="1"/>
        <v>Cajamarca</v>
      </c>
      <c r="BE290" s="67" t="s">
        <v>140</v>
      </c>
      <c r="BF290" s="67" t="s">
        <v>141</v>
      </c>
      <c r="BG290" s="67" t="s">
        <v>142</v>
      </c>
      <c r="BH290" s="67"/>
      <c r="BI290" s="67"/>
      <c r="BJ290" s="67"/>
      <c r="BK290" s="67"/>
      <c r="BL290" s="67" t="s">
        <v>145</v>
      </c>
      <c r="BM290" s="67" t="s">
        <v>146</v>
      </c>
      <c r="BN290" s="100">
        <v>170.0</v>
      </c>
      <c r="BO290" s="102" t="s">
        <v>148</v>
      </c>
      <c r="BP290" s="67" t="s">
        <v>141</v>
      </c>
      <c r="BQ290" s="79" t="s">
        <v>141</v>
      </c>
      <c r="BR290" s="67">
        <v>2.0</v>
      </c>
      <c r="BS290" s="102">
        <v>1.0</v>
      </c>
      <c r="BT290" s="106"/>
      <c r="BU290" s="107"/>
      <c r="BV290" s="108">
        <f t="shared" si="2"/>
        <v>46228</v>
      </c>
      <c r="BW290" s="108">
        <f t="shared" si="16"/>
        <v>46229</v>
      </c>
      <c r="BX290" s="102" t="str">
        <f t="shared" si="15"/>
        <v>09</v>
      </c>
      <c r="BY290" s="107">
        <f t="shared" si="5"/>
        <v>2</v>
      </c>
      <c r="BZ290" s="107">
        <f t="array" ref="BZ290">IF($A290&lt;&gt;"",INDEX(LISTA!$M$2:$N$27,MATCH($BC290,LISTA!$N$2:$N$27,0),1),"")</f>
        <v>9</v>
      </c>
      <c r="CA290" s="67">
        <f t="shared" si="6"/>
        <v>7</v>
      </c>
      <c r="CB290" s="114" t="str">
        <f t="shared" si="7"/>
        <v/>
      </c>
      <c r="CC290" s="114"/>
    </row>
    <row r="291" ht="15.0" hidden="1" customHeight="1" outlineLevel="1">
      <c r="A291" s="59">
        <v>46207.39759400463</v>
      </c>
      <c r="B291" s="115" t="s">
        <v>377</v>
      </c>
      <c r="C291" s="54" t="s">
        <v>100</v>
      </c>
      <c r="D291" s="56" t="s">
        <v>101</v>
      </c>
      <c r="E291" s="69">
        <v>46213.458333333336</v>
      </c>
      <c r="F291" s="73" t="s">
        <v>1756</v>
      </c>
      <c r="G291" s="60" t="s">
        <v>4073</v>
      </c>
      <c r="H291" s="60" t="s">
        <v>4074</v>
      </c>
      <c r="I291" s="67" t="s">
        <v>350</v>
      </c>
      <c r="J291" s="79" t="s">
        <v>4075</v>
      </c>
      <c r="K291" s="67" t="s">
        <v>109</v>
      </c>
      <c r="L291" s="79" t="s">
        <v>4076</v>
      </c>
      <c r="M291" s="83" t="s">
        <v>4077</v>
      </c>
      <c r="N291" s="78">
        <v>23818.0</v>
      </c>
      <c r="O291" s="80" t="s">
        <v>34</v>
      </c>
      <c r="P291" s="70">
        <v>110301.0</v>
      </c>
      <c r="Q291" s="54"/>
      <c r="R291" s="84"/>
      <c r="S291" s="84"/>
      <c r="T291" s="54"/>
      <c r="U291" s="86"/>
      <c r="V291" s="54"/>
      <c r="W291" s="86"/>
      <c r="X291" s="54"/>
      <c r="Y291" s="78"/>
      <c r="Z291" s="54"/>
      <c r="AA291" s="70" t="s">
        <v>2296</v>
      </c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54" t="s">
        <v>4078</v>
      </c>
      <c r="AR291" s="83" t="s">
        <v>4079</v>
      </c>
      <c r="AS291" s="83" t="s">
        <v>4080</v>
      </c>
      <c r="AT291" s="93" t="s">
        <v>4075</v>
      </c>
      <c r="AU291" s="93" t="s">
        <v>4075</v>
      </c>
      <c r="AV291" s="93" t="s">
        <v>4075</v>
      </c>
      <c r="AW291" s="83" t="s">
        <v>4081</v>
      </c>
      <c r="AX291" s="83">
        <v>1.0</v>
      </c>
      <c r="AY291" s="83">
        <v>1.0</v>
      </c>
      <c r="AZ291" s="83" t="s">
        <v>4082</v>
      </c>
      <c r="BA291" s="83" t="s">
        <v>4083</v>
      </c>
      <c r="BB291" s="83" t="s">
        <v>4084</v>
      </c>
      <c r="BC291" s="54" t="s">
        <v>34</v>
      </c>
      <c r="BD291" s="70" t="str">
        <f t="shared" si="1"/>
        <v>Nazca</v>
      </c>
      <c r="BE291" s="67" t="s">
        <v>140</v>
      </c>
      <c r="BF291" s="67" t="s">
        <v>144</v>
      </c>
      <c r="BG291" s="67" t="s">
        <v>142</v>
      </c>
      <c r="BH291" s="67"/>
      <c r="BI291" s="67"/>
      <c r="BJ291" s="67"/>
      <c r="BK291" s="67"/>
      <c r="BL291" s="67" t="s">
        <v>147</v>
      </c>
      <c r="BM291" s="67" t="s">
        <v>247</v>
      </c>
      <c r="BN291" s="100">
        <v>89.0</v>
      </c>
      <c r="BO291" s="102" t="s">
        <v>148</v>
      </c>
      <c r="BP291" s="67" t="s">
        <v>141</v>
      </c>
      <c r="BQ291" s="79" t="s">
        <v>141</v>
      </c>
      <c r="BR291" s="67" t="s">
        <v>149</v>
      </c>
      <c r="BS291" s="102">
        <v>1.0</v>
      </c>
      <c r="BT291" s="106"/>
      <c r="BU291" s="107"/>
      <c r="BV291" s="108">
        <f t="shared" si="2"/>
        <v>46207</v>
      </c>
      <c r="BW291" s="108">
        <f t="shared" si="16"/>
        <v>46213</v>
      </c>
      <c r="BX291" s="102" t="str">
        <f t="shared" si="15"/>
        <v>11</v>
      </c>
      <c r="BY291" s="107">
        <f t="shared" si="5"/>
        <v>2</v>
      </c>
      <c r="BZ291" s="107">
        <f t="array" ref="BZ291">IF($A291&lt;&gt;"",INDEX(LISTA!$M$2:$N$27,MATCH($BC291,LISTA!$N$2:$N$27,0),1),"")</f>
        <v>13</v>
      </c>
      <c r="CA291" s="67">
        <f t="shared" si="6"/>
        <v>7</v>
      </c>
      <c r="CB291" s="114" t="str">
        <f t="shared" si="7"/>
        <v/>
      </c>
      <c r="CC291" s="114"/>
    </row>
    <row r="292" ht="15.0" hidden="1" customHeight="1" outlineLevel="1">
      <c r="A292" s="59">
        <v>46207.59941582176</v>
      </c>
      <c r="B292" s="115" t="s">
        <v>377</v>
      </c>
      <c r="C292" s="54" t="s">
        <v>100</v>
      </c>
      <c r="D292" s="56" t="s">
        <v>101</v>
      </c>
      <c r="E292" s="69">
        <v>46214.666666666664</v>
      </c>
      <c r="F292" s="73" t="s">
        <v>4085</v>
      </c>
      <c r="G292" s="60" t="s">
        <v>4086</v>
      </c>
      <c r="H292" s="60" t="s">
        <v>4087</v>
      </c>
      <c r="I292" s="67" t="s">
        <v>192</v>
      </c>
      <c r="J292" s="79" t="s">
        <v>4088</v>
      </c>
      <c r="K292" s="67" t="s">
        <v>109</v>
      </c>
      <c r="L292" s="79" t="s">
        <v>4089</v>
      </c>
      <c r="M292" s="83" t="s">
        <v>4090</v>
      </c>
      <c r="N292" s="78">
        <v>31090.0</v>
      </c>
      <c r="O292" s="80" t="s">
        <v>41</v>
      </c>
      <c r="P292" s="70">
        <v>140101.0</v>
      </c>
      <c r="Q292" s="54"/>
      <c r="R292" s="84"/>
      <c r="S292" s="84"/>
      <c r="T292" s="54"/>
      <c r="U292" s="86"/>
      <c r="V292" s="54"/>
      <c r="W292" s="86"/>
      <c r="X292" s="54"/>
      <c r="Y292" s="78"/>
      <c r="Z292" s="54"/>
      <c r="AA292" s="70"/>
      <c r="AB292" s="83"/>
      <c r="AC292" s="83"/>
      <c r="AD292" s="83"/>
      <c r="AE292" s="83"/>
      <c r="AF292" s="83" t="s">
        <v>3042</v>
      </c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54" t="s">
        <v>2160</v>
      </c>
      <c r="AR292" s="83" t="s">
        <v>4091</v>
      </c>
      <c r="AS292" s="83" t="s">
        <v>4092</v>
      </c>
      <c r="AT292" s="93" t="s">
        <v>4088</v>
      </c>
      <c r="AU292" s="93" t="s">
        <v>4093</v>
      </c>
      <c r="AV292" s="93" t="s">
        <v>4088</v>
      </c>
      <c r="AW292" s="83" t="s">
        <v>4094</v>
      </c>
      <c r="AX292" s="83">
        <v>2.0</v>
      </c>
      <c r="AY292" s="83" t="s">
        <v>238</v>
      </c>
      <c r="AZ292" s="83" t="s">
        <v>4095</v>
      </c>
      <c r="BA292" s="83" t="s">
        <v>4096</v>
      </c>
      <c r="BB292" s="83" t="s">
        <v>4097</v>
      </c>
      <c r="BC292" s="54" t="s">
        <v>41</v>
      </c>
      <c r="BD292" s="54" t="str">
        <f t="shared" si="1"/>
        <v>Villa El Salvador</v>
      </c>
      <c r="BE292" s="67" t="s">
        <v>140</v>
      </c>
      <c r="BF292" s="67" t="s">
        <v>141</v>
      </c>
      <c r="BG292" s="67" t="s">
        <v>142</v>
      </c>
      <c r="BH292" s="67"/>
      <c r="BI292" s="67"/>
      <c r="BJ292" s="67"/>
      <c r="BK292" s="67"/>
      <c r="BL292" s="67" t="s">
        <v>147</v>
      </c>
      <c r="BM292" s="67" t="s">
        <v>1172</v>
      </c>
      <c r="BN292" s="100">
        <v>69.0</v>
      </c>
      <c r="BO292" s="102" t="s">
        <v>615</v>
      </c>
      <c r="BP292" s="67" t="s">
        <v>141</v>
      </c>
      <c r="BQ292" s="79" t="s">
        <v>141</v>
      </c>
      <c r="BR292" s="67" t="s">
        <v>149</v>
      </c>
      <c r="BS292" s="102" t="s">
        <v>149</v>
      </c>
      <c r="BT292" s="106"/>
      <c r="BU292" s="107"/>
      <c r="BV292" s="108">
        <f t="shared" si="2"/>
        <v>46207</v>
      </c>
      <c r="BW292" s="108">
        <f t="shared" si="16"/>
        <v>46214</v>
      </c>
      <c r="BX292" s="102" t="str">
        <f t="shared" si="15"/>
        <v>16</v>
      </c>
      <c r="BY292" s="107">
        <f t="shared" si="5"/>
        <v>2</v>
      </c>
      <c r="BZ292" s="107">
        <f t="array" ref="BZ292">IF($A292&lt;&gt;"",INDEX(LISTA!$M$2:$N$27,MATCH($BC292,LISTA!$N$2:$N$27,0),1),"")</f>
        <v>1</v>
      </c>
      <c r="CA292" s="67">
        <f t="shared" si="6"/>
        <v>7</v>
      </c>
      <c r="CB292" s="114" t="str">
        <f t="shared" si="7"/>
        <v/>
      </c>
      <c r="CC292" s="114"/>
    </row>
    <row r="293" ht="15.0" hidden="1" customHeight="1" outlineLevel="1">
      <c r="A293" s="59">
        <v>46209.4480987037</v>
      </c>
      <c r="B293" s="115" t="s">
        <v>377</v>
      </c>
      <c r="C293" s="54" t="s">
        <v>100</v>
      </c>
      <c r="D293" s="56" t="s">
        <v>101</v>
      </c>
      <c r="E293" s="69">
        <v>46212.666666666664</v>
      </c>
      <c r="F293" s="73" t="s">
        <v>103</v>
      </c>
      <c r="G293" s="60" t="s">
        <v>4098</v>
      </c>
      <c r="H293" s="60" t="s">
        <v>4099</v>
      </c>
      <c r="I293" s="67" t="s">
        <v>350</v>
      </c>
      <c r="J293" s="79" t="s">
        <v>4100</v>
      </c>
      <c r="K293" s="67" t="s">
        <v>109</v>
      </c>
      <c r="L293" s="79" t="s">
        <v>4101</v>
      </c>
      <c r="M293" s="83" t="s">
        <v>4102</v>
      </c>
      <c r="N293" s="78">
        <v>21632.0</v>
      </c>
      <c r="O293" s="80" t="s">
        <v>49</v>
      </c>
      <c r="P293" s="70">
        <v>220705.0</v>
      </c>
      <c r="Q293" s="54"/>
      <c r="R293" s="84"/>
      <c r="S293" s="84"/>
      <c r="T293" s="54"/>
      <c r="U293" s="86"/>
      <c r="V293" s="54"/>
      <c r="W293" s="86"/>
      <c r="X293" s="54"/>
      <c r="Y293" s="78"/>
      <c r="Z293" s="54"/>
      <c r="AA293" s="70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 t="s">
        <v>166</v>
      </c>
      <c r="AN293" s="83"/>
      <c r="AO293" s="83"/>
      <c r="AP293" s="83"/>
      <c r="AQ293" s="54" t="s">
        <v>4103</v>
      </c>
      <c r="AR293" s="83" t="s">
        <v>4104</v>
      </c>
      <c r="AS293" s="83" t="s">
        <v>4105</v>
      </c>
      <c r="AT293" s="93" t="s">
        <v>4100</v>
      </c>
      <c r="AU293" s="93" t="s">
        <v>4100</v>
      </c>
      <c r="AV293" s="93" t="s">
        <v>4100</v>
      </c>
      <c r="AW293" s="83" t="s">
        <v>4106</v>
      </c>
      <c r="AX293" s="83">
        <v>2.0</v>
      </c>
      <c r="AY293" s="83">
        <v>1.0</v>
      </c>
      <c r="AZ293" s="83" t="s">
        <v>4107</v>
      </c>
      <c r="BA293" s="83" t="s">
        <v>4108</v>
      </c>
      <c r="BB293" s="83" t="s">
        <v>4109</v>
      </c>
      <c r="BC293" s="54" t="s">
        <v>49</v>
      </c>
      <c r="BD293" s="54" t="str">
        <f t="shared" si="1"/>
        <v>San Martín</v>
      </c>
      <c r="BE293" s="67" t="s">
        <v>140</v>
      </c>
      <c r="BF293" s="67" t="s">
        <v>141</v>
      </c>
      <c r="BG293" s="67" t="s">
        <v>142</v>
      </c>
      <c r="BH293" s="67"/>
      <c r="BI293" s="67"/>
      <c r="BJ293" s="67"/>
      <c r="BK293" s="67"/>
      <c r="BL293" s="67" t="s">
        <v>147</v>
      </c>
      <c r="BM293" s="67" t="s">
        <v>247</v>
      </c>
      <c r="BN293" s="100">
        <v>89.0</v>
      </c>
      <c r="BO293" s="102" t="s">
        <v>148</v>
      </c>
      <c r="BP293" s="67" t="s">
        <v>141</v>
      </c>
      <c r="BQ293" s="79" t="s">
        <v>141</v>
      </c>
      <c r="BR293" s="67" t="s">
        <v>149</v>
      </c>
      <c r="BS293" s="102">
        <v>1.0</v>
      </c>
      <c r="BT293" s="106"/>
      <c r="BU293" s="107"/>
      <c r="BV293" s="108">
        <f t="shared" si="2"/>
        <v>46209</v>
      </c>
      <c r="BW293" s="108">
        <f t="shared" si="16"/>
        <v>46212</v>
      </c>
      <c r="BX293" s="102" t="str">
        <f t="shared" si="15"/>
        <v>16</v>
      </c>
      <c r="BY293" s="107">
        <f t="shared" si="5"/>
        <v>2</v>
      </c>
      <c r="BZ293" s="107">
        <f t="array" ref="BZ293">IF($A293&lt;&gt;"",INDEX(LISTA!$M$2:$N$27,MATCH($BC293,LISTA!$N$2:$N$27,0),1),"")</f>
        <v>23</v>
      </c>
      <c r="CA293" s="67">
        <f t="shared" si="6"/>
        <v>7</v>
      </c>
      <c r="CB293" s="114" t="str">
        <f t="shared" si="7"/>
        <v/>
      </c>
      <c r="CC293" s="114"/>
    </row>
    <row r="294" ht="15.0" hidden="1" customHeight="1" outlineLevel="1">
      <c r="A294" s="59">
        <v>46214.390332986106</v>
      </c>
      <c r="B294" s="115" t="s">
        <v>377</v>
      </c>
      <c r="C294" s="54" t="s">
        <v>100</v>
      </c>
      <c r="D294" s="56" t="s">
        <v>319</v>
      </c>
      <c r="E294" s="69">
        <v>46220.666666666664</v>
      </c>
      <c r="F294" s="73" t="s">
        <v>4110</v>
      </c>
      <c r="G294" s="60" t="s">
        <v>4111</v>
      </c>
      <c r="H294" s="60" t="s">
        <v>4112</v>
      </c>
      <c r="I294" s="67" t="s">
        <v>355</v>
      </c>
      <c r="J294" s="79" t="s">
        <v>4113</v>
      </c>
      <c r="K294" s="67" t="s">
        <v>109</v>
      </c>
      <c r="L294" s="79" t="s">
        <v>4114</v>
      </c>
      <c r="M294" s="83" t="s">
        <v>4115</v>
      </c>
      <c r="N294" s="78">
        <v>32361.0</v>
      </c>
      <c r="O294" s="80" t="s">
        <v>46</v>
      </c>
      <c r="P294" s="70">
        <v>200101.0</v>
      </c>
      <c r="Q294" s="54"/>
      <c r="R294" s="84"/>
      <c r="S294" s="84"/>
      <c r="T294" s="54"/>
      <c r="U294" s="86"/>
      <c r="V294" s="54"/>
      <c r="W294" s="86"/>
      <c r="X294" s="54"/>
      <c r="Y294" s="78"/>
      <c r="Z294" s="54"/>
      <c r="AA294" s="70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 t="s">
        <v>199</v>
      </c>
      <c r="AL294" s="83"/>
      <c r="AM294" s="83"/>
      <c r="AN294" s="83"/>
      <c r="AO294" s="83"/>
      <c r="AP294" s="83"/>
      <c r="AQ294" s="54" t="s">
        <v>1901</v>
      </c>
      <c r="AR294" s="83" t="s">
        <v>2736</v>
      </c>
      <c r="AS294" s="83" t="s">
        <v>4116</v>
      </c>
      <c r="AT294" s="93" t="s">
        <v>4113</v>
      </c>
      <c r="AU294" s="93" t="s">
        <v>4113</v>
      </c>
      <c r="AV294" s="93" t="s">
        <v>4113</v>
      </c>
      <c r="AW294" s="83" t="s">
        <v>4117</v>
      </c>
      <c r="AX294" s="83">
        <v>1.0</v>
      </c>
      <c r="AY294" s="83" t="s">
        <v>174</v>
      </c>
      <c r="AZ294" s="83" t="s">
        <v>4118</v>
      </c>
      <c r="BA294" s="83" t="s">
        <v>4119</v>
      </c>
      <c r="BB294" s="83" t="s">
        <v>4120</v>
      </c>
      <c r="BC294" s="54" t="s">
        <v>46</v>
      </c>
      <c r="BD294" s="54" t="str">
        <f t="shared" si="1"/>
        <v>Piura</v>
      </c>
      <c r="BE294" s="67" t="s">
        <v>140</v>
      </c>
      <c r="BF294" s="67" t="s">
        <v>144</v>
      </c>
      <c r="BG294" s="67" t="s">
        <v>142</v>
      </c>
      <c r="BH294" s="67"/>
      <c r="BI294" s="67"/>
      <c r="BJ294" s="67"/>
      <c r="BK294" s="67"/>
      <c r="BL294" s="67" t="s">
        <v>147</v>
      </c>
      <c r="BM294" s="67" t="s">
        <v>247</v>
      </c>
      <c r="BN294" s="100">
        <v>89.0</v>
      </c>
      <c r="BO294" s="102" t="s">
        <v>148</v>
      </c>
      <c r="BP294" s="67" t="s">
        <v>141</v>
      </c>
      <c r="BQ294" s="79" t="s">
        <v>141</v>
      </c>
      <c r="BR294" s="67" t="s">
        <v>149</v>
      </c>
      <c r="BS294" s="102">
        <v>1.0</v>
      </c>
      <c r="BT294" s="106"/>
      <c r="BU294" s="107"/>
      <c r="BV294" s="108">
        <f t="shared" si="2"/>
        <v>46214</v>
      </c>
      <c r="BW294" s="108">
        <f t="shared" si="16"/>
        <v>46220</v>
      </c>
      <c r="BX294" s="102" t="str">
        <f t="shared" si="15"/>
        <v>16</v>
      </c>
      <c r="BY294" s="107">
        <f t="shared" si="5"/>
        <v>2</v>
      </c>
      <c r="BZ294" s="107">
        <f t="array" ref="BZ294">IF($A294&lt;&gt;"",INDEX(LISTA!$M$2:$N$27,MATCH($BC294,LISTA!$N$2:$N$27,0),1),"")</f>
        <v>21</v>
      </c>
      <c r="CA294" s="67">
        <f t="shared" si="6"/>
        <v>7</v>
      </c>
      <c r="CB294" s="114" t="str">
        <f t="shared" si="7"/>
        <v/>
      </c>
      <c r="CC294" s="114"/>
    </row>
    <row r="295" ht="15.0" hidden="1" customHeight="1" outlineLevel="1">
      <c r="A295" s="59">
        <v>46217.6853686574</v>
      </c>
      <c r="B295" s="115" t="s">
        <v>377</v>
      </c>
      <c r="C295" s="54" t="s">
        <v>100</v>
      </c>
      <c r="D295" s="56" t="s">
        <v>319</v>
      </c>
      <c r="E295" s="69">
        <v>46220.375</v>
      </c>
      <c r="F295" s="73" t="s">
        <v>4121</v>
      </c>
      <c r="G295" s="60" t="s">
        <v>4122</v>
      </c>
      <c r="H295" s="60" t="s">
        <v>4123</v>
      </c>
      <c r="I295" s="67" t="s">
        <v>355</v>
      </c>
      <c r="J295" s="79" t="s">
        <v>4124</v>
      </c>
      <c r="K295" s="67" t="s">
        <v>109</v>
      </c>
      <c r="L295" s="79" t="s">
        <v>4125</v>
      </c>
      <c r="M295" s="83" t="s">
        <v>4126</v>
      </c>
      <c r="N295" s="78">
        <v>21911.0</v>
      </c>
      <c r="O295" s="80" t="s">
        <v>41</v>
      </c>
      <c r="P295" s="70">
        <v>150121.0</v>
      </c>
      <c r="Q295" s="54"/>
      <c r="R295" s="84"/>
      <c r="S295" s="84"/>
      <c r="T295" s="54"/>
      <c r="U295" s="86"/>
      <c r="V295" s="54"/>
      <c r="W295" s="86"/>
      <c r="X295" s="54"/>
      <c r="Y295" s="78"/>
      <c r="Z295" s="54"/>
      <c r="AA295" s="70"/>
      <c r="AB295" s="83"/>
      <c r="AC295" s="83"/>
      <c r="AD295" s="83"/>
      <c r="AE295" s="83"/>
      <c r="AF295" s="83" t="s">
        <v>753</v>
      </c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54" t="s">
        <v>4127</v>
      </c>
      <c r="AR295" s="83" t="s">
        <v>4128</v>
      </c>
      <c r="AS295" s="83" t="s">
        <v>4129</v>
      </c>
      <c r="AT295" s="93" t="s">
        <v>4124</v>
      </c>
      <c r="AU295" s="93" t="s">
        <v>4124</v>
      </c>
      <c r="AV295" s="93" t="s">
        <v>4124</v>
      </c>
      <c r="AW295" s="83" t="s">
        <v>4130</v>
      </c>
      <c r="AX295" s="83">
        <v>2.0</v>
      </c>
      <c r="AY295" s="83" t="s">
        <v>174</v>
      </c>
      <c r="AZ295" s="83" t="s">
        <v>4131</v>
      </c>
      <c r="BA295" s="83" t="s">
        <v>4132</v>
      </c>
      <c r="BB295" s="83" t="s">
        <v>4133</v>
      </c>
      <c r="BC295" s="54" t="s">
        <v>41</v>
      </c>
      <c r="BD295" s="54" t="str">
        <f t="shared" si="1"/>
        <v>Carabayllo</v>
      </c>
      <c r="BE295" s="67" t="s">
        <v>143</v>
      </c>
      <c r="BF295" s="67" t="s">
        <v>141</v>
      </c>
      <c r="BG295" s="67" t="s">
        <v>142</v>
      </c>
      <c r="BH295" s="67"/>
      <c r="BI295" s="67"/>
      <c r="BJ295" s="67"/>
      <c r="BK295" s="67"/>
      <c r="BL295" s="67" t="s">
        <v>1444</v>
      </c>
      <c r="BM295" s="67" t="s">
        <v>146</v>
      </c>
      <c r="BN295" s="100">
        <v>225.0</v>
      </c>
      <c r="BO295" s="102" t="s">
        <v>330</v>
      </c>
      <c r="BP295" s="67" t="s">
        <v>144</v>
      </c>
      <c r="BQ295" s="79" t="s">
        <v>141</v>
      </c>
      <c r="BR295" s="67">
        <v>2.0</v>
      </c>
      <c r="BS295" s="102" t="s">
        <v>149</v>
      </c>
      <c r="BT295" s="106"/>
      <c r="BU295" s="107"/>
      <c r="BV295" s="108">
        <f t="shared" si="2"/>
        <v>46217</v>
      </c>
      <c r="BW295" s="108">
        <f t="shared" si="16"/>
        <v>46220</v>
      </c>
      <c r="BX295" s="102" t="str">
        <f t="shared" si="15"/>
        <v>09</v>
      </c>
      <c r="BY295" s="107">
        <f t="shared" si="5"/>
        <v>2</v>
      </c>
      <c r="BZ295" s="107">
        <f t="array" ref="BZ295">IF($A295&lt;&gt;"",INDEX(LISTA!$M$2:$N$27,MATCH($BC295,LISTA!$N$2:$N$27,0),1),"")</f>
        <v>1</v>
      </c>
      <c r="CA295" s="67">
        <f t="shared" si="6"/>
        <v>7</v>
      </c>
      <c r="CB295" s="114" t="str">
        <f t="shared" si="7"/>
        <v/>
      </c>
      <c r="CC295" s="114"/>
    </row>
    <row r="296" ht="15.0" hidden="1" customHeight="1" outlineLevel="1">
      <c r="A296" s="59">
        <v>46211.62005400463</v>
      </c>
      <c r="B296" s="115" t="s">
        <v>404</v>
      </c>
      <c r="C296" s="54" t="s">
        <v>100</v>
      </c>
      <c r="D296" s="56" t="s">
        <v>101</v>
      </c>
      <c r="E296" s="69">
        <v>46214.375</v>
      </c>
      <c r="F296" s="73" t="s">
        <v>4134</v>
      </c>
      <c r="G296" s="60" t="s">
        <v>4135</v>
      </c>
      <c r="H296" s="60" t="s">
        <v>4136</v>
      </c>
      <c r="I296" s="67" t="s">
        <v>350</v>
      </c>
      <c r="J296" s="79" t="s">
        <v>4137</v>
      </c>
      <c r="K296" s="67" t="s">
        <v>109</v>
      </c>
      <c r="L296" s="79" t="s">
        <v>4138</v>
      </c>
      <c r="M296" s="83" t="s">
        <v>4139</v>
      </c>
      <c r="N296" s="78">
        <v>32952.0</v>
      </c>
      <c r="O296" s="80" t="s">
        <v>24</v>
      </c>
      <c r="P296" s="156" t="s">
        <v>1283</v>
      </c>
      <c r="Q296" s="54"/>
      <c r="R296" s="84"/>
      <c r="S296" s="84"/>
      <c r="T296" s="54"/>
      <c r="U296" s="86"/>
      <c r="V296" s="54"/>
      <c r="W296" s="86"/>
      <c r="X296" s="54"/>
      <c r="Y296" s="78"/>
      <c r="Z296" s="54"/>
      <c r="AA296" s="70"/>
      <c r="AB296" s="83"/>
      <c r="AC296" s="83"/>
      <c r="AD296" s="83"/>
      <c r="AE296" s="83"/>
      <c r="AF296" s="83" t="s">
        <v>1159</v>
      </c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54" t="s">
        <v>2697</v>
      </c>
      <c r="AR296" s="83" t="s">
        <v>2871</v>
      </c>
      <c r="AS296" s="83" t="s">
        <v>4140</v>
      </c>
      <c r="AT296" s="93" t="s">
        <v>4137</v>
      </c>
      <c r="AU296" s="93" t="s">
        <v>4137</v>
      </c>
      <c r="AV296" s="93" t="s">
        <v>4137</v>
      </c>
      <c r="AW296" s="83" t="s">
        <v>4141</v>
      </c>
      <c r="AX296" s="83">
        <v>3.0</v>
      </c>
      <c r="AY296" s="83">
        <v>3.0</v>
      </c>
      <c r="AZ296" s="83" t="s">
        <v>4142</v>
      </c>
      <c r="BA296" s="83" t="s">
        <v>4143</v>
      </c>
      <c r="BB296" s="83" t="s">
        <v>4144</v>
      </c>
      <c r="BC296" s="54" t="s">
        <v>41</v>
      </c>
      <c r="BD296" s="54" t="str">
        <f t="shared" si="1"/>
        <v>Cercado de Lima</v>
      </c>
      <c r="BE296" s="67" t="s">
        <v>140</v>
      </c>
      <c r="BF296" s="67" t="s">
        <v>141</v>
      </c>
      <c r="BG296" s="67" t="s">
        <v>142</v>
      </c>
      <c r="BH296" s="67"/>
      <c r="BI296" s="67"/>
      <c r="BJ296" s="67"/>
      <c r="BK296" s="67"/>
      <c r="BL296" s="67" t="s">
        <v>147</v>
      </c>
      <c r="BM296" s="67" t="s">
        <v>247</v>
      </c>
      <c r="BN296" s="100">
        <v>89.0</v>
      </c>
      <c r="BO296" s="102" t="s">
        <v>148</v>
      </c>
      <c r="BP296" s="67" t="s">
        <v>141</v>
      </c>
      <c r="BQ296" s="79" t="s">
        <v>141</v>
      </c>
      <c r="BR296" s="67" t="s">
        <v>149</v>
      </c>
      <c r="BS296" s="102">
        <v>1.0</v>
      </c>
      <c r="BT296" s="106"/>
      <c r="BU296" s="107"/>
      <c r="BV296" s="108">
        <f t="shared" si="2"/>
        <v>46211</v>
      </c>
      <c r="BW296" s="108">
        <f t="shared" si="16"/>
        <v>46214</v>
      </c>
      <c r="BX296" s="102" t="str">
        <f t="shared" si="15"/>
        <v>09</v>
      </c>
      <c r="BY296" s="107">
        <f t="shared" si="5"/>
        <v>2</v>
      </c>
      <c r="BZ296" s="107">
        <f t="array" ref="BZ296">IF($A296&lt;&gt;"",INDEX(LISTA!$M$2:$N$27,MATCH($BC296,LISTA!$N$2:$N$27,0),1),"")</f>
        <v>1</v>
      </c>
      <c r="CA296" s="67">
        <f t="shared" si="6"/>
        <v>7</v>
      </c>
      <c r="CB296" s="114" t="str">
        <f t="shared" si="7"/>
        <v/>
      </c>
      <c r="CC296" s="114"/>
    </row>
    <row r="297" ht="15.0" hidden="1" customHeight="1" outlineLevel="1">
      <c r="A297" s="59">
        <v>46234.61576659722</v>
      </c>
      <c r="B297" s="62" t="s">
        <v>383</v>
      </c>
      <c r="C297" s="54" t="s">
        <v>100</v>
      </c>
      <c r="D297" s="56" t="s">
        <v>101</v>
      </c>
      <c r="E297" s="69">
        <v>46242.375</v>
      </c>
      <c r="F297" s="73" t="s">
        <v>4145</v>
      </c>
      <c r="G297" s="60" t="s">
        <v>4146</v>
      </c>
      <c r="H297" s="60" t="s">
        <v>4147</v>
      </c>
      <c r="I297" s="67" t="s">
        <v>107</v>
      </c>
      <c r="J297" s="79" t="s">
        <v>4148</v>
      </c>
      <c r="K297" s="67" t="s">
        <v>109</v>
      </c>
      <c r="L297" s="79" t="s">
        <v>4149</v>
      </c>
      <c r="M297" s="83" t="s">
        <v>4150</v>
      </c>
      <c r="N297" s="78">
        <v>29417.0</v>
      </c>
      <c r="O297" s="80" t="s">
        <v>48</v>
      </c>
      <c r="P297" s="70">
        <v>200501.0</v>
      </c>
      <c r="Q297" s="54"/>
      <c r="R297" s="84"/>
      <c r="S297" s="84"/>
      <c r="T297" s="54"/>
      <c r="U297" s="86"/>
      <c r="V297" s="54"/>
      <c r="W297" s="86"/>
      <c r="X297" s="54"/>
      <c r="Y297" s="78"/>
      <c r="Z297" s="54"/>
      <c r="AA297" s="70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 t="s">
        <v>4151</v>
      </c>
      <c r="AM297" s="83"/>
      <c r="AN297" s="83"/>
      <c r="AO297" s="83"/>
      <c r="AP297" s="83"/>
      <c r="AQ297" s="54" t="s">
        <v>4152</v>
      </c>
      <c r="AR297" s="83" t="s">
        <v>4153</v>
      </c>
      <c r="AS297" s="83" t="s">
        <v>4154</v>
      </c>
      <c r="AT297" s="93" t="s">
        <v>4148</v>
      </c>
      <c r="AU297" s="93" t="s">
        <v>4148</v>
      </c>
      <c r="AV297" s="93" t="s">
        <v>4148</v>
      </c>
      <c r="AW297" s="83" t="s">
        <v>4155</v>
      </c>
      <c r="AX297" s="83">
        <v>2.0</v>
      </c>
      <c r="AY297" s="83">
        <v>1.0</v>
      </c>
      <c r="AZ297" s="83" t="s">
        <v>4156</v>
      </c>
      <c r="BA297" s="83" t="s">
        <v>4157</v>
      </c>
      <c r="BB297" s="83" t="s">
        <v>4158</v>
      </c>
      <c r="BC297" s="54" t="s">
        <v>48</v>
      </c>
      <c r="BD297" s="54" t="str">
        <f t="shared" si="1"/>
        <v>Huancané</v>
      </c>
      <c r="BE297" s="67" t="s">
        <v>140</v>
      </c>
      <c r="BF297" s="67" t="s">
        <v>141</v>
      </c>
      <c r="BG297" s="67" t="s">
        <v>142</v>
      </c>
      <c r="BH297" s="67"/>
      <c r="BI297" s="67"/>
      <c r="BJ297" s="67"/>
      <c r="BK297" s="67"/>
      <c r="BL297" s="67" t="s">
        <v>145</v>
      </c>
      <c r="BM297" s="67" t="s">
        <v>146</v>
      </c>
      <c r="BN297" s="100">
        <v>150.0</v>
      </c>
      <c r="BO297" s="102" t="s">
        <v>615</v>
      </c>
      <c r="BP297" s="67" t="s">
        <v>144</v>
      </c>
      <c r="BQ297" s="79" t="s">
        <v>141</v>
      </c>
      <c r="BR297" s="67">
        <v>2.0</v>
      </c>
      <c r="BS297" s="102" t="s">
        <v>149</v>
      </c>
      <c r="BT297" s="106"/>
      <c r="BU297" s="107"/>
      <c r="BV297" s="108">
        <f t="shared" si="2"/>
        <v>46234</v>
      </c>
      <c r="BW297" s="108">
        <f t="shared" si="16"/>
        <v>46242</v>
      </c>
      <c r="BX297" s="102" t="str">
        <f t="shared" si="15"/>
        <v>09</v>
      </c>
      <c r="BY297" s="107">
        <f t="shared" si="5"/>
        <v>2</v>
      </c>
      <c r="BZ297" s="107">
        <f t="array" ref="BZ297">IF($A297&lt;&gt;"",INDEX(LISTA!$M$2:$N$27,MATCH($BC297,LISTA!$N$2:$N$27,0),1),"")</f>
        <v>22</v>
      </c>
      <c r="CA297" s="67">
        <f t="shared" si="6"/>
        <v>7</v>
      </c>
      <c r="CB297" s="114" t="str">
        <f t="shared" si="7"/>
        <v/>
      </c>
      <c r="CC297" s="114"/>
    </row>
    <row r="298" ht="15.0" hidden="1" customHeight="1" outlineLevel="1">
      <c r="A298" s="59">
        <v>46233.45300584491</v>
      </c>
      <c r="B298" s="115" t="s">
        <v>383</v>
      </c>
      <c r="C298" s="54" t="s">
        <v>100</v>
      </c>
      <c r="D298" s="56" t="s">
        <v>319</v>
      </c>
      <c r="E298" s="69">
        <v>46236.375</v>
      </c>
      <c r="F298" s="73" t="s">
        <v>4159</v>
      </c>
      <c r="G298" s="60" t="s">
        <v>4160</v>
      </c>
      <c r="H298" s="60" t="s">
        <v>4161</v>
      </c>
      <c r="I298" s="67" t="s">
        <v>363</v>
      </c>
      <c r="J298" s="79" t="s">
        <v>4162</v>
      </c>
      <c r="K298" s="67" t="s">
        <v>109</v>
      </c>
      <c r="L298" s="79" t="s">
        <v>4163</v>
      </c>
      <c r="M298" s="83" t="s">
        <v>4164</v>
      </c>
      <c r="N298" s="78">
        <v>27337.0</v>
      </c>
      <c r="O298" s="80" t="s">
        <v>40</v>
      </c>
      <c r="P298" s="70">
        <v>130101.0</v>
      </c>
      <c r="Q298" s="54"/>
      <c r="R298" s="84"/>
      <c r="S298" s="84"/>
      <c r="T298" s="54"/>
      <c r="U298" s="86"/>
      <c r="V298" s="54"/>
      <c r="W298" s="86"/>
      <c r="X298" s="54"/>
      <c r="Y298" s="78"/>
      <c r="Z298" s="54"/>
      <c r="AA298" s="70"/>
      <c r="AB298" s="83"/>
      <c r="AC298" s="83"/>
      <c r="AD298" s="83" t="s">
        <v>805</v>
      </c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54" t="s">
        <v>4165</v>
      </c>
      <c r="AR298" s="83" t="s">
        <v>4166</v>
      </c>
      <c r="AS298" s="157" t="s">
        <v>4167</v>
      </c>
      <c r="AT298" s="93" t="s">
        <v>4162</v>
      </c>
      <c r="AU298" s="93" t="s">
        <v>4162</v>
      </c>
      <c r="AV298" s="93" t="s">
        <v>4162</v>
      </c>
      <c r="AW298" s="83" t="s">
        <v>4168</v>
      </c>
      <c r="AX298" s="83">
        <v>4.0</v>
      </c>
      <c r="AY298" s="83" t="s">
        <v>174</v>
      </c>
      <c r="AZ298" s="83" t="s">
        <v>4169</v>
      </c>
      <c r="BA298" s="83" t="s">
        <v>4170</v>
      </c>
      <c r="BB298" s="83" t="s">
        <v>4171</v>
      </c>
      <c r="BC298" s="54" t="s">
        <v>40</v>
      </c>
      <c r="BD298" s="54" t="str">
        <f t="shared" si="1"/>
        <v>Chiclayo</v>
      </c>
      <c r="BE298" s="67" t="s">
        <v>140</v>
      </c>
      <c r="BF298" s="67" t="s">
        <v>141</v>
      </c>
      <c r="BG298" s="67" t="s">
        <v>142</v>
      </c>
      <c r="BH298" s="67"/>
      <c r="BI298" s="67"/>
      <c r="BJ298" s="67"/>
      <c r="BK298" s="67"/>
      <c r="BL298" s="67" t="s">
        <v>147</v>
      </c>
      <c r="BM298" s="67" t="s">
        <v>146</v>
      </c>
      <c r="BN298" s="100">
        <v>89.0</v>
      </c>
      <c r="BO298" s="102" t="s">
        <v>148</v>
      </c>
      <c r="BP298" s="67" t="s">
        <v>141</v>
      </c>
      <c r="BQ298" s="79" t="s">
        <v>141</v>
      </c>
      <c r="BR298" s="67" t="s">
        <v>149</v>
      </c>
      <c r="BS298" s="102">
        <v>1.0</v>
      </c>
      <c r="BT298" s="106"/>
      <c r="BU298" s="107"/>
      <c r="BV298" s="108">
        <f t="shared" si="2"/>
        <v>46233</v>
      </c>
      <c r="BW298" s="108">
        <f t="shared" si="16"/>
        <v>46236</v>
      </c>
      <c r="BX298" s="102" t="str">
        <f t="shared" si="15"/>
        <v>09</v>
      </c>
      <c r="BY298" s="107">
        <f t="shared" si="5"/>
        <v>2</v>
      </c>
      <c r="BZ298" s="107">
        <f t="array" ref="BZ298">IF($A298&lt;&gt;"",INDEX(LISTA!$M$2:$N$27,MATCH($BC298,LISTA!$N$2:$N$27,0),1),"")</f>
        <v>16</v>
      </c>
      <c r="CA298" s="67">
        <f t="shared" si="6"/>
        <v>7</v>
      </c>
      <c r="CB298" s="114" t="str">
        <f t="shared" si="7"/>
        <v/>
      </c>
      <c r="CC298" s="114"/>
    </row>
    <row r="299" ht="15.0" hidden="1" customHeight="1" outlineLevel="1">
      <c r="A299" s="59">
        <v>46216.785030960644</v>
      </c>
      <c r="B299" s="115" t="s">
        <v>383</v>
      </c>
      <c r="C299" s="54" t="s">
        <v>100</v>
      </c>
      <c r="D299" s="56" t="s">
        <v>319</v>
      </c>
      <c r="E299" s="69">
        <v>46218.375</v>
      </c>
      <c r="F299" s="73" t="s">
        <v>949</v>
      </c>
      <c r="G299" s="60" t="s">
        <v>4172</v>
      </c>
      <c r="H299" s="60" t="s">
        <v>4173</v>
      </c>
      <c r="I299" s="67" t="s">
        <v>367</v>
      </c>
      <c r="J299" s="79" t="s">
        <v>4174</v>
      </c>
      <c r="K299" s="67" t="s">
        <v>109</v>
      </c>
      <c r="L299" s="79" t="s">
        <v>4175</v>
      </c>
      <c r="M299" s="83" t="s">
        <v>4176</v>
      </c>
      <c r="N299" s="78">
        <v>24417.0</v>
      </c>
      <c r="O299" s="80" t="s">
        <v>46</v>
      </c>
      <c r="P299" s="70">
        <v>200000.0</v>
      </c>
      <c r="Q299" s="54"/>
      <c r="R299" s="84"/>
      <c r="S299" s="84"/>
      <c r="T299" s="54"/>
      <c r="U299" s="86"/>
      <c r="V299" s="54"/>
      <c r="W299" s="86"/>
      <c r="X299" s="54"/>
      <c r="Y299" s="78"/>
      <c r="Z299" s="54"/>
      <c r="AA299" s="70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 t="s">
        <v>199</v>
      </c>
      <c r="AL299" s="83"/>
      <c r="AM299" s="83"/>
      <c r="AN299" s="83"/>
      <c r="AO299" s="83"/>
      <c r="AP299" s="83"/>
      <c r="AQ299" s="54" t="s">
        <v>4177</v>
      </c>
      <c r="AR299" s="83" t="s">
        <v>717</v>
      </c>
      <c r="AS299" s="83" t="s">
        <v>4178</v>
      </c>
      <c r="AT299" s="93" t="s">
        <v>4174</v>
      </c>
      <c r="AU299" s="93" t="s">
        <v>4174</v>
      </c>
      <c r="AV299" s="93" t="s">
        <v>4174</v>
      </c>
      <c r="AW299" s="83" t="s">
        <v>4179</v>
      </c>
      <c r="AX299" s="83">
        <v>1.0</v>
      </c>
      <c r="AY299" s="83" t="s">
        <v>1767</v>
      </c>
      <c r="AZ299" s="83" t="s">
        <v>4180</v>
      </c>
      <c r="BA299" s="83" t="s">
        <v>4181</v>
      </c>
      <c r="BB299" s="83" t="s">
        <v>4182</v>
      </c>
      <c r="BC299" s="54" t="s">
        <v>46</v>
      </c>
      <c r="BD299" s="54" t="str">
        <f t="shared" si="1"/>
        <v>Piura</v>
      </c>
      <c r="BE299" s="67" t="s">
        <v>140</v>
      </c>
      <c r="BF299" s="67" t="s">
        <v>144</v>
      </c>
      <c r="BG299" s="67" t="s">
        <v>142</v>
      </c>
      <c r="BH299" s="67"/>
      <c r="BI299" s="67"/>
      <c r="BJ299" s="67"/>
      <c r="BK299" s="67"/>
      <c r="BL299" s="67" t="s">
        <v>147</v>
      </c>
      <c r="BM299" s="67" t="s">
        <v>247</v>
      </c>
      <c r="BN299" s="100">
        <v>89.0</v>
      </c>
      <c r="BO299" s="102" t="s">
        <v>148</v>
      </c>
      <c r="BP299" s="67" t="s">
        <v>141</v>
      </c>
      <c r="BQ299" s="79" t="s">
        <v>141</v>
      </c>
      <c r="BR299" s="67" t="s">
        <v>149</v>
      </c>
      <c r="BS299" s="102">
        <v>1.0</v>
      </c>
      <c r="BT299" s="106"/>
      <c r="BU299" s="107"/>
      <c r="BV299" s="108">
        <f t="shared" si="2"/>
        <v>46216</v>
      </c>
      <c r="BW299" s="108">
        <f t="shared" si="16"/>
        <v>46218</v>
      </c>
      <c r="BX299" s="102" t="str">
        <f t="shared" si="15"/>
        <v>09</v>
      </c>
      <c r="BY299" s="107">
        <f t="shared" si="5"/>
        <v>2</v>
      </c>
      <c r="BZ299" s="107">
        <f t="array" ref="BZ299">IF($A299&lt;&gt;"",INDEX(LISTA!$M$2:$N$27,MATCH($BC299,LISTA!$N$2:$N$27,0),1),"")</f>
        <v>21</v>
      </c>
      <c r="CA299" s="67">
        <f t="shared" si="6"/>
        <v>7</v>
      </c>
      <c r="CB299" s="114" t="str">
        <f t="shared" si="7"/>
        <v/>
      </c>
      <c r="CC299" s="114"/>
    </row>
    <row r="300" ht="15.0" hidden="1" customHeight="1" outlineLevel="1">
      <c r="A300" s="59">
        <v>46220.73757113426</v>
      </c>
      <c r="B300" s="115" t="s">
        <v>383</v>
      </c>
      <c r="C300" s="54" t="s">
        <v>100</v>
      </c>
      <c r="D300" s="56" t="s">
        <v>319</v>
      </c>
      <c r="E300" s="69">
        <v>46221.583333333336</v>
      </c>
      <c r="F300" s="73"/>
      <c r="G300" s="60" t="s">
        <v>4183</v>
      </c>
      <c r="H300" s="60" t="s">
        <v>4184</v>
      </c>
      <c r="I300" s="67" t="s">
        <v>350</v>
      </c>
      <c r="J300" s="79" t="s">
        <v>4185</v>
      </c>
      <c r="K300" s="67" t="s">
        <v>109</v>
      </c>
      <c r="L300" s="79" t="s">
        <v>4186</v>
      </c>
      <c r="M300" s="83" t="s">
        <v>4187</v>
      </c>
      <c r="N300" s="78">
        <v>27247.0</v>
      </c>
      <c r="O300" s="80" t="s">
        <v>37</v>
      </c>
      <c r="P300" s="70">
        <v>140104.0</v>
      </c>
      <c r="Q300" s="54"/>
      <c r="R300" s="84"/>
      <c r="S300" s="84"/>
      <c r="T300" s="54"/>
      <c r="U300" s="86"/>
      <c r="V300" s="54"/>
      <c r="W300" s="86"/>
      <c r="X300" s="54"/>
      <c r="Y300" s="78"/>
      <c r="Z300" s="54"/>
      <c r="AA300" s="70"/>
      <c r="AB300" s="83"/>
      <c r="AC300" s="83"/>
      <c r="AD300" s="83"/>
      <c r="AE300" s="83"/>
      <c r="AF300" s="83" t="s">
        <v>691</v>
      </c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54" t="s">
        <v>4188</v>
      </c>
      <c r="AR300" s="83" t="s">
        <v>4043</v>
      </c>
      <c r="AS300" s="83" t="s">
        <v>4189</v>
      </c>
      <c r="AT300" s="93" t="s">
        <v>4185</v>
      </c>
      <c r="AU300" s="93" t="s">
        <v>4185</v>
      </c>
      <c r="AV300" s="93" t="s">
        <v>4185</v>
      </c>
      <c r="AW300" s="83" t="s">
        <v>4190</v>
      </c>
      <c r="AX300" s="83">
        <v>2.0</v>
      </c>
      <c r="AY300" s="83">
        <v>0.0</v>
      </c>
      <c r="AZ300" s="83" t="s">
        <v>4191</v>
      </c>
      <c r="BA300" s="83" t="s">
        <v>4192</v>
      </c>
      <c r="BB300" s="83" t="s">
        <v>4193</v>
      </c>
      <c r="BC300" s="54" t="s">
        <v>41</v>
      </c>
      <c r="BD300" s="54" t="str">
        <f t="shared" si="1"/>
        <v>Comas</v>
      </c>
      <c r="BE300" s="67" t="s">
        <v>143</v>
      </c>
      <c r="BF300" s="67" t="s">
        <v>144</v>
      </c>
      <c r="BG300" s="67" t="s">
        <v>142</v>
      </c>
      <c r="BH300" s="67"/>
      <c r="BI300" s="67"/>
      <c r="BJ300" s="67"/>
      <c r="BK300" s="67"/>
      <c r="BL300" s="67" t="s">
        <v>145</v>
      </c>
      <c r="BM300" s="67" t="s">
        <v>146</v>
      </c>
      <c r="BN300" s="100">
        <v>150.0</v>
      </c>
      <c r="BO300" s="102" t="s">
        <v>615</v>
      </c>
      <c r="BP300" s="67" t="s">
        <v>141</v>
      </c>
      <c r="BQ300" s="79" t="s">
        <v>141</v>
      </c>
      <c r="BR300" s="67" t="s">
        <v>149</v>
      </c>
      <c r="BS300" s="102" t="s">
        <v>149</v>
      </c>
      <c r="BT300" s="106"/>
      <c r="BU300" s="107"/>
      <c r="BV300" s="108">
        <f t="shared" si="2"/>
        <v>46220</v>
      </c>
      <c r="BW300" s="108">
        <f t="shared" si="16"/>
        <v>46221</v>
      </c>
      <c r="BX300" s="102" t="str">
        <f t="shared" si="15"/>
        <v>14</v>
      </c>
      <c r="BY300" s="107">
        <f t="shared" si="5"/>
        <v>2</v>
      </c>
      <c r="BZ300" s="107">
        <f t="array" ref="BZ300">IF($A300&lt;&gt;"",INDEX(LISTA!$M$2:$N$27,MATCH($BC300,LISTA!$N$2:$N$27,0),1),"")</f>
        <v>1</v>
      </c>
      <c r="CA300" s="67">
        <f t="shared" si="6"/>
        <v>7</v>
      </c>
      <c r="CB300" s="114" t="str">
        <f t="shared" si="7"/>
        <v/>
      </c>
      <c r="CC300" s="114"/>
    </row>
    <row r="301" ht="15.0" hidden="1" customHeight="1" outlineLevel="1">
      <c r="A301" s="59">
        <v>46225.428631180555</v>
      </c>
      <c r="B301" s="115" t="s">
        <v>383</v>
      </c>
      <c r="C301" s="54" t="s">
        <v>100</v>
      </c>
      <c r="D301" s="56" t="s">
        <v>101</v>
      </c>
      <c r="E301" s="69">
        <v>46226.583333333336</v>
      </c>
      <c r="F301" s="73" t="s">
        <v>4194</v>
      </c>
      <c r="G301" s="60" t="s">
        <v>4195</v>
      </c>
      <c r="H301" s="60" t="s">
        <v>4196</v>
      </c>
      <c r="I301" s="67" t="s">
        <v>350</v>
      </c>
      <c r="J301" s="79" t="s">
        <v>4197</v>
      </c>
      <c r="K301" s="67" t="s">
        <v>109</v>
      </c>
      <c r="L301" s="79" t="s">
        <v>4198</v>
      </c>
      <c r="M301" s="83" t="s">
        <v>4199</v>
      </c>
      <c r="N301" s="78">
        <v>28826.0</v>
      </c>
      <c r="O301" s="80" t="s">
        <v>24</v>
      </c>
      <c r="P301" s="156" t="s">
        <v>1283</v>
      </c>
      <c r="Q301" s="54"/>
      <c r="R301" s="84" t="s">
        <v>1284</v>
      </c>
      <c r="S301" s="84"/>
      <c r="T301" s="54"/>
      <c r="U301" s="86"/>
      <c r="V301" s="54"/>
      <c r="W301" s="86"/>
      <c r="X301" s="54"/>
      <c r="Y301" s="78"/>
      <c r="Z301" s="54"/>
      <c r="AA301" s="70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54" t="s">
        <v>4200</v>
      </c>
      <c r="AR301" s="83" t="s">
        <v>4201</v>
      </c>
      <c r="AS301" s="83" t="s">
        <v>4202</v>
      </c>
      <c r="AT301" s="93" t="s">
        <v>4197</v>
      </c>
      <c r="AU301" s="93" t="s">
        <v>4197</v>
      </c>
      <c r="AV301" s="93" t="s">
        <v>4197</v>
      </c>
      <c r="AW301" s="83" t="s">
        <v>4203</v>
      </c>
      <c r="AX301" s="83">
        <v>1.0</v>
      </c>
      <c r="AY301" s="83">
        <v>0.0</v>
      </c>
      <c r="AZ301" s="83" t="s">
        <v>4204</v>
      </c>
      <c r="BA301" s="83" t="s">
        <v>4205</v>
      </c>
      <c r="BB301" s="83" t="s">
        <v>4206</v>
      </c>
      <c r="BC301" s="54" t="s">
        <v>24</v>
      </c>
      <c r="BD301" s="54" t="str">
        <f t="shared" si="1"/>
        <v>Santa</v>
      </c>
      <c r="BE301" s="67" t="s">
        <v>143</v>
      </c>
      <c r="BF301" s="67" t="s">
        <v>141</v>
      </c>
      <c r="BG301" s="67" t="s">
        <v>142</v>
      </c>
      <c r="BH301" s="67"/>
      <c r="BI301" s="67"/>
      <c r="BJ301" s="67"/>
      <c r="BK301" s="67"/>
      <c r="BL301" s="67" t="s">
        <v>145</v>
      </c>
      <c r="BM301" s="67" t="s">
        <v>1897</v>
      </c>
      <c r="BN301" s="100">
        <v>99.0</v>
      </c>
      <c r="BO301" s="102" t="s">
        <v>1647</v>
      </c>
      <c r="BP301" s="67" t="s">
        <v>141</v>
      </c>
      <c r="BQ301" s="79" t="s">
        <v>141</v>
      </c>
      <c r="BR301" s="67">
        <v>2.0</v>
      </c>
      <c r="BS301" s="102" t="s">
        <v>149</v>
      </c>
      <c r="BT301" s="106"/>
      <c r="BU301" s="107"/>
      <c r="BV301" s="108">
        <f t="shared" si="2"/>
        <v>46225</v>
      </c>
      <c r="BW301" s="108">
        <f t="shared" si="16"/>
        <v>46226</v>
      </c>
      <c r="BX301" s="102" t="str">
        <f t="shared" si="15"/>
        <v>14</v>
      </c>
      <c r="BY301" s="107">
        <f t="shared" si="5"/>
        <v>2</v>
      </c>
      <c r="BZ301" s="107">
        <f t="array" ref="BZ301">IF($A301&lt;&gt;"",INDEX(LISTA!$M$2:$N$27,MATCH($BC301,LISTA!$N$2:$N$27,0),1),"")</f>
        <v>5</v>
      </c>
      <c r="CA301" s="67">
        <f t="shared" si="6"/>
        <v>7</v>
      </c>
      <c r="CB301" s="114" t="str">
        <f t="shared" si="7"/>
        <v/>
      </c>
      <c r="CC301" s="114"/>
    </row>
    <row r="302" ht="15.0" hidden="1" customHeight="1" outlineLevel="1">
      <c r="A302" s="59">
        <v>46234.592203946755</v>
      </c>
      <c r="B302" s="115" t="s">
        <v>395</v>
      </c>
      <c r="C302" s="54" t="s">
        <v>100</v>
      </c>
      <c r="D302" s="56" t="s">
        <v>319</v>
      </c>
      <c r="E302" s="69">
        <v>46236.375</v>
      </c>
      <c r="F302" s="73" t="s">
        <v>4207</v>
      </c>
      <c r="G302" s="60" t="s">
        <v>4208</v>
      </c>
      <c r="H302" s="60" t="s">
        <v>4209</v>
      </c>
      <c r="I302" s="67" t="s">
        <v>367</v>
      </c>
      <c r="J302" s="79" t="s">
        <v>4210</v>
      </c>
      <c r="K302" s="67" t="s">
        <v>109</v>
      </c>
      <c r="L302" s="79" t="s">
        <v>4211</v>
      </c>
      <c r="M302" s="83" t="s">
        <v>4212</v>
      </c>
      <c r="N302" s="78">
        <v>31303.0</v>
      </c>
      <c r="O302" s="80" t="s">
        <v>41</v>
      </c>
      <c r="P302" s="70">
        <v>150000.0</v>
      </c>
      <c r="Q302" s="54"/>
      <c r="R302" s="84"/>
      <c r="S302" s="84"/>
      <c r="T302" s="54"/>
      <c r="U302" s="86"/>
      <c r="V302" s="54"/>
      <c r="W302" s="86"/>
      <c r="X302" s="54"/>
      <c r="Y302" s="78"/>
      <c r="Z302" s="54"/>
      <c r="AA302" s="70"/>
      <c r="AB302" s="83"/>
      <c r="AC302" s="83"/>
      <c r="AD302" s="83"/>
      <c r="AE302" s="83"/>
      <c r="AF302" s="83" t="s">
        <v>972</v>
      </c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54" t="s">
        <v>918</v>
      </c>
      <c r="AR302" s="83" t="s">
        <v>4213</v>
      </c>
      <c r="AS302" s="83" t="s">
        <v>4214</v>
      </c>
      <c r="AT302" s="93" t="s">
        <v>4210</v>
      </c>
      <c r="AU302" s="93" t="s">
        <v>4210</v>
      </c>
      <c r="AV302" s="93" t="s">
        <v>4210</v>
      </c>
      <c r="AW302" s="83" t="s">
        <v>4215</v>
      </c>
      <c r="AX302" s="83">
        <v>8.0</v>
      </c>
      <c r="AY302" s="83">
        <v>807.0</v>
      </c>
      <c r="AZ302" s="83" t="s">
        <v>4216</v>
      </c>
      <c r="BA302" s="83" t="s">
        <v>4217</v>
      </c>
      <c r="BB302" s="83" t="s">
        <v>4218</v>
      </c>
      <c r="BC302" s="54" t="s">
        <v>41</v>
      </c>
      <c r="BD302" s="54" t="str">
        <f t="shared" si="1"/>
        <v>San Juan de Lurigancho</v>
      </c>
      <c r="BE302" s="67" t="s">
        <v>143</v>
      </c>
      <c r="BF302" s="67" t="s">
        <v>144</v>
      </c>
      <c r="BG302" s="67" t="s">
        <v>142</v>
      </c>
      <c r="BH302" s="67"/>
      <c r="BI302" s="67"/>
      <c r="BJ302" s="67"/>
      <c r="BK302" s="67"/>
      <c r="BL302" s="67" t="s">
        <v>147</v>
      </c>
      <c r="BM302" s="67" t="s">
        <v>146</v>
      </c>
      <c r="BN302" s="100">
        <v>89.0</v>
      </c>
      <c r="BO302" s="102" t="s">
        <v>148</v>
      </c>
      <c r="BP302" s="67" t="s">
        <v>141</v>
      </c>
      <c r="BQ302" s="79" t="s">
        <v>141</v>
      </c>
      <c r="BR302" s="67" t="s">
        <v>149</v>
      </c>
      <c r="BS302" s="102" t="s">
        <v>149</v>
      </c>
      <c r="BT302" s="106"/>
      <c r="BU302" s="107"/>
      <c r="BV302" s="108">
        <f t="shared" si="2"/>
        <v>46234</v>
      </c>
      <c r="BW302" s="108">
        <f t="shared" si="16"/>
        <v>46236</v>
      </c>
      <c r="BX302" s="102" t="str">
        <f t="shared" si="15"/>
        <v>09</v>
      </c>
      <c r="BY302" s="107">
        <f t="shared" si="5"/>
        <v>2</v>
      </c>
      <c r="BZ302" s="107">
        <f t="array" ref="BZ302">IF($A302&lt;&gt;"",INDEX(LISTA!$M$2:$N$27,MATCH($BC302,LISTA!$N$2:$N$27,0),1),"")</f>
        <v>1</v>
      </c>
      <c r="CA302" s="67">
        <f t="shared" si="6"/>
        <v>7</v>
      </c>
      <c r="CB302" s="114" t="str">
        <f t="shared" si="7"/>
        <v/>
      </c>
      <c r="CC302" s="114"/>
    </row>
    <row r="303" ht="15.0" hidden="1" customHeight="1" outlineLevel="1">
      <c r="A303" s="59">
        <v>46227.69526392361</v>
      </c>
      <c r="B303" s="115" t="s">
        <v>395</v>
      </c>
      <c r="C303" s="54" t="s">
        <v>100</v>
      </c>
      <c r="D303" s="56" t="s">
        <v>319</v>
      </c>
      <c r="E303" s="69">
        <v>46229.375</v>
      </c>
      <c r="F303" s="73"/>
      <c r="G303" s="60" t="s">
        <v>4219</v>
      </c>
      <c r="H303" s="60" t="s">
        <v>4220</v>
      </c>
      <c r="I303" s="67" t="s">
        <v>107</v>
      </c>
      <c r="J303" s="79" t="s">
        <v>4221</v>
      </c>
      <c r="K303" s="67" t="s">
        <v>109</v>
      </c>
      <c r="L303" s="79" t="s">
        <v>4222</v>
      </c>
      <c r="M303" s="83" t="s">
        <v>4223</v>
      </c>
      <c r="N303" s="78">
        <v>22238.0</v>
      </c>
      <c r="O303" s="80" t="s">
        <v>41</v>
      </c>
      <c r="P303" s="156" t="s">
        <v>1576</v>
      </c>
      <c r="Q303" s="54"/>
      <c r="R303" s="84"/>
      <c r="S303" s="84"/>
      <c r="T303" s="54"/>
      <c r="U303" s="86"/>
      <c r="V303" s="54"/>
      <c r="W303" s="86"/>
      <c r="X303" s="54"/>
      <c r="Y303" s="78"/>
      <c r="Z303" s="54"/>
      <c r="AA303" s="70"/>
      <c r="AB303" s="83"/>
      <c r="AC303" s="83"/>
      <c r="AD303" s="83"/>
      <c r="AE303" s="83"/>
      <c r="AF303" s="83" t="s">
        <v>1056</v>
      </c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54" t="s">
        <v>4224</v>
      </c>
      <c r="AR303" s="83" t="s">
        <v>4225</v>
      </c>
      <c r="AS303" s="83" t="s">
        <v>4226</v>
      </c>
      <c r="AT303" s="93" t="s">
        <v>4221</v>
      </c>
      <c r="AU303" s="93" t="s">
        <v>4221</v>
      </c>
      <c r="AV303" s="93" t="s">
        <v>4221</v>
      </c>
      <c r="AW303" s="83" t="s">
        <v>4227</v>
      </c>
      <c r="AX303" s="83">
        <v>2.0</v>
      </c>
      <c r="AY303" s="83">
        <v>201.0</v>
      </c>
      <c r="AZ303" s="83" t="s">
        <v>4228</v>
      </c>
      <c r="BA303" s="83" t="s">
        <v>4229</v>
      </c>
      <c r="BB303" s="83" t="s">
        <v>4230</v>
      </c>
      <c r="BC303" s="54" t="s">
        <v>41</v>
      </c>
      <c r="BD303" s="54" t="str">
        <f t="shared" si="1"/>
        <v>San Borja</v>
      </c>
      <c r="BE303" s="67" t="s">
        <v>140</v>
      </c>
      <c r="BF303" s="67" t="s">
        <v>144</v>
      </c>
      <c r="BG303" s="67" t="s">
        <v>142</v>
      </c>
      <c r="BH303" s="67"/>
      <c r="BI303" s="67"/>
      <c r="BJ303" s="67"/>
      <c r="BK303" s="67"/>
      <c r="BL303" s="67" t="s">
        <v>147</v>
      </c>
      <c r="BM303" s="67" t="s">
        <v>146</v>
      </c>
      <c r="BN303" s="100">
        <v>89.0</v>
      </c>
      <c r="BO303" s="102" t="s">
        <v>148</v>
      </c>
      <c r="BP303" s="67" t="s">
        <v>141</v>
      </c>
      <c r="BQ303" s="79" t="s">
        <v>141</v>
      </c>
      <c r="BR303" s="67" t="s">
        <v>149</v>
      </c>
      <c r="BS303" s="102">
        <v>1.0</v>
      </c>
      <c r="BT303" s="106"/>
      <c r="BU303" s="107"/>
      <c r="BV303" s="108">
        <f t="shared" si="2"/>
        <v>46227</v>
      </c>
      <c r="BW303" s="108">
        <f t="shared" si="16"/>
        <v>46229</v>
      </c>
      <c r="BX303" s="102" t="str">
        <f t="shared" si="15"/>
        <v>09</v>
      </c>
      <c r="BY303" s="107">
        <f t="shared" si="5"/>
        <v>2</v>
      </c>
      <c r="BZ303" s="107">
        <f t="array" ref="BZ303">IF($A303&lt;&gt;"",INDEX(LISTA!$M$2:$N$27,MATCH($BC303,LISTA!$N$2:$N$27,0),1),"")</f>
        <v>1</v>
      </c>
      <c r="CA303" s="67">
        <f t="shared" si="6"/>
        <v>7</v>
      </c>
      <c r="CB303" s="114" t="str">
        <f t="shared" si="7"/>
        <v/>
      </c>
      <c r="CC303" s="114"/>
    </row>
    <row r="304" ht="15.0" hidden="1" customHeight="1" outlineLevel="1">
      <c r="A304" s="59">
        <v>46228.38033783565</v>
      </c>
      <c r="B304" s="115" t="s">
        <v>395</v>
      </c>
      <c r="C304" s="54" t="s">
        <v>100</v>
      </c>
      <c r="D304" s="56" t="s">
        <v>319</v>
      </c>
      <c r="E304" s="69">
        <v>46229.583333333336</v>
      </c>
      <c r="F304" s="73"/>
      <c r="G304" s="60" t="s">
        <v>4231</v>
      </c>
      <c r="H304" s="60" t="s">
        <v>4232</v>
      </c>
      <c r="I304" s="67" t="s">
        <v>376</v>
      </c>
      <c r="J304" s="79" t="s">
        <v>4233</v>
      </c>
      <c r="K304" s="67" t="s">
        <v>109</v>
      </c>
      <c r="L304" s="79" t="s">
        <v>4234</v>
      </c>
      <c r="M304" s="83" t="s">
        <v>4235</v>
      </c>
      <c r="N304" s="78">
        <v>35793.0</v>
      </c>
      <c r="O304" s="80" t="s">
        <v>40</v>
      </c>
      <c r="P304" s="70">
        <v>130101.0</v>
      </c>
      <c r="Q304" s="54"/>
      <c r="R304" s="84"/>
      <c r="S304" s="84"/>
      <c r="T304" s="54"/>
      <c r="U304" s="86"/>
      <c r="V304" s="54" t="s">
        <v>4236</v>
      </c>
      <c r="W304" s="86"/>
      <c r="X304" s="54"/>
      <c r="Y304" s="78"/>
      <c r="Z304" s="54"/>
      <c r="AA304" s="70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54" t="s">
        <v>1640</v>
      </c>
      <c r="AR304" s="83" t="s">
        <v>4237</v>
      </c>
      <c r="AS304" s="83" t="s">
        <v>4238</v>
      </c>
      <c r="AT304" s="93" t="s">
        <v>4233</v>
      </c>
      <c r="AU304" s="93" t="s">
        <v>4233</v>
      </c>
      <c r="AV304" s="93" t="s">
        <v>4233</v>
      </c>
      <c r="AW304" s="83" t="s">
        <v>4239</v>
      </c>
      <c r="AX304" s="83">
        <v>2.0</v>
      </c>
      <c r="AY304" s="83">
        <v>1.0</v>
      </c>
      <c r="AZ304" s="83" t="s">
        <v>4240</v>
      </c>
      <c r="BA304" s="83" t="s">
        <v>2519</v>
      </c>
      <c r="BB304" s="83" t="s">
        <v>4241</v>
      </c>
      <c r="BC304" s="54" t="s">
        <v>29</v>
      </c>
      <c r="BD304" s="54" t="str">
        <f t="shared" si="1"/>
        <v>Jaén</v>
      </c>
      <c r="BE304" s="67" t="s">
        <v>140</v>
      </c>
      <c r="BF304" s="67" t="s">
        <v>141</v>
      </c>
      <c r="BG304" s="67" t="s">
        <v>142</v>
      </c>
      <c r="BH304" s="67"/>
      <c r="BI304" s="67"/>
      <c r="BJ304" s="67"/>
      <c r="BK304" s="67"/>
      <c r="BL304" s="67" t="s">
        <v>147</v>
      </c>
      <c r="BM304" s="67" t="s">
        <v>146</v>
      </c>
      <c r="BN304" s="100">
        <v>89.0</v>
      </c>
      <c r="BO304" s="102" t="s">
        <v>148</v>
      </c>
      <c r="BP304" s="67" t="s">
        <v>141</v>
      </c>
      <c r="BQ304" s="79" t="s">
        <v>141</v>
      </c>
      <c r="BR304" s="67" t="s">
        <v>149</v>
      </c>
      <c r="BS304" s="102">
        <v>1.0</v>
      </c>
      <c r="BT304" s="106"/>
      <c r="BU304" s="107"/>
      <c r="BV304" s="108">
        <f t="shared" si="2"/>
        <v>46228</v>
      </c>
      <c r="BW304" s="108">
        <f t="shared" si="16"/>
        <v>46229</v>
      </c>
      <c r="BX304" s="102" t="str">
        <f t="shared" si="15"/>
        <v>14</v>
      </c>
      <c r="BY304" s="107">
        <f t="shared" si="5"/>
        <v>2</v>
      </c>
      <c r="BZ304" s="107">
        <f t="array" ref="BZ304">IF($A304&lt;&gt;"",INDEX(LISTA!$M$2:$N$27,MATCH($BC304,LISTA!$N$2:$N$27,0),1),"")</f>
        <v>9</v>
      </c>
      <c r="CA304" s="67">
        <f t="shared" si="6"/>
        <v>7</v>
      </c>
      <c r="CB304" s="114" t="str">
        <f t="shared" si="7"/>
        <v/>
      </c>
      <c r="CC304" s="114"/>
    </row>
    <row r="305" ht="15.0" hidden="1" customHeight="1" outlineLevel="1">
      <c r="A305" s="59">
        <v>46213.623367673616</v>
      </c>
      <c r="B305" s="115" t="s">
        <v>395</v>
      </c>
      <c r="C305" s="54" t="s">
        <v>100</v>
      </c>
      <c r="D305" s="56" t="s">
        <v>101</v>
      </c>
      <c r="E305" s="69">
        <v>46214.458333333336</v>
      </c>
      <c r="F305" s="73" t="s">
        <v>4242</v>
      </c>
      <c r="G305" s="60" t="s">
        <v>4243</v>
      </c>
      <c r="H305" s="60" t="s">
        <v>4244</v>
      </c>
      <c r="I305" s="67" t="s">
        <v>367</v>
      </c>
      <c r="J305" s="79" t="s">
        <v>4245</v>
      </c>
      <c r="K305" s="67" t="s">
        <v>109</v>
      </c>
      <c r="L305" s="79" t="s">
        <v>4246</v>
      </c>
      <c r="M305" s="83" t="s">
        <v>4247</v>
      </c>
      <c r="N305" s="78">
        <v>28086.0</v>
      </c>
      <c r="O305" s="80" t="s">
        <v>48</v>
      </c>
      <c r="P305" s="70">
        <v>210700.0</v>
      </c>
      <c r="Q305" s="54"/>
      <c r="R305" s="84"/>
      <c r="S305" s="84"/>
      <c r="T305" s="54"/>
      <c r="U305" s="86"/>
      <c r="V305" s="54"/>
      <c r="W305" s="86"/>
      <c r="X305" s="54"/>
      <c r="Y305" s="78"/>
      <c r="Z305" s="54"/>
      <c r="AA305" s="70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 t="s">
        <v>1910</v>
      </c>
      <c r="AM305" s="83"/>
      <c r="AN305" s="83"/>
      <c r="AO305" s="83"/>
      <c r="AP305" s="83"/>
      <c r="AQ305" s="54" t="s">
        <v>4248</v>
      </c>
      <c r="AR305" s="83" t="s">
        <v>957</v>
      </c>
      <c r="AS305" s="83" t="s">
        <v>4249</v>
      </c>
      <c r="AT305" s="93" t="s">
        <v>4245</v>
      </c>
      <c r="AU305" s="93" t="s">
        <v>4245</v>
      </c>
      <c r="AV305" s="93" t="s">
        <v>4245</v>
      </c>
      <c r="AW305" s="83" t="s">
        <v>4250</v>
      </c>
      <c r="AX305" s="83">
        <v>2.0</v>
      </c>
      <c r="AY305" s="83" t="s">
        <v>1767</v>
      </c>
      <c r="AZ305" s="83" t="s">
        <v>4251</v>
      </c>
      <c r="BA305" s="83" t="s">
        <v>4252</v>
      </c>
      <c r="BB305" s="83" t="s">
        <v>3605</v>
      </c>
      <c r="BC305" s="54" t="s">
        <v>48</v>
      </c>
      <c r="BD305" s="54" t="str">
        <f t="shared" si="1"/>
        <v>Carabaya</v>
      </c>
      <c r="BE305" s="67" t="s">
        <v>140</v>
      </c>
      <c r="BF305" s="67" t="s">
        <v>144</v>
      </c>
      <c r="BG305" s="67" t="s">
        <v>142</v>
      </c>
      <c r="BH305" s="67"/>
      <c r="BI305" s="67"/>
      <c r="BJ305" s="67"/>
      <c r="BK305" s="67"/>
      <c r="BL305" s="67" t="s">
        <v>213</v>
      </c>
      <c r="BM305" s="67" t="s">
        <v>146</v>
      </c>
      <c r="BN305" s="100">
        <v>110.0</v>
      </c>
      <c r="BO305" s="102" t="s">
        <v>182</v>
      </c>
      <c r="BP305" s="67" t="s">
        <v>144</v>
      </c>
      <c r="BQ305" s="79" t="s">
        <v>141</v>
      </c>
      <c r="BR305" s="67" t="s">
        <v>149</v>
      </c>
      <c r="BS305" s="102">
        <v>1.0</v>
      </c>
      <c r="BT305" s="106"/>
      <c r="BU305" s="107"/>
      <c r="BV305" s="108">
        <f t="shared" si="2"/>
        <v>46213</v>
      </c>
      <c r="BW305" s="108">
        <f t="shared" si="16"/>
        <v>46214</v>
      </c>
      <c r="BX305" s="102" t="str">
        <f t="shared" si="15"/>
        <v>11</v>
      </c>
      <c r="BY305" s="107">
        <f t="shared" si="5"/>
        <v>2</v>
      </c>
      <c r="BZ305" s="107">
        <f t="array" ref="BZ305">IF($A305&lt;&gt;"",INDEX(LISTA!$M$2:$N$27,MATCH($BC305,LISTA!$N$2:$N$27,0),1),"")</f>
        <v>22</v>
      </c>
      <c r="CA305" s="67">
        <f t="shared" si="6"/>
        <v>7</v>
      </c>
      <c r="CB305" s="114" t="str">
        <f t="shared" si="7"/>
        <v/>
      </c>
      <c r="CC305" s="114"/>
    </row>
    <row r="306" ht="15.0" hidden="1" customHeight="1" outlineLevel="1">
      <c r="A306" s="59">
        <v>46217.6717396412</v>
      </c>
      <c r="B306" s="115" t="s">
        <v>395</v>
      </c>
      <c r="C306" s="54" t="s">
        <v>100</v>
      </c>
      <c r="D306" s="56" t="s">
        <v>319</v>
      </c>
      <c r="E306" s="69">
        <v>46218.666666666664</v>
      </c>
      <c r="F306" s="73"/>
      <c r="G306" s="60" t="s">
        <v>4253</v>
      </c>
      <c r="H306" s="60" t="s">
        <v>4254</v>
      </c>
      <c r="I306" s="67" t="s">
        <v>107</v>
      </c>
      <c r="J306" s="79" t="s">
        <v>4255</v>
      </c>
      <c r="K306" s="67" t="s">
        <v>109</v>
      </c>
      <c r="L306" s="79" t="s">
        <v>4256</v>
      </c>
      <c r="M306" s="83" t="s">
        <v>4257</v>
      </c>
      <c r="N306" s="78">
        <v>17335.0</v>
      </c>
      <c r="O306" s="80" t="s">
        <v>31</v>
      </c>
      <c r="P306" s="156" t="s">
        <v>1070</v>
      </c>
      <c r="Q306" s="54"/>
      <c r="R306" s="84"/>
      <c r="S306" s="84"/>
      <c r="T306" s="54"/>
      <c r="U306" s="86"/>
      <c r="V306" s="54"/>
      <c r="W306" s="86"/>
      <c r="X306" s="54"/>
      <c r="Y306" s="78"/>
      <c r="Z306" s="54"/>
      <c r="AA306" s="70"/>
      <c r="AB306" s="83"/>
      <c r="AC306" s="83"/>
      <c r="AD306" s="83"/>
      <c r="AE306" s="83"/>
      <c r="AF306" s="83" t="s">
        <v>972</v>
      </c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54" t="s">
        <v>4177</v>
      </c>
      <c r="AR306" s="83" t="s">
        <v>2247</v>
      </c>
      <c r="AS306" s="83" t="s">
        <v>4258</v>
      </c>
      <c r="AT306" s="93" t="s">
        <v>4255</v>
      </c>
      <c r="AU306" s="93" t="s">
        <v>4255</v>
      </c>
      <c r="AV306" s="93" t="s">
        <v>4255</v>
      </c>
      <c r="AW306" s="83" t="s">
        <v>4259</v>
      </c>
      <c r="AX306" s="83">
        <v>1.0</v>
      </c>
      <c r="AY306" s="83">
        <v>1.0</v>
      </c>
      <c r="AZ306" s="83" t="s">
        <v>4260</v>
      </c>
      <c r="BA306" s="83" t="s">
        <v>4261</v>
      </c>
      <c r="BB306" s="83" t="s">
        <v>4262</v>
      </c>
      <c r="BC306" s="54" t="s">
        <v>41</v>
      </c>
      <c r="BD306" s="54" t="str">
        <f t="shared" si="1"/>
        <v>San Juan de Lurigancho</v>
      </c>
      <c r="BE306" s="67" t="s">
        <v>140</v>
      </c>
      <c r="BF306" s="67" t="s">
        <v>141</v>
      </c>
      <c r="BG306" s="67" t="s">
        <v>142</v>
      </c>
      <c r="BH306" s="67"/>
      <c r="BI306" s="67"/>
      <c r="BJ306" s="67"/>
      <c r="BK306" s="67"/>
      <c r="BL306" s="67" t="s">
        <v>147</v>
      </c>
      <c r="BM306" s="67" t="s">
        <v>247</v>
      </c>
      <c r="BN306" s="100">
        <v>89.0</v>
      </c>
      <c r="BO306" s="102" t="s">
        <v>148</v>
      </c>
      <c r="BP306" s="67" t="s">
        <v>141</v>
      </c>
      <c r="BQ306" s="79" t="s">
        <v>141</v>
      </c>
      <c r="BR306" s="67" t="s">
        <v>149</v>
      </c>
      <c r="BS306" s="102">
        <v>1.0</v>
      </c>
      <c r="BT306" s="106"/>
      <c r="BU306" s="107"/>
      <c r="BV306" s="108">
        <f t="shared" si="2"/>
        <v>46217</v>
      </c>
      <c r="BW306" s="108">
        <f t="shared" si="16"/>
        <v>46218</v>
      </c>
      <c r="BX306" s="102" t="str">
        <f t="shared" si="15"/>
        <v>16</v>
      </c>
      <c r="BY306" s="107">
        <f t="shared" si="5"/>
        <v>2</v>
      </c>
      <c r="BZ306" s="107">
        <f t="array" ref="BZ306">IF($A306&lt;&gt;"",INDEX(LISTA!$M$2:$N$27,MATCH($BC306,LISTA!$N$2:$N$27,0),1),"")</f>
        <v>1</v>
      </c>
      <c r="CA306" s="67">
        <f t="shared" si="6"/>
        <v>7</v>
      </c>
      <c r="CB306" s="114" t="str">
        <f t="shared" si="7"/>
        <v/>
      </c>
      <c r="CC306" s="114"/>
    </row>
    <row r="307" ht="15.0" hidden="1" customHeight="1" outlineLevel="1">
      <c r="A307" s="59">
        <v>46221.39432121528</v>
      </c>
      <c r="B307" s="115" t="s">
        <v>395</v>
      </c>
      <c r="C307" s="54" t="s">
        <v>100</v>
      </c>
      <c r="D307" s="56" t="s">
        <v>319</v>
      </c>
      <c r="E307" s="69">
        <v>46222.666666666664</v>
      </c>
      <c r="F307" s="73" t="s">
        <v>4263</v>
      </c>
      <c r="G307" s="60" t="s">
        <v>4264</v>
      </c>
      <c r="H307" s="60" t="s">
        <v>4265</v>
      </c>
      <c r="I307" s="67" t="s">
        <v>293</v>
      </c>
      <c r="J307" s="79" t="s">
        <v>4266</v>
      </c>
      <c r="K307" s="67" t="s">
        <v>109</v>
      </c>
      <c r="L307" s="79" t="s">
        <v>4267</v>
      </c>
      <c r="M307" s="83" t="s">
        <v>4268</v>
      </c>
      <c r="N307" s="78">
        <v>27941.0</v>
      </c>
      <c r="O307" s="80" t="s">
        <v>36</v>
      </c>
      <c r="P307" s="70">
        <v>110501.0</v>
      </c>
      <c r="Q307" s="54"/>
      <c r="R307" s="84"/>
      <c r="S307" s="84"/>
      <c r="T307" s="54"/>
      <c r="U307" s="86"/>
      <c r="V307" s="54"/>
      <c r="W307" s="86" t="s">
        <v>4269</v>
      </c>
      <c r="X307" s="54"/>
      <c r="Y307" s="78"/>
      <c r="Z307" s="54"/>
      <c r="AA307" s="70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54" t="s">
        <v>4270</v>
      </c>
      <c r="AR307" s="83" t="s">
        <v>4271</v>
      </c>
      <c r="AS307" s="83" t="s">
        <v>4272</v>
      </c>
      <c r="AT307" s="93" t="s">
        <v>4266</v>
      </c>
      <c r="AU307" s="93" t="s">
        <v>4266</v>
      </c>
      <c r="AV307" s="93" t="s">
        <v>4266</v>
      </c>
      <c r="AW307" s="83" t="s">
        <v>4273</v>
      </c>
      <c r="AX307" s="83">
        <v>1.0</v>
      </c>
      <c r="AY307" s="83">
        <v>0.0</v>
      </c>
      <c r="AZ307" s="83" t="s">
        <v>4274</v>
      </c>
      <c r="BA307" s="83" t="s">
        <v>4275</v>
      </c>
      <c r="BB307" s="83" t="s">
        <v>4276</v>
      </c>
      <c r="BC307" s="54" t="s">
        <v>30</v>
      </c>
      <c r="BD307" s="54" t="str">
        <f t="shared" si="1"/>
        <v>Ventanilla</v>
      </c>
      <c r="BE307" s="67" t="s">
        <v>140</v>
      </c>
      <c r="BF307" s="67" t="s">
        <v>141</v>
      </c>
      <c r="BG307" s="67" t="s">
        <v>142</v>
      </c>
      <c r="BH307" s="67"/>
      <c r="BI307" s="67"/>
      <c r="BJ307" s="67"/>
      <c r="BK307" s="67"/>
      <c r="BL307" s="67" t="s">
        <v>147</v>
      </c>
      <c r="BM307" s="67" t="s">
        <v>146</v>
      </c>
      <c r="BN307" s="100">
        <v>89.0</v>
      </c>
      <c r="BO307" s="102" t="s">
        <v>148</v>
      </c>
      <c r="BP307" s="67" t="s">
        <v>141</v>
      </c>
      <c r="BQ307" s="79" t="s">
        <v>141</v>
      </c>
      <c r="BR307" s="67" t="s">
        <v>149</v>
      </c>
      <c r="BS307" s="102">
        <v>1.0</v>
      </c>
      <c r="BT307" s="106"/>
      <c r="BU307" s="107"/>
      <c r="BV307" s="108">
        <f t="shared" si="2"/>
        <v>46221</v>
      </c>
      <c r="BW307" s="108">
        <f t="shared" si="16"/>
        <v>46222</v>
      </c>
      <c r="BX307" s="102" t="str">
        <f t="shared" si="15"/>
        <v>16</v>
      </c>
      <c r="BY307" s="107">
        <f t="shared" si="5"/>
        <v>2</v>
      </c>
      <c r="BZ307" s="107">
        <f t="array" ref="BZ307">IF($A307&lt;&gt;"",INDEX(LISTA!$M$2:$N$27,MATCH($BC307,LISTA!$N$2:$N$27,0),1),"")</f>
        <v>2</v>
      </c>
      <c r="CA307" s="67">
        <f t="shared" si="6"/>
        <v>7</v>
      </c>
      <c r="CB307" s="114" t="str">
        <f t="shared" si="7"/>
        <v/>
      </c>
      <c r="CC307" s="114"/>
    </row>
    <row r="308" ht="15.0" hidden="1" customHeight="1" outlineLevel="1">
      <c r="A308" s="59">
        <v>46224.65813309028</v>
      </c>
      <c r="B308" s="115" t="s">
        <v>395</v>
      </c>
      <c r="C308" s="54" t="s">
        <v>100</v>
      </c>
      <c r="D308" s="56" t="s">
        <v>319</v>
      </c>
      <c r="E308" s="69">
        <v>46225.583333333336</v>
      </c>
      <c r="F308" s="73"/>
      <c r="G308" s="60" t="s">
        <v>4277</v>
      </c>
      <c r="H308" s="60" t="s">
        <v>4278</v>
      </c>
      <c r="I308" s="67" t="s">
        <v>355</v>
      </c>
      <c r="J308" s="79" t="s">
        <v>4279</v>
      </c>
      <c r="K308" s="67" t="s">
        <v>109</v>
      </c>
      <c r="L308" s="79" t="s">
        <v>4280</v>
      </c>
      <c r="M308" s="83" t="s">
        <v>4281</v>
      </c>
      <c r="N308" s="78">
        <v>25486.0</v>
      </c>
      <c r="O308" s="80" t="s">
        <v>27</v>
      </c>
      <c r="P308" s="156" t="s">
        <v>2026</v>
      </c>
      <c r="Q308" s="54"/>
      <c r="R308" s="84"/>
      <c r="S308" s="84"/>
      <c r="T308" s="54"/>
      <c r="U308" s="86"/>
      <c r="V308" s="54"/>
      <c r="W308" s="86"/>
      <c r="X308" s="54"/>
      <c r="Y308" s="78"/>
      <c r="Z308" s="54"/>
      <c r="AA308" s="70" t="s">
        <v>1796</v>
      </c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54" t="s">
        <v>4282</v>
      </c>
      <c r="AR308" s="83" t="s">
        <v>2736</v>
      </c>
      <c r="AS308" s="83" t="s">
        <v>4283</v>
      </c>
      <c r="AT308" s="93" t="s">
        <v>4279</v>
      </c>
      <c r="AU308" s="93" t="s">
        <v>4279</v>
      </c>
      <c r="AV308" s="93" t="s">
        <v>4279</v>
      </c>
      <c r="AW308" s="83" t="s">
        <v>4284</v>
      </c>
      <c r="AX308" s="83">
        <v>1.0</v>
      </c>
      <c r="AY308" s="83" t="s">
        <v>174</v>
      </c>
      <c r="AZ308" s="83" t="s">
        <v>4285</v>
      </c>
      <c r="BA308" s="83" t="s">
        <v>4286</v>
      </c>
      <c r="BB308" s="83" t="s">
        <v>4287</v>
      </c>
      <c r="BC308" s="54" t="s">
        <v>34</v>
      </c>
      <c r="BD308" s="70" t="str">
        <f t="shared" si="1"/>
        <v>Chincha</v>
      </c>
      <c r="BE308" s="67" t="s">
        <v>140</v>
      </c>
      <c r="BF308" s="67" t="s">
        <v>141</v>
      </c>
      <c r="BG308" s="67" t="s">
        <v>142</v>
      </c>
      <c r="BH308" s="67"/>
      <c r="BI308" s="67"/>
      <c r="BJ308" s="67"/>
      <c r="BK308" s="67"/>
      <c r="BL308" s="67" t="s">
        <v>145</v>
      </c>
      <c r="BM308" s="67" t="s">
        <v>146</v>
      </c>
      <c r="BN308" s="100">
        <v>170.0</v>
      </c>
      <c r="BO308" s="102" t="s">
        <v>148</v>
      </c>
      <c r="BP308" s="67" t="s">
        <v>144</v>
      </c>
      <c r="BQ308" s="79" t="s">
        <v>141</v>
      </c>
      <c r="BR308" s="67">
        <v>2.0</v>
      </c>
      <c r="BS308" s="102">
        <v>1.0</v>
      </c>
      <c r="BT308" s="106"/>
      <c r="BU308" s="107"/>
      <c r="BV308" s="108">
        <f t="shared" si="2"/>
        <v>46224</v>
      </c>
      <c r="BW308" s="108">
        <f t="shared" si="16"/>
        <v>46225</v>
      </c>
      <c r="BX308" s="102" t="str">
        <f t="shared" si="15"/>
        <v>14</v>
      </c>
      <c r="BY308" s="107">
        <f t="shared" si="5"/>
        <v>2</v>
      </c>
      <c r="BZ308" s="107">
        <f t="array" ref="BZ308">IF($A308&lt;&gt;"",INDEX(LISTA!$M$2:$N$27,MATCH($BC308,LISTA!$N$2:$N$27,0),1),"")</f>
        <v>13</v>
      </c>
      <c r="CA308" s="67">
        <f t="shared" si="6"/>
        <v>7</v>
      </c>
      <c r="CB308" s="114" t="str">
        <f t="shared" si="7"/>
        <v/>
      </c>
      <c r="CC308" s="114"/>
    </row>
    <row r="309" ht="15.0" hidden="1" customHeight="1" outlineLevel="1">
      <c r="A309" s="59">
        <v>46230.71856821759</v>
      </c>
      <c r="B309" s="115" t="s">
        <v>391</v>
      </c>
      <c r="C309" s="54" t="s">
        <v>100</v>
      </c>
      <c r="D309" s="56" t="s">
        <v>101</v>
      </c>
      <c r="E309" s="69">
        <v>46234.375</v>
      </c>
      <c r="F309" s="73"/>
      <c r="G309" s="60" t="s">
        <v>4288</v>
      </c>
      <c r="H309" s="60" t="s">
        <v>4289</v>
      </c>
      <c r="I309" s="67" t="s">
        <v>107</v>
      </c>
      <c r="J309" s="79" t="s">
        <v>4290</v>
      </c>
      <c r="K309" s="67" t="s">
        <v>109</v>
      </c>
      <c r="L309" s="79" t="s">
        <v>4291</v>
      </c>
      <c r="M309" s="83" t="s">
        <v>4292</v>
      </c>
      <c r="N309" s="78">
        <v>31032.0</v>
      </c>
      <c r="O309" s="80" t="s">
        <v>29</v>
      </c>
      <c r="P309" s="156" t="s">
        <v>4293</v>
      </c>
      <c r="Q309" s="54"/>
      <c r="R309" s="84"/>
      <c r="S309" s="84"/>
      <c r="T309" s="54"/>
      <c r="U309" s="86"/>
      <c r="V309" s="54" t="s">
        <v>1727</v>
      </c>
      <c r="W309" s="86"/>
      <c r="X309" s="54"/>
      <c r="Y309" s="78"/>
      <c r="Z309" s="54"/>
      <c r="AA309" s="70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54" t="s">
        <v>2586</v>
      </c>
      <c r="AR309" s="83" t="s">
        <v>4294</v>
      </c>
      <c r="AS309" s="83" t="s">
        <v>4295</v>
      </c>
      <c r="AT309" s="93" t="s">
        <v>4290</v>
      </c>
      <c r="AU309" s="93" t="s">
        <v>4290</v>
      </c>
      <c r="AV309" s="93" t="s">
        <v>4290</v>
      </c>
      <c r="AW309" s="83" t="s">
        <v>4296</v>
      </c>
      <c r="AX309" s="83">
        <v>1.0</v>
      </c>
      <c r="AY309" s="83">
        <v>1.0</v>
      </c>
      <c r="AZ309" s="83" t="s">
        <v>4297</v>
      </c>
      <c r="BA309" s="83" t="s">
        <v>4298</v>
      </c>
      <c r="BB309" s="83" t="s">
        <v>4299</v>
      </c>
      <c r="BC309" s="54" t="s">
        <v>29</v>
      </c>
      <c r="BD309" s="54" t="str">
        <f t="shared" si="1"/>
        <v>Cajamarca</v>
      </c>
      <c r="BE309" s="67" t="s">
        <v>140</v>
      </c>
      <c r="BF309" s="67" t="s">
        <v>144</v>
      </c>
      <c r="BG309" s="67" t="s">
        <v>142</v>
      </c>
      <c r="BH309" s="67"/>
      <c r="BI309" s="67"/>
      <c r="BJ309" s="67"/>
      <c r="BK309" s="67"/>
      <c r="BL309" s="67" t="s">
        <v>727</v>
      </c>
      <c r="BM309" s="67" t="s">
        <v>146</v>
      </c>
      <c r="BN309" s="100">
        <v>175.0</v>
      </c>
      <c r="BO309" s="102" t="s">
        <v>148</v>
      </c>
      <c r="BP309" s="67" t="s">
        <v>144</v>
      </c>
      <c r="BQ309" s="79" t="s">
        <v>144</v>
      </c>
      <c r="BR309" s="67">
        <v>2.0</v>
      </c>
      <c r="BS309" s="102">
        <v>1.0</v>
      </c>
      <c r="BT309" s="106"/>
      <c r="BU309" s="107"/>
      <c r="BV309" s="108">
        <f t="shared" si="2"/>
        <v>46230</v>
      </c>
      <c r="BW309" s="108">
        <f t="shared" si="16"/>
        <v>46234</v>
      </c>
      <c r="BX309" s="102" t="str">
        <f t="shared" si="15"/>
        <v>09</v>
      </c>
      <c r="BY309" s="107">
        <f t="shared" si="5"/>
        <v>2</v>
      </c>
      <c r="BZ309" s="107">
        <f t="array" ref="BZ309">IF($A309&lt;&gt;"",INDEX(LISTA!$M$2:$N$27,MATCH($BC309,LISTA!$N$2:$N$27,0),1),"")</f>
        <v>9</v>
      </c>
      <c r="CA309" s="67">
        <f t="shared" si="6"/>
        <v>7</v>
      </c>
      <c r="CB309" s="114" t="str">
        <f t="shared" si="7"/>
        <v/>
      </c>
      <c r="CC309" s="114"/>
    </row>
    <row r="310" ht="15.0" hidden="1" customHeight="1" outlineLevel="1">
      <c r="A310" s="59">
        <v>46233.49864311343</v>
      </c>
      <c r="B310" s="115" t="s">
        <v>391</v>
      </c>
      <c r="C310" s="54" t="s">
        <v>100</v>
      </c>
      <c r="D310" s="56" t="s">
        <v>319</v>
      </c>
      <c r="E310" s="69">
        <v>46234.375</v>
      </c>
      <c r="F310" s="73" t="s">
        <v>4300</v>
      </c>
      <c r="G310" s="60" t="s">
        <v>4301</v>
      </c>
      <c r="H310" s="60" t="s">
        <v>4302</v>
      </c>
      <c r="I310" s="67" t="s">
        <v>382</v>
      </c>
      <c r="J310" s="79" t="s">
        <v>4303</v>
      </c>
      <c r="K310" s="67" t="s">
        <v>109</v>
      </c>
      <c r="L310" s="79" t="s">
        <v>4304</v>
      </c>
      <c r="M310" s="83" t="s">
        <v>4305</v>
      </c>
      <c r="N310" s="78">
        <v>36605.0</v>
      </c>
      <c r="O310" s="80" t="s">
        <v>31</v>
      </c>
      <c r="P310" s="156" t="s">
        <v>1652</v>
      </c>
      <c r="Q310" s="54"/>
      <c r="R310" s="84"/>
      <c r="S310" s="84"/>
      <c r="T310" s="54"/>
      <c r="U310" s="86"/>
      <c r="V310" s="54"/>
      <c r="W310" s="86"/>
      <c r="X310" s="54" t="s">
        <v>1012</v>
      </c>
      <c r="Y310" s="78"/>
      <c r="Z310" s="54"/>
      <c r="AA310" s="70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54" t="s">
        <v>4306</v>
      </c>
      <c r="AR310" s="83" t="s">
        <v>4307</v>
      </c>
      <c r="AS310" s="83" t="s">
        <v>4308</v>
      </c>
      <c r="AT310" s="93" t="s">
        <v>4303</v>
      </c>
      <c r="AU310" s="93" t="s">
        <v>4303</v>
      </c>
      <c r="AV310" s="93" t="s">
        <v>4303</v>
      </c>
      <c r="AW310" s="83" t="s">
        <v>4309</v>
      </c>
      <c r="AX310" s="83">
        <v>5.0</v>
      </c>
      <c r="AY310" s="83" t="s">
        <v>3224</v>
      </c>
      <c r="AZ310" s="83" t="s">
        <v>4310</v>
      </c>
      <c r="BA310" s="83" t="s">
        <v>4311</v>
      </c>
      <c r="BB310" s="83" t="s">
        <v>4312</v>
      </c>
      <c r="BC310" s="54" t="s">
        <v>31</v>
      </c>
      <c r="BD310" s="54" t="str">
        <f t="shared" si="1"/>
        <v>Cusco</v>
      </c>
      <c r="BE310" s="67" t="s">
        <v>140</v>
      </c>
      <c r="BF310" s="67" t="s">
        <v>141</v>
      </c>
      <c r="BG310" s="67" t="s">
        <v>142</v>
      </c>
      <c r="BH310" s="67"/>
      <c r="BI310" s="67"/>
      <c r="BJ310" s="67"/>
      <c r="BK310" s="67"/>
      <c r="BL310" s="67" t="s">
        <v>145</v>
      </c>
      <c r="BM310" s="67" t="s">
        <v>146</v>
      </c>
      <c r="BN310" s="100">
        <v>150.0</v>
      </c>
      <c r="BO310" s="102" t="s">
        <v>615</v>
      </c>
      <c r="BP310" s="67" t="s">
        <v>144</v>
      </c>
      <c r="BQ310" s="79" t="s">
        <v>141</v>
      </c>
      <c r="BR310" s="67">
        <v>2.0</v>
      </c>
      <c r="BS310" s="102" t="s">
        <v>149</v>
      </c>
      <c r="BT310" s="106"/>
      <c r="BU310" s="107"/>
      <c r="BV310" s="108">
        <f t="shared" si="2"/>
        <v>46233</v>
      </c>
      <c r="BW310" s="108">
        <f t="shared" si="16"/>
        <v>46234</v>
      </c>
      <c r="BX310" s="102" t="str">
        <f t="shared" si="15"/>
        <v>09</v>
      </c>
      <c r="BY310" s="107">
        <f t="shared" si="5"/>
        <v>2</v>
      </c>
      <c r="BZ310" s="107">
        <f t="array" ref="BZ310">IF($A310&lt;&gt;"",INDEX(LISTA!$M$2:$N$27,MATCH($BC310,LISTA!$N$2:$N$27,0),1),"")</f>
        <v>10</v>
      </c>
      <c r="CA310" s="67">
        <f t="shared" si="6"/>
        <v>7</v>
      </c>
      <c r="CB310" s="114" t="str">
        <f t="shared" si="7"/>
        <v/>
      </c>
      <c r="CC310" s="114"/>
    </row>
    <row r="311" ht="15.0" hidden="1" customHeight="1" outlineLevel="1">
      <c r="A311" s="59">
        <v>46205.690983831024</v>
      </c>
      <c r="B311" s="115" t="s">
        <v>391</v>
      </c>
      <c r="C311" s="54" t="s">
        <v>100</v>
      </c>
      <c r="D311" s="56" t="s">
        <v>101</v>
      </c>
      <c r="E311" s="69">
        <v>46207.458333333336</v>
      </c>
      <c r="F311" s="73" t="s">
        <v>4313</v>
      </c>
      <c r="G311" s="60" t="s">
        <v>4314</v>
      </c>
      <c r="H311" s="60" t="s">
        <v>4315</v>
      </c>
      <c r="I311" s="67" t="s">
        <v>192</v>
      </c>
      <c r="J311" s="79" t="s">
        <v>4316</v>
      </c>
      <c r="K311" s="67" t="s">
        <v>109</v>
      </c>
      <c r="L311" s="79" t="s">
        <v>4317</v>
      </c>
      <c r="M311" s="83" t="s">
        <v>4318</v>
      </c>
      <c r="N311" s="78">
        <v>38191.0</v>
      </c>
      <c r="O311" s="80" t="s">
        <v>33</v>
      </c>
      <c r="P311" s="156" t="s">
        <v>4319</v>
      </c>
      <c r="Q311" s="54"/>
      <c r="R311" s="84"/>
      <c r="S311" s="84"/>
      <c r="T311" s="54"/>
      <c r="U311" s="86"/>
      <c r="V311" s="54"/>
      <c r="W311" s="86"/>
      <c r="X311" s="54"/>
      <c r="Y311" s="78"/>
      <c r="Z311" s="54"/>
      <c r="AA311" s="70"/>
      <c r="AB311" s="83"/>
      <c r="AC311" s="83"/>
      <c r="AD311" s="83"/>
      <c r="AE311" s="83"/>
      <c r="AF311" s="83" t="s">
        <v>1355</v>
      </c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54" t="s">
        <v>4282</v>
      </c>
      <c r="AR311" s="83" t="s">
        <v>4320</v>
      </c>
      <c r="AS311" s="83" t="s">
        <v>4321</v>
      </c>
      <c r="AT311" s="93" t="s">
        <v>4322</v>
      </c>
      <c r="AU311" s="93" t="s">
        <v>4322</v>
      </c>
      <c r="AV311" s="93" t="s">
        <v>4316</v>
      </c>
      <c r="AW311" s="83" t="s">
        <v>4323</v>
      </c>
      <c r="AX311" s="83">
        <v>1.0</v>
      </c>
      <c r="AY311" s="83" t="s">
        <v>238</v>
      </c>
      <c r="AZ311" s="83" t="s">
        <v>4324</v>
      </c>
      <c r="BA311" s="83" t="s">
        <v>4325</v>
      </c>
      <c r="BB311" s="83" t="s">
        <v>4326</v>
      </c>
      <c r="BC311" s="54" t="s">
        <v>41</v>
      </c>
      <c r="BD311" s="54" t="str">
        <f t="shared" si="1"/>
        <v>Villa María del Triunfo</v>
      </c>
      <c r="BE311" s="67" t="s">
        <v>140</v>
      </c>
      <c r="BF311" s="67" t="s">
        <v>141</v>
      </c>
      <c r="BG311" s="67" t="s">
        <v>142</v>
      </c>
      <c r="BH311" s="67"/>
      <c r="BI311" s="67"/>
      <c r="BJ311" s="67"/>
      <c r="BK311" s="67"/>
      <c r="BL311" s="67" t="s">
        <v>147</v>
      </c>
      <c r="BM311" s="67" t="s">
        <v>1172</v>
      </c>
      <c r="BN311" s="100">
        <v>69.0</v>
      </c>
      <c r="BO311" s="102" t="s">
        <v>615</v>
      </c>
      <c r="BP311" s="67" t="s">
        <v>141</v>
      </c>
      <c r="BQ311" s="79" t="s">
        <v>141</v>
      </c>
      <c r="BR311" s="67" t="s">
        <v>149</v>
      </c>
      <c r="BS311" s="102">
        <v>1.0</v>
      </c>
      <c r="BT311" s="106"/>
      <c r="BU311" s="107"/>
      <c r="BV311" s="108">
        <f t="shared" si="2"/>
        <v>46205</v>
      </c>
      <c r="BW311" s="108">
        <f t="shared" si="16"/>
        <v>46207</v>
      </c>
      <c r="BX311" s="102" t="str">
        <f t="shared" si="15"/>
        <v>11</v>
      </c>
      <c r="BY311" s="107">
        <f t="shared" si="5"/>
        <v>2</v>
      </c>
      <c r="BZ311" s="107">
        <f t="array" ref="BZ311">IF($A311&lt;&gt;"",INDEX(LISTA!$M$2:$N$27,MATCH($BC311,LISTA!$N$2:$N$27,0),1),"")</f>
        <v>1</v>
      </c>
      <c r="CA311" s="67">
        <f t="shared" si="6"/>
        <v>7</v>
      </c>
      <c r="CB311" s="114" t="str">
        <f t="shared" si="7"/>
        <v/>
      </c>
      <c r="CC311" s="114"/>
    </row>
    <row r="312" ht="15.0" hidden="1" customHeight="1" outlineLevel="1">
      <c r="A312" s="59">
        <v>46228.69538783564</v>
      </c>
      <c r="B312" s="115" t="s">
        <v>387</v>
      </c>
      <c r="C312" s="54" t="s">
        <v>100</v>
      </c>
      <c r="D312" s="56" t="s">
        <v>101</v>
      </c>
      <c r="E312" s="69"/>
      <c r="F312" s="73" t="s">
        <v>4327</v>
      </c>
      <c r="G312" s="60" t="s">
        <v>4328</v>
      </c>
      <c r="H312" s="60" t="s">
        <v>4329</v>
      </c>
      <c r="I312" s="67" t="s">
        <v>107</v>
      </c>
      <c r="J312" s="79" t="s">
        <v>4330</v>
      </c>
      <c r="K312" s="67" t="s">
        <v>109</v>
      </c>
      <c r="L312" s="79" t="s">
        <v>4331</v>
      </c>
      <c r="M312" s="83" t="s">
        <v>4332</v>
      </c>
      <c r="N312" s="78">
        <v>33282.0</v>
      </c>
      <c r="O312" s="80" t="s">
        <v>37</v>
      </c>
      <c r="P312" s="70">
        <v>140101.0</v>
      </c>
      <c r="Q312" s="54"/>
      <c r="R312" s="84"/>
      <c r="S312" s="84"/>
      <c r="T312" s="54"/>
      <c r="U312" s="86"/>
      <c r="V312" s="54"/>
      <c r="W312" s="86"/>
      <c r="X312" s="54"/>
      <c r="Y312" s="78"/>
      <c r="Z312" s="54"/>
      <c r="AA312" s="70"/>
      <c r="AB312" s="83"/>
      <c r="AC312" s="83"/>
      <c r="AD312" s="83"/>
      <c r="AE312" s="83"/>
      <c r="AF312" s="83" t="s">
        <v>792</v>
      </c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54" t="s">
        <v>4333</v>
      </c>
      <c r="AR312" s="83" t="s">
        <v>4334</v>
      </c>
      <c r="AS312" s="83" t="s">
        <v>4335</v>
      </c>
      <c r="AT312" s="93" t="s">
        <v>4330</v>
      </c>
      <c r="AU312" s="93" t="s">
        <v>4336</v>
      </c>
      <c r="AV312" s="93" t="s">
        <v>4336</v>
      </c>
      <c r="AW312" s="83" t="s">
        <v>4337</v>
      </c>
      <c r="AX312" s="83">
        <v>4.0</v>
      </c>
      <c r="AY312" s="83" t="s">
        <v>922</v>
      </c>
      <c r="AZ312" s="83" t="s">
        <v>4338</v>
      </c>
      <c r="BA312" s="83" t="s">
        <v>4339</v>
      </c>
      <c r="BB312" s="83" t="s">
        <v>4340</v>
      </c>
      <c r="BC312" s="54" t="s">
        <v>41</v>
      </c>
      <c r="BD312" s="54" t="str">
        <f t="shared" si="1"/>
        <v>Los Olivos</v>
      </c>
      <c r="BE312" s="67" t="s">
        <v>140</v>
      </c>
      <c r="BF312" s="67" t="s">
        <v>141</v>
      </c>
      <c r="BG312" s="67" t="s">
        <v>142</v>
      </c>
      <c r="BH312" s="67"/>
      <c r="BI312" s="67"/>
      <c r="BJ312" s="67"/>
      <c r="BK312" s="67"/>
      <c r="BL312" s="67" t="s">
        <v>147</v>
      </c>
      <c r="BM312" s="67" t="s">
        <v>146</v>
      </c>
      <c r="BN312" s="100">
        <v>89.0</v>
      </c>
      <c r="BO312" s="102" t="s">
        <v>148</v>
      </c>
      <c r="BP312" s="67" t="s">
        <v>141</v>
      </c>
      <c r="BQ312" s="79" t="s">
        <v>141</v>
      </c>
      <c r="BR312" s="67" t="s">
        <v>149</v>
      </c>
      <c r="BS312" s="102">
        <v>1.0</v>
      </c>
      <c r="BT312" s="106"/>
      <c r="BU312" s="107"/>
      <c r="BV312" s="108">
        <f t="shared" si="2"/>
        <v>46228</v>
      </c>
      <c r="BW312" s="108" t="str">
        <f t="shared" si="16"/>
        <v/>
      </c>
      <c r="BX312" s="102" t="str">
        <f t="shared" si="15"/>
        <v/>
      </c>
      <c r="BY312" s="107">
        <f t="shared" si="5"/>
        <v>2</v>
      </c>
      <c r="BZ312" s="107">
        <f t="array" ref="BZ312">IF($A312&lt;&gt;"",INDEX(LISTA!$M$2:$N$27,MATCH($BC312,LISTA!$N$2:$N$27,0),1),"")</f>
        <v>1</v>
      </c>
      <c r="CA312" s="67">
        <f t="shared" si="6"/>
        <v>7</v>
      </c>
      <c r="CB312" s="114" t="str">
        <f t="shared" si="7"/>
        <v/>
      </c>
      <c r="CC312" s="114"/>
    </row>
    <row r="313" ht="15.0" hidden="1" customHeight="1" outlineLevel="1">
      <c r="A313" s="59">
        <v>46205.53842611111</v>
      </c>
      <c r="B313" s="115" t="s">
        <v>339</v>
      </c>
      <c r="C313" s="54" t="s">
        <v>100</v>
      </c>
      <c r="D313" s="56" t="s">
        <v>101</v>
      </c>
      <c r="E313" s="69"/>
      <c r="F313" s="73" t="s">
        <v>4341</v>
      </c>
      <c r="G313" s="60"/>
      <c r="H313" s="60"/>
      <c r="I313" s="67" t="s">
        <v>369</v>
      </c>
      <c r="J313" s="79" t="s">
        <v>4342</v>
      </c>
      <c r="K313" s="67" t="s">
        <v>109</v>
      </c>
      <c r="L313" s="79" t="s">
        <v>4343</v>
      </c>
      <c r="M313" s="83" t="s">
        <v>4344</v>
      </c>
      <c r="N313" s="78">
        <v>37579.0</v>
      </c>
      <c r="O313" s="80" t="s">
        <v>24</v>
      </c>
      <c r="P313" s="156" t="s">
        <v>4345</v>
      </c>
      <c r="Q313" s="54"/>
      <c r="R313" s="84" t="s">
        <v>4346</v>
      </c>
      <c r="S313" s="84"/>
      <c r="T313" s="54"/>
      <c r="U313" s="86"/>
      <c r="V313" s="54"/>
      <c r="W313" s="86"/>
      <c r="X313" s="54"/>
      <c r="Y313" s="78"/>
      <c r="Z313" s="54"/>
      <c r="AA313" s="70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54" t="s">
        <v>2697</v>
      </c>
      <c r="AR313" s="83" t="s">
        <v>4347</v>
      </c>
      <c r="AS313" s="83" t="s">
        <v>4348</v>
      </c>
      <c r="AT313" s="93" t="s">
        <v>4349</v>
      </c>
      <c r="AU313" s="93" t="s">
        <v>4349</v>
      </c>
      <c r="AV313" s="93" t="s">
        <v>4342</v>
      </c>
      <c r="AW313" s="83" t="s">
        <v>4350</v>
      </c>
      <c r="AX313" s="83">
        <v>1.0</v>
      </c>
      <c r="AY313" s="83">
        <v>1.0</v>
      </c>
      <c r="AZ313" s="83" t="s">
        <v>4351</v>
      </c>
      <c r="BA313" s="83" t="s">
        <v>4352</v>
      </c>
      <c r="BB313" s="83" t="s">
        <v>4353</v>
      </c>
      <c r="BC313" s="54" t="s">
        <v>24</v>
      </c>
      <c r="BD313" s="54" t="str">
        <f t="shared" si="1"/>
        <v>Huarmey</v>
      </c>
      <c r="BE313" s="67" t="s">
        <v>140</v>
      </c>
      <c r="BF313" s="67" t="s">
        <v>141</v>
      </c>
      <c r="BG313" s="67" t="s">
        <v>142</v>
      </c>
      <c r="BH313" s="67"/>
      <c r="BI313" s="67"/>
      <c r="BJ313" s="67"/>
      <c r="BK313" s="67"/>
      <c r="BL313" s="67" t="s">
        <v>283</v>
      </c>
      <c r="BM313" s="67" t="s">
        <v>146</v>
      </c>
      <c r="BN313" s="100">
        <v>94.0</v>
      </c>
      <c r="BO313" s="102" t="s">
        <v>148</v>
      </c>
      <c r="BP313" s="67" t="s">
        <v>141</v>
      </c>
      <c r="BQ313" s="79" t="s">
        <v>144</v>
      </c>
      <c r="BR313" s="67" t="s">
        <v>149</v>
      </c>
      <c r="BS313" s="102">
        <v>1.0</v>
      </c>
      <c r="BT313" s="106"/>
      <c r="BU313" s="107"/>
      <c r="BV313" s="108">
        <f t="shared" si="2"/>
        <v>46205</v>
      </c>
      <c r="BW313" s="108" t="str">
        <f t="shared" si="16"/>
        <v/>
      </c>
      <c r="BX313" s="102" t="str">
        <f t="shared" si="15"/>
        <v/>
      </c>
      <c r="BY313" s="107">
        <f t="shared" si="5"/>
        <v>0</v>
      </c>
      <c r="BZ313" s="107">
        <f t="array" ref="BZ313">IF($A313&lt;&gt;"",INDEX(LISTA!$M$2:$N$27,MATCH($BC313,LISTA!$N$2:$N$27,0),1),"")</f>
        <v>5</v>
      </c>
      <c r="CA313" s="67">
        <f t="shared" si="6"/>
        <v>7</v>
      </c>
      <c r="CB313" s="114" t="str">
        <f t="shared" si="7"/>
        <v/>
      </c>
      <c r="CC313" s="114"/>
    </row>
    <row r="314" ht="15.0" hidden="1" customHeight="1" outlineLevel="1">
      <c r="A314" s="59">
        <v>46220.74146659722</v>
      </c>
      <c r="B314" s="115" t="s">
        <v>339</v>
      </c>
      <c r="C314" s="54" t="s">
        <v>100</v>
      </c>
      <c r="D314" s="56" t="s">
        <v>319</v>
      </c>
      <c r="E314" s="69"/>
      <c r="F314" s="73" t="s">
        <v>4354</v>
      </c>
      <c r="G314" s="60"/>
      <c r="H314" s="60"/>
      <c r="I314" s="67" t="s">
        <v>107</v>
      </c>
      <c r="J314" s="79" t="s">
        <v>4355</v>
      </c>
      <c r="K314" s="67" t="s">
        <v>109</v>
      </c>
      <c r="L314" s="79" t="s">
        <v>4356</v>
      </c>
      <c r="M314" s="83" t="s">
        <v>4357</v>
      </c>
      <c r="N314" s="78">
        <v>23678.0</v>
      </c>
      <c r="O314" s="80" t="s">
        <v>37</v>
      </c>
      <c r="P314" s="70">
        <v>140101.0</v>
      </c>
      <c r="Q314" s="54"/>
      <c r="R314" s="84"/>
      <c r="S314" s="84"/>
      <c r="T314" s="54"/>
      <c r="U314" s="86"/>
      <c r="V314" s="54"/>
      <c r="W314" s="86"/>
      <c r="X314" s="54"/>
      <c r="Y314" s="78"/>
      <c r="Z314" s="54"/>
      <c r="AA314" s="70"/>
      <c r="AB314" s="83"/>
      <c r="AC314" s="83"/>
      <c r="AD314" s="83"/>
      <c r="AE314" s="83"/>
      <c r="AF314" s="83" t="s">
        <v>691</v>
      </c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54" t="s">
        <v>2574</v>
      </c>
      <c r="AR314" s="83" t="s">
        <v>4358</v>
      </c>
      <c r="AS314" s="83" t="s">
        <v>4359</v>
      </c>
      <c r="AT314" s="93" t="s">
        <v>4355</v>
      </c>
      <c r="AU314" s="93" t="s">
        <v>4355</v>
      </c>
      <c r="AV314" s="93" t="s">
        <v>4360</v>
      </c>
      <c r="AW314" s="83" t="s">
        <v>4361</v>
      </c>
      <c r="AX314" s="83">
        <v>2.0</v>
      </c>
      <c r="AY314" s="83">
        <v>1.0</v>
      </c>
      <c r="AZ314" s="83" t="s">
        <v>4362</v>
      </c>
      <c r="BA314" s="83" t="s">
        <v>4363</v>
      </c>
      <c r="BB314" s="83" t="s">
        <v>4364</v>
      </c>
      <c r="BC314" s="54" t="s">
        <v>41</v>
      </c>
      <c r="BD314" s="54" t="str">
        <f t="shared" si="1"/>
        <v>Comas</v>
      </c>
      <c r="BE314" s="67" t="s">
        <v>143</v>
      </c>
      <c r="BF314" s="67" t="s">
        <v>141</v>
      </c>
      <c r="BG314" s="67" t="s">
        <v>142</v>
      </c>
      <c r="BH314" s="67"/>
      <c r="BI314" s="67"/>
      <c r="BJ314" s="67"/>
      <c r="BK314" s="67"/>
      <c r="BL314" s="67" t="s">
        <v>147</v>
      </c>
      <c r="BM314" s="67" t="s">
        <v>1142</v>
      </c>
      <c r="BN314" s="100">
        <v>89.0</v>
      </c>
      <c r="BO314" s="102" t="s">
        <v>148</v>
      </c>
      <c r="BP314" s="67" t="s">
        <v>141</v>
      </c>
      <c r="BQ314" s="79" t="s">
        <v>141</v>
      </c>
      <c r="BR314" s="67" t="s">
        <v>149</v>
      </c>
      <c r="BS314" s="102" t="s">
        <v>149</v>
      </c>
      <c r="BT314" s="106"/>
      <c r="BU314" s="107"/>
      <c r="BV314" s="108">
        <f t="shared" si="2"/>
        <v>46220</v>
      </c>
      <c r="BW314" s="108" t="str">
        <f t="shared" si="16"/>
        <v/>
      </c>
      <c r="BX314" s="102" t="str">
        <f t="shared" si="15"/>
        <v/>
      </c>
      <c r="BY314" s="107">
        <f t="shared" si="5"/>
        <v>0</v>
      </c>
      <c r="BZ314" s="107">
        <f t="array" ref="BZ314">IF($A314&lt;&gt;"",INDEX(LISTA!$M$2:$N$27,MATCH($BC314,LISTA!$N$2:$N$27,0),1),"")</f>
        <v>1</v>
      </c>
      <c r="CA314" s="67">
        <f t="shared" si="6"/>
        <v>7</v>
      </c>
      <c r="CB314" s="114" t="str">
        <f t="shared" si="7"/>
        <v/>
      </c>
      <c r="CC314" s="114"/>
    </row>
    <row r="315" ht="15.0" hidden="1" customHeight="1" outlineLevel="1">
      <c r="A315" s="59">
        <v>46225.65430805556</v>
      </c>
      <c r="B315" s="115" t="s">
        <v>339</v>
      </c>
      <c r="C315" s="54" t="s">
        <v>100</v>
      </c>
      <c r="D315" s="56"/>
      <c r="E315" s="69"/>
      <c r="F315" s="73" t="s">
        <v>4365</v>
      </c>
      <c r="G315" s="60"/>
      <c r="H315" s="60"/>
      <c r="I315" s="67" t="s">
        <v>397</v>
      </c>
      <c r="J315" s="79" t="s">
        <v>4366</v>
      </c>
      <c r="K315" s="67" t="s">
        <v>109</v>
      </c>
      <c r="L315" s="79" t="s">
        <v>4367</v>
      </c>
      <c r="M315" s="83" t="s">
        <v>4368</v>
      </c>
      <c r="N315" s="78">
        <v>36881.0</v>
      </c>
      <c r="O315" s="80" t="s">
        <v>30</v>
      </c>
      <c r="P315" s="70">
        <v>240106.0</v>
      </c>
      <c r="Q315" s="54"/>
      <c r="R315" s="84"/>
      <c r="S315" s="84"/>
      <c r="T315" s="54"/>
      <c r="U315" s="86"/>
      <c r="V315" s="54"/>
      <c r="W315" s="86" t="s">
        <v>4269</v>
      </c>
      <c r="X315" s="54"/>
      <c r="Y315" s="78"/>
      <c r="Z315" s="54"/>
      <c r="AA315" s="70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54" t="s">
        <v>4369</v>
      </c>
      <c r="AR315" s="83" t="s">
        <v>4370</v>
      </c>
      <c r="AS315" s="83" t="s">
        <v>4371</v>
      </c>
      <c r="AT315" s="93" t="s">
        <v>4366</v>
      </c>
      <c r="AU315" s="93" t="s">
        <v>4366</v>
      </c>
      <c r="AV315" s="93" t="s">
        <v>4366</v>
      </c>
      <c r="AW315" s="83" t="s">
        <v>4372</v>
      </c>
      <c r="AX315" s="83">
        <v>2.0</v>
      </c>
      <c r="AY315" s="83">
        <v>1.0</v>
      </c>
      <c r="AZ315" s="83" t="s">
        <v>4373</v>
      </c>
      <c r="BA315" s="83" t="s">
        <v>4374</v>
      </c>
      <c r="BB315" s="83" t="s">
        <v>4375</v>
      </c>
      <c r="BC315" s="54" t="s">
        <v>30</v>
      </c>
      <c r="BD315" s="54" t="str">
        <f t="shared" si="1"/>
        <v>Ventanilla</v>
      </c>
      <c r="BE315" s="67" t="s">
        <v>140</v>
      </c>
      <c r="BF315" s="67" t="s">
        <v>141</v>
      </c>
      <c r="BG315" s="67" t="s">
        <v>142</v>
      </c>
      <c r="BH315" s="67"/>
      <c r="BI315" s="67"/>
      <c r="BJ315" s="67"/>
      <c r="BK315" s="67"/>
      <c r="BL315" s="67" t="s">
        <v>147</v>
      </c>
      <c r="BM315" s="67" t="s">
        <v>146</v>
      </c>
      <c r="BN315" s="100">
        <v>69.0</v>
      </c>
      <c r="BO315" s="102" t="s">
        <v>615</v>
      </c>
      <c r="BP315" s="67" t="s">
        <v>141</v>
      </c>
      <c r="BQ315" s="79" t="s">
        <v>141</v>
      </c>
      <c r="BR315" s="67" t="s">
        <v>149</v>
      </c>
      <c r="BS315" s="102" t="s">
        <v>149</v>
      </c>
      <c r="BT315" s="106"/>
      <c r="BU315" s="107"/>
      <c r="BV315" s="108">
        <f t="shared" si="2"/>
        <v>46225</v>
      </c>
      <c r="BW315" s="108" t="str">
        <f t="shared" si="16"/>
        <v/>
      </c>
      <c r="BX315" s="102" t="str">
        <f t="shared" si="15"/>
        <v/>
      </c>
      <c r="BY315" s="107">
        <f t="shared" si="5"/>
        <v>0</v>
      </c>
      <c r="BZ315" s="107">
        <f t="array" ref="BZ315">IF($A315&lt;&gt;"",INDEX(LISTA!$M$2:$N$27,MATCH($BC315,LISTA!$N$2:$N$27,0),1),"")</f>
        <v>2</v>
      </c>
      <c r="CA315" s="67">
        <f t="shared" si="6"/>
        <v>7</v>
      </c>
      <c r="CB315" s="114" t="str">
        <f t="shared" si="7"/>
        <v/>
      </c>
      <c r="CC315" s="114"/>
    </row>
    <row r="316" ht="15.0" hidden="1" customHeight="1" outlineLevel="1">
      <c r="A316" s="59">
        <v>46225.79664865741</v>
      </c>
      <c r="B316" s="115" t="s">
        <v>339</v>
      </c>
      <c r="C316" s="54" t="s">
        <v>100</v>
      </c>
      <c r="D316" s="56" t="s">
        <v>319</v>
      </c>
      <c r="E316" s="69"/>
      <c r="F316" s="73" t="s">
        <v>4376</v>
      </c>
      <c r="G316" s="60"/>
      <c r="H316" s="60"/>
      <c r="I316" s="67" t="s">
        <v>374</v>
      </c>
      <c r="J316" s="79" t="s">
        <v>4377</v>
      </c>
      <c r="K316" s="67" t="s">
        <v>109</v>
      </c>
      <c r="L316" s="79" t="s">
        <v>4378</v>
      </c>
      <c r="M316" s="83" t="s">
        <v>4379</v>
      </c>
      <c r="N316" s="78">
        <v>27921.0</v>
      </c>
      <c r="O316" s="80" t="s">
        <v>37</v>
      </c>
      <c r="P316" s="70">
        <v>150140.0</v>
      </c>
      <c r="Q316" s="54"/>
      <c r="R316" s="84"/>
      <c r="S316" s="84"/>
      <c r="T316" s="54"/>
      <c r="U316" s="86"/>
      <c r="V316" s="54"/>
      <c r="W316" s="86"/>
      <c r="X316" s="54"/>
      <c r="Y316" s="78"/>
      <c r="Z316" s="54"/>
      <c r="AA316" s="70"/>
      <c r="AB316" s="83"/>
      <c r="AC316" s="83"/>
      <c r="AD316" s="83"/>
      <c r="AE316" s="83"/>
      <c r="AF316" s="83" t="s">
        <v>123</v>
      </c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54" t="s">
        <v>432</v>
      </c>
      <c r="AR316" s="83" t="s">
        <v>4380</v>
      </c>
      <c r="AS316" s="83" t="s">
        <v>4381</v>
      </c>
      <c r="AT316" s="93" t="s">
        <v>4377</v>
      </c>
      <c r="AU316" s="93" t="s">
        <v>4377</v>
      </c>
      <c r="AV316" s="93" t="s">
        <v>4377</v>
      </c>
      <c r="AW316" s="83" t="s">
        <v>4382</v>
      </c>
      <c r="AX316" s="83">
        <v>2.0</v>
      </c>
      <c r="AY316" s="83">
        <v>1.0</v>
      </c>
      <c r="AZ316" s="83" t="s">
        <v>4383</v>
      </c>
      <c r="BA316" s="83" t="s">
        <v>1767</v>
      </c>
      <c r="BB316" s="83" t="s">
        <v>4384</v>
      </c>
      <c r="BC316" s="54" t="s">
        <v>41</v>
      </c>
      <c r="BD316" s="54" t="str">
        <f t="shared" si="1"/>
        <v>Santiago de Surco</v>
      </c>
      <c r="BE316" s="67" t="s">
        <v>140</v>
      </c>
      <c r="BF316" s="67" t="s">
        <v>141</v>
      </c>
      <c r="BG316" s="67" t="s">
        <v>142</v>
      </c>
      <c r="BH316" s="67"/>
      <c r="BI316" s="67"/>
      <c r="BJ316" s="67"/>
      <c r="BK316" s="67"/>
      <c r="BL316" s="67" t="s">
        <v>147</v>
      </c>
      <c r="BM316" s="67" t="s">
        <v>146</v>
      </c>
      <c r="BN316" s="100">
        <v>110.0</v>
      </c>
      <c r="BO316" s="102" t="s">
        <v>182</v>
      </c>
      <c r="BP316" s="67" t="s">
        <v>141</v>
      </c>
      <c r="BQ316" s="79" t="s">
        <v>141</v>
      </c>
      <c r="BR316" s="67" t="s">
        <v>149</v>
      </c>
      <c r="BS316" s="102" t="s">
        <v>149</v>
      </c>
      <c r="BT316" s="106"/>
      <c r="BU316" s="107"/>
      <c r="BV316" s="108">
        <f t="shared" si="2"/>
        <v>46225</v>
      </c>
      <c r="BW316" s="108" t="str">
        <f t="shared" si="16"/>
        <v/>
      </c>
      <c r="BX316" s="102" t="str">
        <f t="shared" si="15"/>
        <v/>
      </c>
      <c r="BY316" s="107">
        <f t="shared" si="5"/>
        <v>0</v>
      </c>
      <c r="BZ316" s="107">
        <f t="array" ref="BZ316">IF($A316&lt;&gt;"",INDEX(LISTA!$M$2:$N$27,MATCH($BC316,LISTA!$N$2:$N$27,0),1),"")</f>
        <v>1</v>
      </c>
      <c r="CA316" s="67">
        <f t="shared" si="6"/>
        <v>7</v>
      </c>
      <c r="CB316" s="114" t="str">
        <f t="shared" si="7"/>
        <v/>
      </c>
      <c r="CC316" s="114"/>
    </row>
    <row r="317" ht="15.0" hidden="1" customHeight="1" outlineLevel="1">
      <c r="A317" s="59">
        <v>46221.710869456016</v>
      </c>
      <c r="B317" s="115" t="s">
        <v>335</v>
      </c>
      <c r="C317" s="54" t="s">
        <v>100</v>
      </c>
      <c r="D317" s="56" t="s">
        <v>101</v>
      </c>
      <c r="E317" s="69"/>
      <c r="F317" s="73" t="s">
        <v>4385</v>
      </c>
      <c r="G317" s="60"/>
      <c r="H317" s="60"/>
      <c r="I317" s="67" t="s">
        <v>355</v>
      </c>
      <c r="J317" s="79" t="s">
        <v>4386</v>
      </c>
      <c r="K317" s="67" t="s">
        <v>109</v>
      </c>
      <c r="L317" s="79" t="s">
        <v>4387</v>
      </c>
      <c r="M317" s="83" t="s">
        <v>4388</v>
      </c>
      <c r="N317" s="78">
        <v>33094.0</v>
      </c>
      <c r="O317" s="80" t="s">
        <v>27</v>
      </c>
      <c r="P317" s="156" t="s">
        <v>2026</v>
      </c>
      <c r="Q317" s="54"/>
      <c r="R317" s="84"/>
      <c r="S317" s="84"/>
      <c r="T317" s="54" t="s">
        <v>122</v>
      </c>
      <c r="U317" s="86"/>
      <c r="V317" s="54"/>
      <c r="W317" s="86"/>
      <c r="X317" s="54"/>
      <c r="Y317" s="78"/>
      <c r="Z317" s="54"/>
      <c r="AA317" s="70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54" t="s">
        <v>4248</v>
      </c>
      <c r="AR317" s="83" t="s">
        <v>4389</v>
      </c>
      <c r="AS317" s="83" t="s">
        <v>4390</v>
      </c>
      <c r="AT317" s="93" t="s">
        <v>4386</v>
      </c>
      <c r="AU317" s="93" t="s">
        <v>4386</v>
      </c>
      <c r="AV317" s="93" t="s">
        <v>4386</v>
      </c>
      <c r="AW317" s="83" t="s">
        <v>4391</v>
      </c>
      <c r="AX317" s="83">
        <v>2.0</v>
      </c>
      <c r="AY317" s="83" t="s">
        <v>174</v>
      </c>
      <c r="AZ317" s="83" t="s">
        <v>4392</v>
      </c>
      <c r="BA317" s="83" t="s">
        <v>4393</v>
      </c>
      <c r="BB317" s="83" t="s">
        <v>4394</v>
      </c>
      <c r="BC317" s="54" t="s">
        <v>27</v>
      </c>
      <c r="BD317" s="54" t="str">
        <f t="shared" si="1"/>
        <v>Arequipa</v>
      </c>
      <c r="BE317" s="67" t="s">
        <v>143</v>
      </c>
      <c r="BF317" s="67" t="s">
        <v>144</v>
      </c>
      <c r="BG317" s="67" t="s">
        <v>142</v>
      </c>
      <c r="BH317" s="67"/>
      <c r="BI317" s="67"/>
      <c r="BJ317" s="67"/>
      <c r="BK317" s="67"/>
      <c r="BL317" s="67" t="s">
        <v>145</v>
      </c>
      <c r="BM317" s="67" t="s">
        <v>1897</v>
      </c>
      <c r="BN317" s="100">
        <v>99.0</v>
      </c>
      <c r="BO317" s="102" t="s">
        <v>1647</v>
      </c>
      <c r="BP317" s="67" t="s">
        <v>144</v>
      </c>
      <c r="BQ317" s="79" t="s">
        <v>141</v>
      </c>
      <c r="BR317" s="67">
        <v>1.0</v>
      </c>
      <c r="BS317" s="102" t="s">
        <v>149</v>
      </c>
      <c r="BT317" s="106"/>
      <c r="BU317" s="107"/>
      <c r="BV317" s="108">
        <f t="shared" si="2"/>
        <v>46221</v>
      </c>
      <c r="BW317" s="108" t="str">
        <f t="shared" si="16"/>
        <v/>
      </c>
      <c r="BX317" s="102" t="str">
        <f t="shared" si="15"/>
        <v/>
      </c>
      <c r="BY317" s="107">
        <f t="shared" si="5"/>
        <v>0</v>
      </c>
      <c r="BZ317" s="107">
        <f t="array" ref="BZ317">IF($A317&lt;&gt;"",INDEX(LISTA!$M$2:$N$27,MATCH($BC317,LISTA!$N$2:$N$27,0),1),"")</f>
        <v>7</v>
      </c>
      <c r="CA317" s="67">
        <f t="shared" si="6"/>
        <v>7</v>
      </c>
      <c r="CB317" s="114" t="str">
        <f t="shared" si="7"/>
        <v/>
      </c>
      <c r="CC317" s="114"/>
    </row>
    <row r="318" ht="15.0" hidden="1" customHeight="1" outlineLevel="1">
      <c r="A318" s="59">
        <v>46216.63017766204</v>
      </c>
      <c r="B318" s="115" t="s">
        <v>368</v>
      </c>
      <c r="C318" s="54" t="s">
        <v>100</v>
      </c>
      <c r="D318" s="56" t="s">
        <v>319</v>
      </c>
      <c r="E318" s="69"/>
      <c r="F318" s="73" t="s">
        <v>4395</v>
      </c>
      <c r="G318" s="60"/>
      <c r="H318" s="60"/>
      <c r="I318" s="67" t="s">
        <v>355</v>
      </c>
      <c r="J318" s="79" t="s">
        <v>4396</v>
      </c>
      <c r="K318" s="67" t="s">
        <v>109</v>
      </c>
      <c r="L318" s="79" t="s">
        <v>4397</v>
      </c>
      <c r="M318" s="83" t="s">
        <v>4398</v>
      </c>
      <c r="N318" s="78">
        <v>35076.0</v>
      </c>
      <c r="O318" s="80" t="s">
        <v>23</v>
      </c>
      <c r="P318" s="156" t="s">
        <v>4399</v>
      </c>
      <c r="Q318" s="54" t="s">
        <v>4400</v>
      </c>
      <c r="R318" s="84"/>
      <c r="S318" s="84"/>
      <c r="T318" s="54"/>
      <c r="U318" s="86"/>
      <c r="V318" s="54"/>
      <c r="W318" s="86"/>
      <c r="X318" s="54"/>
      <c r="Y318" s="78"/>
      <c r="Z318" s="54"/>
      <c r="AA318" s="70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54" t="s">
        <v>4401</v>
      </c>
      <c r="AR318" s="83" t="s">
        <v>1678</v>
      </c>
      <c r="AS318" s="83" t="s">
        <v>4402</v>
      </c>
      <c r="AT318" s="93" t="s">
        <v>4396</v>
      </c>
      <c r="AU318" s="93" t="s">
        <v>4396</v>
      </c>
      <c r="AV318" s="93" t="s">
        <v>4396</v>
      </c>
      <c r="AW318" s="83" t="s">
        <v>4403</v>
      </c>
      <c r="AX318" s="83">
        <v>2.0</v>
      </c>
      <c r="AY318" s="83" t="s">
        <v>174</v>
      </c>
      <c r="AZ318" s="83" t="s">
        <v>4404</v>
      </c>
      <c r="BA318" s="83" t="s">
        <v>4405</v>
      </c>
      <c r="BB318" s="83" t="s">
        <v>4406</v>
      </c>
      <c r="BC318" s="54" t="s">
        <v>23</v>
      </c>
      <c r="BD318" s="54" t="str">
        <f t="shared" si="1"/>
        <v>Chachapoyas</v>
      </c>
      <c r="BE318" s="67" t="s">
        <v>140</v>
      </c>
      <c r="BF318" s="67" t="s">
        <v>144</v>
      </c>
      <c r="BG318" s="67" t="s">
        <v>142</v>
      </c>
      <c r="BH318" s="67"/>
      <c r="BI318" s="67"/>
      <c r="BJ318" s="67"/>
      <c r="BK318" s="67"/>
      <c r="BL318" s="67" t="s">
        <v>147</v>
      </c>
      <c r="BM318" s="67" t="s">
        <v>247</v>
      </c>
      <c r="BN318" s="100">
        <v>89.0</v>
      </c>
      <c r="BO318" s="102" t="s">
        <v>148</v>
      </c>
      <c r="BP318" s="67" t="s">
        <v>141</v>
      </c>
      <c r="BQ318" s="79" t="s">
        <v>141</v>
      </c>
      <c r="BR318" s="67" t="s">
        <v>149</v>
      </c>
      <c r="BS318" s="102">
        <v>1.0</v>
      </c>
      <c r="BT318" s="106"/>
      <c r="BU318" s="107"/>
      <c r="BV318" s="108">
        <f t="shared" si="2"/>
        <v>46216</v>
      </c>
      <c r="BW318" s="108" t="str">
        <f t="shared" si="16"/>
        <v/>
      </c>
      <c r="BX318" s="102" t="str">
        <f t="shared" si="15"/>
        <v/>
      </c>
      <c r="BY318" s="107">
        <f t="shared" si="5"/>
        <v>0</v>
      </c>
      <c r="BZ318" s="107">
        <f t="array" ref="BZ318">IF($A318&lt;&gt;"",INDEX(LISTA!$M$2:$N$27,MATCH($BC318,LISTA!$N$2:$N$27,0),1),"")</f>
        <v>4</v>
      </c>
      <c r="CA318" s="67">
        <f t="shared" si="6"/>
        <v>7</v>
      </c>
      <c r="CB318" s="114" t="str">
        <f t="shared" si="7"/>
        <v/>
      </c>
      <c r="CC318" s="114"/>
    </row>
    <row r="319" ht="15.0" hidden="1" customHeight="1" outlineLevel="1">
      <c r="A319" s="59">
        <v>46214.736414768515</v>
      </c>
      <c r="B319" s="115" t="s">
        <v>368</v>
      </c>
      <c r="C319" s="54" t="s">
        <v>100</v>
      </c>
      <c r="D319" s="56" t="s">
        <v>346</v>
      </c>
      <c r="E319" s="69"/>
      <c r="F319" s="73" t="s">
        <v>4407</v>
      </c>
      <c r="G319" s="60" t="s">
        <v>4408</v>
      </c>
      <c r="H319" s="60"/>
      <c r="I319" s="67" t="s">
        <v>107</v>
      </c>
      <c r="J319" s="79" t="s">
        <v>4409</v>
      </c>
      <c r="K319" s="67" t="s">
        <v>109</v>
      </c>
      <c r="L319" s="79" t="s">
        <v>4410</v>
      </c>
      <c r="M319" s="83" t="s">
        <v>4411</v>
      </c>
      <c r="N319" s="78">
        <v>37818.0</v>
      </c>
      <c r="O319" s="80" t="s">
        <v>41</v>
      </c>
      <c r="P319" s="70">
        <v>140126.0</v>
      </c>
      <c r="Q319" s="54"/>
      <c r="R319" s="84"/>
      <c r="S319" s="84"/>
      <c r="T319" s="54"/>
      <c r="U319" s="86"/>
      <c r="V319" s="54"/>
      <c r="W319" s="86" t="s">
        <v>553</v>
      </c>
      <c r="X319" s="54"/>
      <c r="Y319" s="78"/>
      <c r="Z319" s="54"/>
      <c r="AA319" s="70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54" t="s">
        <v>2146</v>
      </c>
      <c r="AR319" s="83" t="s">
        <v>4412</v>
      </c>
      <c r="AS319" s="83" t="s">
        <v>4413</v>
      </c>
      <c r="AT319" s="93" t="s">
        <v>4409</v>
      </c>
      <c r="AU319" s="93" t="s">
        <v>4409</v>
      </c>
      <c r="AV319" s="93" t="s">
        <v>4409</v>
      </c>
      <c r="AW319" s="83" t="s">
        <v>4414</v>
      </c>
      <c r="AX319" s="83">
        <v>2.0</v>
      </c>
      <c r="AY319" s="83">
        <v>1.0</v>
      </c>
      <c r="AZ319" s="83" t="s">
        <v>4415</v>
      </c>
      <c r="BA319" s="83" t="s">
        <v>4416</v>
      </c>
      <c r="BB319" s="83" t="s">
        <v>4417</v>
      </c>
      <c r="BC319" s="54" t="s">
        <v>30</v>
      </c>
      <c r="BD319" s="54" t="str">
        <f t="shared" si="1"/>
        <v>Callao</v>
      </c>
      <c r="BE319" s="67" t="s">
        <v>140</v>
      </c>
      <c r="BF319" s="67" t="s">
        <v>141</v>
      </c>
      <c r="BG319" s="67" t="s">
        <v>142</v>
      </c>
      <c r="BH319" s="67"/>
      <c r="BI319" s="67"/>
      <c r="BJ319" s="67"/>
      <c r="BK319" s="67"/>
      <c r="BL319" s="67" t="s">
        <v>147</v>
      </c>
      <c r="BM319" s="67" t="s">
        <v>146</v>
      </c>
      <c r="BN319" s="100">
        <v>89.0</v>
      </c>
      <c r="BO319" s="102" t="s">
        <v>148</v>
      </c>
      <c r="BP319" s="67" t="s">
        <v>141</v>
      </c>
      <c r="BQ319" s="79" t="s">
        <v>141</v>
      </c>
      <c r="BR319" s="67" t="s">
        <v>149</v>
      </c>
      <c r="BS319" s="102">
        <v>1.0</v>
      </c>
      <c r="BT319" s="106"/>
      <c r="BU319" s="107"/>
      <c r="BV319" s="108">
        <f t="shared" si="2"/>
        <v>46214</v>
      </c>
      <c r="BW319" s="108" t="str">
        <f t="shared" si="16"/>
        <v/>
      </c>
      <c r="BX319" s="102" t="str">
        <f t="shared" si="15"/>
        <v/>
      </c>
      <c r="BY319" s="107">
        <f t="shared" si="5"/>
        <v>0</v>
      </c>
      <c r="BZ319" s="107">
        <f t="array" ref="BZ319">IF($A319&lt;&gt;"",INDEX(LISTA!$M$2:$N$27,MATCH($BC319,LISTA!$N$2:$N$27,0),1),"")</f>
        <v>2</v>
      </c>
      <c r="CA319" s="67">
        <f t="shared" si="6"/>
        <v>7</v>
      </c>
      <c r="CB319" s="114" t="str">
        <f t="shared" si="7"/>
        <v/>
      </c>
      <c r="CC319" s="114"/>
    </row>
    <row r="320" ht="15.0" hidden="1" customHeight="1" outlineLevel="1">
      <c r="A320" s="59">
        <v>46204.70393931713</v>
      </c>
      <c r="B320" s="115" t="s">
        <v>361</v>
      </c>
      <c r="C320" s="54" t="s">
        <v>100</v>
      </c>
      <c r="D320" s="56" t="s">
        <v>101</v>
      </c>
      <c r="E320" s="69"/>
      <c r="F320" s="73" t="s">
        <v>4418</v>
      </c>
      <c r="G320" s="60"/>
      <c r="H320" s="60"/>
      <c r="I320" s="67" t="s">
        <v>107</v>
      </c>
      <c r="J320" s="79" t="s">
        <v>4419</v>
      </c>
      <c r="K320" s="67" t="s">
        <v>109</v>
      </c>
      <c r="L320" s="79" t="s">
        <v>4420</v>
      </c>
      <c r="M320" s="83" t="s">
        <v>4421</v>
      </c>
      <c r="N320" s="78">
        <v>33542.0</v>
      </c>
      <c r="O320" s="80" t="s">
        <v>45</v>
      </c>
      <c r="P320" s="70">
        <v>110201.0</v>
      </c>
      <c r="Q320" s="54"/>
      <c r="R320" s="84"/>
      <c r="S320" s="84"/>
      <c r="T320" s="54"/>
      <c r="U320" s="86"/>
      <c r="V320" s="54"/>
      <c r="W320" s="86"/>
      <c r="X320" s="54"/>
      <c r="Y320" s="78"/>
      <c r="Z320" s="54"/>
      <c r="AA320" s="70"/>
      <c r="AB320" s="83"/>
      <c r="AC320" s="83"/>
      <c r="AD320" s="83"/>
      <c r="AE320" s="83"/>
      <c r="AF320" s="83"/>
      <c r="AG320" s="83"/>
      <c r="AH320" s="83"/>
      <c r="AI320" s="83"/>
      <c r="AJ320" s="83" t="s">
        <v>4422</v>
      </c>
      <c r="AK320" s="83"/>
      <c r="AL320" s="83"/>
      <c r="AM320" s="83"/>
      <c r="AN320" s="83"/>
      <c r="AO320" s="83"/>
      <c r="AP320" s="83"/>
      <c r="AQ320" s="54" t="s">
        <v>4423</v>
      </c>
      <c r="AR320" s="83" t="s">
        <v>4424</v>
      </c>
      <c r="AS320" s="83" t="s">
        <v>4425</v>
      </c>
      <c r="AT320" s="93" t="s">
        <v>4419</v>
      </c>
      <c r="AU320" s="93" t="s">
        <v>4419</v>
      </c>
      <c r="AV320" s="93" t="s">
        <v>4419</v>
      </c>
      <c r="AW320" s="83" t="s">
        <v>4426</v>
      </c>
      <c r="AX320" s="83">
        <v>2.0</v>
      </c>
      <c r="AY320" s="83">
        <v>1.0</v>
      </c>
      <c r="AZ320" s="83" t="s">
        <v>4427</v>
      </c>
      <c r="BA320" s="83" t="s">
        <v>4428</v>
      </c>
      <c r="BB320" s="83" t="s">
        <v>4429</v>
      </c>
      <c r="BC320" s="54" t="s">
        <v>45</v>
      </c>
      <c r="BD320" s="54" t="str">
        <f t="shared" si="1"/>
        <v>Oxapampa</v>
      </c>
      <c r="BE320" s="67" t="s">
        <v>140</v>
      </c>
      <c r="BF320" s="67" t="s">
        <v>141</v>
      </c>
      <c r="BG320" s="67" t="s">
        <v>142</v>
      </c>
      <c r="BH320" s="67"/>
      <c r="BI320" s="67"/>
      <c r="BJ320" s="67"/>
      <c r="BK320" s="67"/>
      <c r="BL320" s="67" t="s">
        <v>283</v>
      </c>
      <c r="BM320" s="67" t="s">
        <v>146</v>
      </c>
      <c r="BN320" s="100">
        <v>94.0</v>
      </c>
      <c r="BO320" s="102" t="s">
        <v>148</v>
      </c>
      <c r="BP320" s="67" t="s">
        <v>141</v>
      </c>
      <c r="BQ320" s="79" t="s">
        <v>144</v>
      </c>
      <c r="BR320" s="67" t="s">
        <v>149</v>
      </c>
      <c r="BS320" s="102">
        <v>1.0</v>
      </c>
      <c r="BT320" s="106"/>
      <c r="BU320" s="107"/>
      <c r="BV320" s="108">
        <f t="shared" si="2"/>
        <v>46204</v>
      </c>
      <c r="BW320" s="108" t="str">
        <f t="shared" si="16"/>
        <v/>
      </c>
      <c r="BX320" s="102" t="str">
        <f t="shared" si="15"/>
        <v/>
      </c>
      <c r="BY320" s="107">
        <f t="shared" si="5"/>
        <v>0</v>
      </c>
      <c r="BZ320" s="107">
        <f t="array" ref="BZ320">IF($A320&lt;&gt;"",INDEX(LISTA!$M$2:$N$27,MATCH($BC320,LISTA!$N$2:$N$27,0),1),"")</f>
        <v>20</v>
      </c>
      <c r="CA320" s="67">
        <f t="shared" si="6"/>
        <v>7</v>
      </c>
      <c r="CB320" s="114" t="str">
        <f t="shared" si="7"/>
        <v/>
      </c>
      <c r="CC320" s="114"/>
    </row>
    <row r="321" ht="15.0" hidden="1" customHeight="1" outlineLevel="1">
      <c r="A321" s="59">
        <v>46209.44891877315</v>
      </c>
      <c r="B321" s="115" t="s">
        <v>361</v>
      </c>
      <c r="C321" s="54" t="s">
        <v>100</v>
      </c>
      <c r="D321" s="56" t="s">
        <v>101</v>
      </c>
      <c r="E321" s="69"/>
      <c r="F321" s="73" t="s">
        <v>4418</v>
      </c>
      <c r="G321" s="60"/>
      <c r="H321" s="60"/>
      <c r="I321" s="67" t="s">
        <v>363</v>
      </c>
      <c r="J321" s="79" t="s">
        <v>4430</v>
      </c>
      <c r="K321" s="67" t="s">
        <v>1151</v>
      </c>
      <c r="L321" s="79" t="s">
        <v>4431</v>
      </c>
      <c r="M321" s="83" t="s">
        <v>4432</v>
      </c>
      <c r="N321" s="78">
        <v>31539.0</v>
      </c>
      <c r="O321" s="80" t="s">
        <v>27</v>
      </c>
      <c r="P321" s="156" t="s">
        <v>4433</v>
      </c>
      <c r="Q321" s="54"/>
      <c r="R321" s="84"/>
      <c r="S321" s="84"/>
      <c r="T321" s="54" t="s">
        <v>2172</v>
      </c>
      <c r="U321" s="86"/>
      <c r="V321" s="54"/>
      <c r="W321" s="86"/>
      <c r="X321" s="54"/>
      <c r="Y321" s="78"/>
      <c r="Z321" s="54"/>
      <c r="AA321" s="70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54" t="s">
        <v>4434</v>
      </c>
      <c r="AR321" s="83" t="s">
        <v>3624</v>
      </c>
      <c r="AS321" s="83" t="s">
        <v>4435</v>
      </c>
      <c r="AT321" s="93" t="s">
        <v>4430</v>
      </c>
      <c r="AU321" s="93" t="s">
        <v>4430</v>
      </c>
      <c r="AV321" s="93" t="s">
        <v>4430</v>
      </c>
      <c r="AW321" s="83" t="s">
        <v>4436</v>
      </c>
      <c r="AX321" s="83">
        <v>1.0</v>
      </c>
      <c r="AY321" s="83" t="s">
        <v>4437</v>
      </c>
      <c r="AZ321" s="83" t="s">
        <v>4438</v>
      </c>
      <c r="BA321" s="83" t="s">
        <v>4439</v>
      </c>
      <c r="BB321" s="83" t="s">
        <v>4440</v>
      </c>
      <c r="BC321" s="54" t="s">
        <v>27</v>
      </c>
      <c r="BD321" s="54" t="str">
        <f t="shared" si="1"/>
        <v>Camaná</v>
      </c>
      <c r="BE321" s="67" t="s">
        <v>140</v>
      </c>
      <c r="BF321" s="67" t="s">
        <v>144</v>
      </c>
      <c r="BG321" s="67" t="s">
        <v>142</v>
      </c>
      <c r="BH321" s="67"/>
      <c r="BI321" s="67"/>
      <c r="BJ321" s="67"/>
      <c r="BK321" s="67"/>
      <c r="BL321" s="67" t="s">
        <v>147</v>
      </c>
      <c r="BM321" s="67" t="s">
        <v>146</v>
      </c>
      <c r="BN321" s="100">
        <v>69.0</v>
      </c>
      <c r="BO321" s="102" t="s">
        <v>148</v>
      </c>
      <c r="BP321" s="67" t="s">
        <v>141</v>
      </c>
      <c r="BQ321" s="79" t="s">
        <v>141</v>
      </c>
      <c r="BR321" s="67" t="s">
        <v>149</v>
      </c>
      <c r="BS321" s="102" t="s">
        <v>149</v>
      </c>
      <c r="BT321" s="106"/>
      <c r="BU321" s="107"/>
      <c r="BV321" s="108">
        <f t="shared" si="2"/>
        <v>46209</v>
      </c>
      <c r="BW321" s="108" t="str">
        <f t="shared" si="16"/>
        <v/>
      </c>
      <c r="BX321" s="102" t="str">
        <f t="shared" si="15"/>
        <v/>
      </c>
      <c r="BY321" s="107">
        <f t="shared" si="5"/>
        <v>0</v>
      </c>
      <c r="BZ321" s="107">
        <f t="array" ref="BZ321">IF($A321&lt;&gt;"",INDEX(LISTA!$M$2:$N$27,MATCH($BC321,LISTA!$N$2:$N$27,0),1),"")</f>
        <v>7</v>
      </c>
      <c r="CA321" s="67">
        <f t="shared" si="6"/>
        <v>7</v>
      </c>
      <c r="CB321" s="114" t="str">
        <f t="shared" si="7"/>
        <v/>
      </c>
      <c r="CC321" s="114"/>
    </row>
    <row r="322" ht="15.0" hidden="1" customHeight="1" outlineLevel="1">
      <c r="A322" s="59">
        <v>46210.470722199076</v>
      </c>
      <c r="B322" s="115" t="s">
        <v>361</v>
      </c>
      <c r="C322" s="54" t="s">
        <v>100</v>
      </c>
      <c r="D322" s="56" t="s">
        <v>101</v>
      </c>
      <c r="E322" s="69"/>
      <c r="F322" s="73" t="s">
        <v>4441</v>
      </c>
      <c r="G322" s="60"/>
      <c r="H322" s="60"/>
      <c r="I322" s="67" t="s">
        <v>360</v>
      </c>
      <c r="J322" s="79" t="s">
        <v>4442</v>
      </c>
      <c r="K322" s="67" t="s">
        <v>109</v>
      </c>
      <c r="L322" s="79" t="s">
        <v>4443</v>
      </c>
      <c r="M322" s="83" t="s">
        <v>4444</v>
      </c>
      <c r="N322" s="78">
        <v>25610.0</v>
      </c>
      <c r="O322" s="80" t="s">
        <v>37</v>
      </c>
      <c r="P322" s="70">
        <v>150101.0</v>
      </c>
      <c r="Q322" s="54"/>
      <c r="R322" s="84"/>
      <c r="S322" s="84"/>
      <c r="T322" s="54"/>
      <c r="U322" s="86"/>
      <c r="V322" s="54"/>
      <c r="W322" s="86"/>
      <c r="X322" s="54"/>
      <c r="Y322" s="78"/>
      <c r="Z322" s="54"/>
      <c r="AA322" s="70"/>
      <c r="AB322" s="83"/>
      <c r="AC322" s="83"/>
      <c r="AD322" s="83"/>
      <c r="AE322" s="83"/>
      <c r="AF322" s="83" t="s">
        <v>577</v>
      </c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54" t="s">
        <v>3256</v>
      </c>
      <c r="AR322" s="83" t="s">
        <v>4445</v>
      </c>
      <c r="AS322" s="83" t="s">
        <v>4446</v>
      </c>
      <c r="AT322" s="93" t="s">
        <v>4442</v>
      </c>
      <c r="AU322" s="93" t="s">
        <v>4442</v>
      </c>
      <c r="AV322" s="93" t="s">
        <v>4442</v>
      </c>
      <c r="AW322" s="83" t="s">
        <v>4447</v>
      </c>
      <c r="AX322" s="83">
        <v>1.0</v>
      </c>
      <c r="AY322" s="83">
        <v>0.0</v>
      </c>
      <c r="AZ322" s="83" t="s">
        <v>4448</v>
      </c>
      <c r="BA322" s="83" t="s">
        <v>4449</v>
      </c>
      <c r="BB322" s="83" t="s">
        <v>4450</v>
      </c>
      <c r="BC322" s="54" t="s">
        <v>41</v>
      </c>
      <c r="BD322" s="54" t="str">
        <f t="shared" si="1"/>
        <v>Rimac</v>
      </c>
      <c r="BE322" s="67" t="s">
        <v>140</v>
      </c>
      <c r="BF322" s="67" t="s">
        <v>141</v>
      </c>
      <c r="BG322" s="67" t="s">
        <v>142</v>
      </c>
      <c r="BH322" s="67"/>
      <c r="BI322" s="67"/>
      <c r="BJ322" s="67"/>
      <c r="BK322" s="67"/>
      <c r="BL322" s="67" t="s">
        <v>145</v>
      </c>
      <c r="BM322" s="67" t="s">
        <v>146</v>
      </c>
      <c r="BN322" s="100">
        <v>170.0</v>
      </c>
      <c r="BO322" s="102" t="s">
        <v>148</v>
      </c>
      <c r="BP322" s="67" t="s">
        <v>141</v>
      </c>
      <c r="BQ322" s="79" t="s">
        <v>141</v>
      </c>
      <c r="BR322" s="67">
        <v>2.0</v>
      </c>
      <c r="BS322" s="102" t="s">
        <v>149</v>
      </c>
      <c r="BT322" s="106"/>
      <c r="BU322" s="107"/>
      <c r="BV322" s="108">
        <f t="shared" si="2"/>
        <v>46210</v>
      </c>
      <c r="BW322" s="108" t="str">
        <f t="shared" si="16"/>
        <v/>
      </c>
      <c r="BX322" s="102" t="str">
        <f t="shared" si="15"/>
        <v/>
      </c>
      <c r="BY322" s="107">
        <f t="shared" si="5"/>
        <v>0</v>
      </c>
      <c r="BZ322" s="107">
        <f t="array" ref="BZ322">IF($A322&lt;&gt;"",INDEX(LISTA!$M$2:$N$27,MATCH($BC322,LISTA!$N$2:$N$27,0),1),"")</f>
        <v>1</v>
      </c>
      <c r="CA322" s="67">
        <f t="shared" si="6"/>
        <v>7</v>
      </c>
      <c r="CB322" s="114" t="str">
        <f t="shared" si="7"/>
        <v/>
      </c>
      <c r="CC322" s="114"/>
    </row>
    <row r="323" ht="15.0" hidden="1" customHeight="1" outlineLevel="1">
      <c r="A323" s="59">
        <v>46213.59393912037</v>
      </c>
      <c r="B323" s="115" t="s">
        <v>361</v>
      </c>
      <c r="C323" s="54" t="s">
        <v>100</v>
      </c>
      <c r="D323" s="56" t="s">
        <v>101</v>
      </c>
      <c r="E323" s="69"/>
      <c r="F323" s="73" t="s">
        <v>4451</v>
      </c>
      <c r="G323" s="60"/>
      <c r="H323" s="60"/>
      <c r="I323" s="67" t="s">
        <v>360</v>
      </c>
      <c r="J323" s="79" t="s">
        <v>4452</v>
      </c>
      <c r="K323" s="67" t="s">
        <v>109</v>
      </c>
      <c r="L323" s="79" t="s">
        <v>4453</v>
      </c>
      <c r="M323" s="83" t="s">
        <v>4454</v>
      </c>
      <c r="N323" s="78">
        <v>27046.0</v>
      </c>
      <c r="O323" s="80" t="s">
        <v>39</v>
      </c>
      <c r="P323" s="70">
        <v>130101.0</v>
      </c>
      <c r="Q323" s="54"/>
      <c r="R323" s="84"/>
      <c r="S323" s="84"/>
      <c r="T323" s="54"/>
      <c r="U323" s="86"/>
      <c r="V323" s="54"/>
      <c r="W323" s="86"/>
      <c r="X323" s="54"/>
      <c r="Y323" s="78"/>
      <c r="Z323" s="54"/>
      <c r="AA323" s="70"/>
      <c r="AB323" s="83"/>
      <c r="AC323" s="83" t="s">
        <v>1690</v>
      </c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54" t="s">
        <v>4455</v>
      </c>
      <c r="AR323" s="83" t="s">
        <v>4456</v>
      </c>
      <c r="AS323" s="83" t="s">
        <v>4457</v>
      </c>
      <c r="AT323" s="93" t="s">
        <v>4452</v>
      </c>
      <c r="AU323" s="93" t="s">
        <v>4452</v>
      </c>
      <c r="AV323" s="93" t="s">
        <v>4452</v>
      </c>
      <c r="AW323" s="83" t="s">
        <v>4458</v>
      </c>
      <c r="AX323" s="83">
        <v>1.0</v>
      </c>
      <c r="AY323" s="83" t="s">
        <v>1345</v>
      </c>
      <c r="AZ323" s="83" t="s">
        <v>4459</v>
      </c>
      <c r="BA323" s="83" t="s">
        <v>4460</v>
      </c>
      <c r="BB323" s="83" t="s">
        <v>4461</v>
      </c>
      <c r="BC323" s="54" t="s">
        <v>39</v>
      </c>
      <c r="BD323" s="54" t="str">
        <f t="shared" si="1"/>
        <v>Trujillo</v>
      </c>
      <c r="BE323" s="67" t="s">
        <v>140</v>
      </c>
      <c r="BF323" s="67" t="s">
        <v>141</v>
      </c>
      <c r="BG323" s="67" t="s">
        <v>142</v>
      </c>
      <c r="BH323" s="67"/>
      <c r="BI323" s="67"/>
      <c r="BJ323" s="67"/>
      <c r="BK323" s="67"/>
      <c r="BL323" s="67" t="s">
        <v>145</v>
      </c>
      <c r="BM323" s="67" t="s">
        <v>146</v>
      </c>
      <c r="BN323" s="100">
        <v>150.0</v>
      </c>
      <c r="BO323" s="102" t="s">
        <v>615</v>
      </c>
      <c r="BP323" s="67" t="s">
        <v>141</v>
      </c>
      <c r="BQ323" s="79" t="s">
        <v>141</v>
      </c>
      <c r="BR323" s="67">
        <v>2.0</v>
      </c>
      <c r="BS323" s="102" t="s">
        <v>149</v>
      </c>
      <c r="BT323" s="106"/>
      <c r="BU323" s="107"/>
      <c r="BV323" s="108">
        <f t="shared" si="2"/>
        <v>46213</v>
      </c>
      <c r="BW323" s="108" t="str">
        <f t="shared" si="16"/>
        <v/>
      </c>
      <c r="BX323" s="102" t="str">
        <f t="shared" si="15"/>
        <v/>
      </c>
      <c r="BY323" s="107">
        <f t="shared" si="5"/>
        <v>0</v>
      </c>
      <c r="BZ323" s="107">
        <f t="array" ref="BZ323">IF($A323&lt;&gt;"",INDEX(LISTA!$M$2:$N$27,MATCH($BC323,LISTA!$N$2:$N$27,0),1),"")</f>
        <v>15</v>
      </c>
      <c r="CA323" s="67">
        <f t="shared" si="6"/>
        <v>7</v>
      </c>
      <c r="CB323" s="114" t="str">
        <f t="shared" si="7"/>
        <v/>
      </c>
      <c r="CC323" s="114"/>
    </row>
    <row r="324" ht="15.0" hidden="1" customHeight="1" outlineLevel="1">
      <c r="A324" s="59">
        <v>46209.47845123842</v>
      </c>
      <c r="B324" s="115" t="s">
        <v>358</v>
      </c>
      <c r="C324" s="54" t="s">
        <v>100</v>
      </c>
      <c r="D324" s="56" t="s">
        <v>101</v>
      </c>
      <c r="E324" s="69"/>
      <c r="F324" s="73" t="s">
        <v>4462</v>
      </c>
      <c r="G324" s="60"/>
      <c r="H324" s="60"/>
      <c r="I324" s="67" t="s">
        <v>293</v>
      </c>
      <c r="J324" s="79" t="s">
        <v>4463</v>
      </c>
      <c r="K324" s="67" t="s">
        <v>1151</v>
      </c>
      <c r="L324" s="79" t="s">
        <v>4464</v>
      </c>
      <c r="M324" s="83" t="s">
        <v>4465</v>
      </c>
      <c r="N324" s="78">
        <v>29329.0</v>
      </c>
      <c r="O324" s="80" t="s">
        <v>27</v>
      </c>
      <c r="P324" s="156" t="s">
        <v>4466</v>
      </c>
      <c r="Q324" s="54"/>
      <c r="R324" s="84"/>
      <c r="S324" s="84"/>
      <c r="T324" s="54" t="s">
        <v>122</v>
      </c>
      <c r="U324" s="86"/>
      <c r="V324" s="54"/>
      <c r="W324" s="86"/>
      <c r="X324" s="54"/>
      <c r="Y324" s="78"/>
      <c r="Z324" s="54"/>
      <c r="AA324" s="70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54" t="s">
        <v>4467</v>
      </c>
      <c r="AR324" s="83" t="s">
        <v>4468</v>
      </c>
      <c r="AS324" s="83" t="s">
        <v>4469</v>
      </c>
      <c r="AT324" s="93" t="s">
        <v>4470</v>
      </c>
      <c r="AU324" s="93" t="s">
        <v>4471</v>
      </c>
      <c r="AV324" s="93" t="s">
        <v>4463</v>
      </c>
      <c r="AW324" s="83" t="s">
        <v>4472</v>
      </c>
      <c r="AX324" s="83">
        <v>1.0</v>
      </c>
      <c r="AY324" s="83" t="s">
        <v>2519</v>
      </c>
      <c r="AZ324" s="83" t="s">
        <v>4473</v>
      </c>
      <c r="BA324" s="83" t="s">
        <v>4474</v>
      </c>
      <c r="BB324" s="83" t="s">
        <v>4475</v>
      </c>
      <c r="BC324" s="54" t="s">
        <v>27</v>
      </c>
      <c r="BD324" s="54" t="str">
        <f t="shared" si="1"/>
        <v>Arequipa</v>
      </c>
      <c r="BE324" s="67" t="s">
        <v>140</v>
      </c>
      <c r="BF324" s="67" t="s">
        <v>141</v>
      </c>
      <c r="BG324" s="67" t="s">
        <v>142</v>
      </c>
      <c r="BH324" s="67"/>
      <c r="BI324" s="67"/>
      <c r="BJ324" s="67"/>
      <c r="BK324" s="67"/>
      <c r="BL324" s="67" t="s">
        <v>147</v>
      </c>
      <c r="BM324" s="67" t="s">
        <v>146</v>
      </c>
      <c r="BN324" s="100">
        <v>89.0</v>
      </c>
      <c r="BO324" s="102" t="s">
        <v>148</v>
      </c>
      <c r="BP324" s="67" t="s">
        <v>141</v>
      </c>
      <c r="BQ324" s="79" t="s">
        <v>141</v>
      </c>
      <c r="BR324" s="67" t="s">
        <v>149</v>
      </c>
      <c r="BS324" s="102">
        <v>1.0</v>
      </c>
      <c r="BT324" s="106"/>
      <c r="BU324" s="107"/>
      <c r="BV324" s="108">
        <f t="shared" si="2"/>
        <v>46209</v>
      </c>
      <c r="BW324" s="108" t="str">
        <f t="shared" si="16"/>
        <v/>
      </c>
      <c r="BX324" s="102" t="str">
        <f t="shared" si="15"/>
        <v/>
      </c>
      <c r="BY324" s="107">
        <f t="shared" si="5"/>
        <v>0</v>
      </c>
      <c r="BZ324" s="107">
        <f t="array" ref="BZ324">IF($A324&lt;&gt;"",INDEX(LISTA!$M$2:$N$27,MATCH($BC324,LISTA!$N$2:$N$27,0),1),"")</f>
        <v>7</v>
      </c>
      <c r="CA324" s="67">
        <f t="shared" si="6"/>
        <v>7</v>
      </c>
      <c r="CB324" s="114" t="str">
        <f t="shared" si="7"/>
        <v/>
      </c>
      <c r="CC324" s="114"/>
    </row>
    <row r="325" ht="15.0" hidden="1" customHeight="1" outlineLevel="1">
      <c r="A325" s="59">
        <v>46210.44511670139</v>
      </c>
      <c r="B325" s="115" t="s">
        <v>358</v>
      </c>
      <c r="C325" s="54" t="s">
        <v>100</v>
      </c>
      <c r="D325" s="56" t="s">
        <v>101</v>
      </c>
      <c r="E325" s="69"/>
      <c r="F325" s="73" t="s">
        <v>4476</v>
      </c>
      <c r="G325" s="60"/>
      <c r="H325" s="60"/>
      <c r="I325" s="67" t="s">
        <v>363</v>
      </c>
      <c r="J325" s="79" t="s">
        <v>4477</v>
      </c>
      <c r="K325" s="67" t="s">
        <v>109</v>
      </c>
      <c r="L325" s="79" t="s">
        <v>4478</v>
      </c>
      <c r="M325" s="83" t="s">
        <v>4479</v>
      </c>
      <c r="N325" s="78">
        <v>32818.0</v>
      </c>
      <c r="O325" s="80" t="s">
        <v>36</v>
      </c>
      <c r="P325" s="70">
        <v>120303.0</v>
      </c>
      <c r="Q325" s="54"/>
      <c r="R325" s="84"/>
      <c r="S325" s="84"/>
      <c r="T325" s="54"/>
      <c r="U325" s="86"/>
      <c r="V325" s="54"/>
      <c r="W325" s="86"/>
      <c r="X325" s="54"/>
      <c r="Y325" s="78"/>
      <c r="Z325" s="54"/>
      <c r="AA325" s="70"/>
      <c r="AB325" s="83"/>
      <c r="AC325" s="83"/>
      <c r="AD325" s="83"/>
      <c r="AE325" s="83"/>
      <c r="AF325" s="83" t="s">
        <v>577</v>
      </c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54" t="s">
        <v>1484</v>
      </c>
      <c r="AR325" s="83" t="s">
        <v>581</v>
      </c>
      <c r="AS325" s="83" t="s">
        <v>4480</v>
      </c>
      <c r="AT325" s="93" t="s">
        <v>4477</v>
      </c>
      <c r="AU325" s="93" t="s">
        <v>4477</v>
      </c>
      <c r="AV325" s="93" t="s">
        <v>4477</v>
      </c>
      <c r="AW325" s="83" t="s">
        <v>4481</v>
      </c>
      <c r="AX325" s="83">
        <v>4.0</v>
      </c>
      <c r="AY325" s="83">
        <v>1.0</v>
      </c>
      <c r="AZ325" s="83" t="s">
        <v>4482</v>
      </c>
      <c r="BA325" s="83" t="s">
        <v>4483</v>
      </c>
      <c r="BB325" s="83" t="s">
        <v>4484</v>
      </c>
      <c r="BC325" s="54" t="s">
        <v>41</v>
      </c>
      <c r="BD325" s="54" t="str">
        <f t="shared" si="1"/>
        <v>Rimac</v>
      </c>
      <c r="BE325" s="67" t="s">
        <v>140</v>
      </c>
      <c r="BF325" s="67" t="s">
        <v>144</v>
      </c>
      <c r="BG325" s="67" t="s">
        <v>142</v>
      </c>
      <c r="BH325" s="67"/>
      <c r="BI325" s="67"/>
      <c r="BJ325" s="67"/>
      <c r="BK325" s="67"/>
      <c r="BL325" s="67" t="s">
        <v>147</v>
      </c>
      <c r="BM325" s="67" t="s">
        <v>146</v>
      </c>
      <c r="BN325" s="100">
        <v>110.0</v>
      </c>
      <c r="BO325" s="102" t="s">
        <v>148</v>
      </c>
      <c r="BP325" s="67" t="s">
        <v>144</v>
      </c>
      <c r="BQ325" s="79" t="s">
        <v>141</v>
      </c>
      <c r="BR325" s="67" t="s">
        <v>149</v>
      </c>
      <c r="BS325" s="102">
        <v>1.0</v>
      </c>
      <c r="BT325" s="106"/>
      <c r="BU325" s="107"/>
      <c r="BV325" s="108">
        <f t="shared" si="2"/>
        <v>46210</v>
      </c>
      <c r="BW325" s="108" t="str">
        <f t="shared" si="16"/>
        <v/>
      </c>
      <c r="BX325" s="102" t="str">
        <f t="shared" si="15"/>
        <v/>
      </c>
      <c r="BY325" s="107">
        <f t="shared" si="5"/>
        <v>0</v>
      </c>
      <c r="BZ325" s="107">
        <f t="array" ref="BZ325">IF($A325&lt;&gt;"",INDEX(LISTA!$M$2:$N$27,MATCH($BC325,LISTA!$N$2:$N$27,0),1),"")</f>
        <v>1</v>
      </c>
      <c r="CA325" s="67">
        <f t="shared" si="6"/>
        <v>7</v>
      </c>
      <c r="CB325" s="114" t="str">
        <f t="shared" si="7"/>
        <v/>
      </c>
      <c r="CC325" s="114"/>
    </row>
    <row r="326" ht="15.0" hidden="1" customHeight="1" outlineLevel="1">
      <c r="A326" s="59">
        <v>46204.68065026621</v>
      </c>
      <c r="B326" s="115" t="s">
        <v>351</v>
      </c>
      <c r="C326" s="54" t="s">
        <v>100</v>
      </c>
      <c r="D326" s="56" t="s">
        <v>101</v>
      </c>
      <c r="E326" s="69"/>
      <c r="F326" s="73" t="s">
        <v>4485</v>
      </c>
      <c r="G326" s="60"/>
      <c r="H326" s="60"/>
      <c r="I326" s="67" t="s">
        <v>355</v>
      </c>
      <c r="J326" s="79" t="s">
        <v>4486</v>
      </c>
      <c r="K326" s="67" t="s">
        <v>109</v>
      </c>
      <c r="L326" s="79" t="s">
        <v>4487</v>
      </c>
      <c r="M326" s="83" t="s">
        <v>4488</v>
      </c>
      <c r="N326" s="78">
        <v>35283.0</v>
      </c>
      <c r="O326" s="80" t="s">
        <v>30</v>
      </c>
      <c r="P326" s="156" t="s">
        <v>3509</v>
      </c>
      <c r="Q326" s="54"/>
      <c r="R326" s="84"/>
      <c r="S326" s="84"/>
      <c r="T326" s="54"/>
      <c r="U326" s="86"/>
      <c r="V326" s="54"/>
      <c r="W326" s="86" t="s">
        <v>4269</v>
      </c>
      <c r="X326" s="54"/>
      <c r="Y326" s="78"/>
      <c r="Z326" s="54"/>
      <c r="AA326" s="70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54" t="s">
        <v>127</v>
      </c>
      <c r="AR326" s="83" t="s">
        <v>1654</v>
      </c>
      <c r="AS326" s="83" t="s">
        <v>4489</v>
      </c>
      <c r="AT326" s="93" t="s">
        <v>4486</v>
      </c>
      <c r="AU326" s="93" t="s">
        <v>4486</v>
      </c>
      <c r="AV326" s="93" t="s">
        <v>4486</v>
      </c>
      <c r="AW326" s="83" t="s">
        <v>4490</v>
      </c>
      <c r="AX326" s="83">
        <v>2.0</v>
      </c>
      <c r="AY326" s="83" t="s">
        <v>174</v>
      </c>
      <c r="AZ326" s="83" t="s">
        <v>4491</v>
      </c>
      <c r="BA326" s="83" t="s">
        <v>4492</v>
      </c>
      <c r="BB326" s="83" t="s">
        <v>4493</v>
      </c>
      <c r="BC326" s="54" t="s">
        <v>30</v>
      </c>
      <c r="BD326" s="54" t="str">
        <f t="shared" si="1"/>
        <v>Ventanilla</v>
      </c>
      <c r="BE326" s="67" t="s">
        <v>140</v>
      </c>
      <c r="BF326" s="67" t="s">
        <v>141</v>
      </c>
      <c r="BG326" s="67" t="s">
        <v>142</v>
      </c>
      <c r="BH326" s="67"/>
      <c r="BI326" s="67"/>
      <c r="BJ326" s="67"/>
      <c r="BK326" s="67"/>
      <c r="BL326" s="67" t="s">
        <v>213</v>
      </c>
      <c r="BM326" s="67" t="s">
        <v>146</v>
      </c>
      <c r="BN326" s="100">
        <v>110.0</v>
      </c>
      <c r="BO326" s="102" t="s">
        <v>182</v>
      </c>
      <c r="BP326" s="67" t="s">
        <v>144</v>
      </c>
      <c r="BQ326" s="79" t="s">
        <v>141</v>
      </c>
      <c r="BR326" s="67" t="s">
        <v>149</v>
      </c>
      <c r="BS326" s="102" t="s">
        <v>149</v>
      </c>
      <c r="BT326" s="106"/>
      <c r="BU326" s="107"/>
      <c r="BV326" s="108">
        <f t="shared" si="2"/>
        <v>46204</v>
      </c>
      <c r="BW326" s="108" t="str">
        <f t="shared" si="16"/>
        <v/>
      </c>
      <c r="BX326" s="102" t="str">
        <f t="shared" si="15"/>
        <v/>
      </c>
      <c r="BY326" s="107">
        <f t="shared" si="5"/>
        <v>0</v>
      </c>
      <c r="BZ326" s="107">
        <f t="array" ref="BZ326">IF($A326&lt;&gt;"",INDEX(LISTA!$M$2:$N$27,MATCH($BC326,LISTA!$N$2:$N$27,0),1),"")</f>
        <v>2</v>
      </c>
      <c r="CA326" s="67">
        <f t="shared" si="6"/>
        <v>7</v>
      </c>
      <c r="CB326" s="114" t="str">
        <f t="shared" si="7"/>
        <v/>
      </c>
      <c r="CC326" s="114"/>
    </row>
    <row r="327" ht="15.0" hidden="1" customHeight="1" outlineLevel="1">
      <c r="A327" s="59">
        <v>46209.42326439815</v>
      </c>
      <c r="B327" s="115" t="s">
        <v>353</v>
      </c>
      <c r="C327" s="54" t="s">
        <v>100</v>
      </c>
      <c r="D327" s="56" t="s">
        <v>101</v>
      </c>
      <c r="E327" s="69"/>
      <c r="F327" s="73" t="s">
        <v>4494</v>
      </c>
      <c r="G327" s="60"/>
      <c r="H327" s="60"/>
      <c r="I327" s="67" t="s">
        <v>350</v>
      </c>
      <c r="J327" s="79" t="s">
        <v>4495</v>
      </c>
      <c r="K327" s="67" t="s">
        <v>109</v>
      </c>
      <c r="L327" s="79" t="s">
        <v>4496</v>
      </c>
      <c r="M327" s="83" t="s">
        <v>4497</v>
      </c>
      <c r="N327" s="78">
        <v>31643.0</v>
      </c>
      <c r="O327" s="80" t="s">
        <v>27</v>
      </c>
      <c r="P327" s="156" t="s">
        <v>1703</v>
      </c>
      <c r="Q327" s="54"/>
      <c r="R327" s="84"/>
      <c r="S327" s="84"/>
      <c r="T327" s="54" t="s">
        <v>122</v>
      </c>
      <c r="U327" s="86"/>
      <c r="V327" s="54"/>
      <c r="W327" s="86"/>
      <c r="X327" s="54"/>
      <c r="Y327" s="78"/>
      <c r="Z327" s="54"/>
      <c r="AA327" s="70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54" t="s">
        <v>3102</v>
      </c>
      <c r="AR327" s="83" t="s">
        <v>4498</v>
      </c>
      <c r="AS327" s="83" t="s">
        <v>4499</v>
      </c>
      <c r="AT327" s="93" t="s">
        <v>4495</v>
      </c>
      <c r="AU327" s="93" t="s">
        <v>4495</v>
      </c>
      <c r="AV327" s="93" t="s">
        <v>4495</v>
      </c>
      <c r="AW327" s="83" t="s">
        <v>4500</v>
      </c>
      <c r="AX327" s="83">
        <v>1.0</v>
      </c>
      <c r="AY327" s="83">
        <v>0.0</v>
      </c>
      <c r="AZ327" s="83" t="s">
        <v>4501</v>
      </c>
      <c r="BA327" s="83" t="s">
        <v>4502</v>
      </c>
      <c r="BB327" s="83" t="s">
        <v>4503</v>
      </c>
      <c r="BC327" s="54" t="s">
        <v>27</v>
      </c>
      <c r="BD327" s="54" t="str">
        <f t="shared" si="1"/>
        <v>Arequipa</v>
      </c>
      <c r="BE327" s="67" t="s">
        <v>140</v>
      </c>
      <c r="BF327" s="67" t="s">
        <v>144</v>
      </c>
      <c r="BG327" s="67" t="s">
        <v>142</v>
      </c>
      <c r="BH327" s="67"/>
      <c r="BI327" s="67"/>
      <c r="BJ327" s="67"/>
      <c r="BK327" s="67"/>
      <c r="BL327" s="67" t="s">
        <v>147</v>
      </c>
      <c r="BM327" s="67" t="s">
        <v>247</v>
      </c>
      <c r="BN327" s="100">
        <v>89.0</v>
      </c>
      <c r="BO327" s="102" t="s">
        <v>148</v>
      </c>
      <c r="BP327" s="67" t="s">
        <v>141</v>
      </c>
      <c r="BQ327" s="79" t="s">
        <v>141</v>
      </c>
      <c r="BR327" s="67" t="s">
        <v>149</v>
      </c>
      <c r="BS327" s="102">
        <v>1.0</v>
      </c>
      <c r="BT327" s="106"/>
      <c r="BU327" s="107"/>
      <c r="BV327" s="108">
        <f t="shared" si="2"/>
        <v>46209</v>
      </c>
      <c r="BW327" s="108" t="str">
        <f t="shared" si="16"/>
        <v/>
      </c>
      <c r="BX327" s="102" t="str">
        <f t="shared" si="15"/>
        <v/>
      </c>
      <c r="BY327" s="107">
        <f t="shared" si="5"/>
        <v>0</v>
      </c>
      <c r="BZ327" s="107">
        <f t="array" ref="BZ327">IF($A327&lt;&gt;"",INDEX(LISTA!$M$2:$N$27,MATCH($BC327,LISTA!$N$2:$N$27,0),1),"")</f>
        <v>7</v>
      </c>
      <c r="CA327" s="67">
        <f t="shared" si="6"/>
        <v>7</v>
      </c>
      <c r="CB327" s="114" t="str">
        <f t="shared" si="7"/>
        <v/>
      </c>
      <c r="CC327" s="114"/>
    </row>
    <row r="328" ht="15.0" hidden="1" customHeight="1" outlineLevel="1">
      <c r="A328" s="59">
        <v>46210.614291736114</v>
      </c>
      <c r="B328" s="115" t="s">
        <v>353</v>
      </c>
      <c r="C328" s="54" t="s">
        <v>100</v>
      </c>
      <c r="D328" s="56" t="s">
        <v>101</v>
      </c>
      <c r="E328" s="69"/>
      <c r="F328" s="73" t="s">
        <v>4504</v>
      </c>
      <c r="G328" s="60"/>
      <c r="H328" s="60"/>
      <c r="I328" s="67" t="s">
        <v>363</v>
      </c>
      <c r="J328" s="79" t="s">
        <v>4505</v>
      </c>
      <c r="K328" s="67" t="s">
        <v>109</v>
      </c>
      <c r="L328" s="79" t="s">
        <v>4506</v>
      </c>
      <c r="M328" s="83" t="s">
        <v>4507</v>
      </c>
      <c r="N328" s="78">
        <v>29406.0</v>
      </c>
      <c r="O328" s="80" t="s">
        <v>46</v>
      </c>
      <c r="P328" s="70">
        <v>200000.0</v>
      </c>
      <c r="Q328" s="54"/>
      <c r="R328" s="84"/>
      <c r="S328" s="84"/>
      <c r="T328" s="54"/>
      <c r="U328" s="86"/>
      <c r="V328" s="54"/>
      <c r="W328" s="86"/>
      <c r="X328" s="54"/>
      <c r="Y328" s="78"/>
      <c r="Z328" s="54"/>
      <c r="AA328" s="70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 t="s">
        <v>199</v>
      </c>
      <c r="AL328" s="83"/>
      <c r="AM328" s="83"/>
      <c r="AN328" s="83"/>
      <c r="AO328" s="83"/>
      <c r="AP328" s="83"/>
      <c r="AQ328" s="54" t="s">
        <v>4508</v>
      </c>
      <c r="AR328" s="83" t="s">
        <v>4509</v>
      </c>
      <c r="AS328" s="83" t="s">
        <v>4510</v>
      </c>
      <c r="AT328" s="93" t="s">
        <v>4505</v>
      </c>
      <c r="AU328" s="93" t="s">
        <v>4505</v>
      </c>
      <c r="AV328" s="93" t="s">
        <v>4505</v>
      </c>
      <c r="AW328" s="83" t="s">
        <v>4511</v>
      </c>
      <c r="AX328" s="83">
        <v>3.0</v>
      </c>
      <c r="AY328" s="83">
        <v>1.0</v>
      </c>
      <c r="AZ328" s="83" t="s">
        <v>4512</v>
      </c>
      <c r="BA328" s="83" t="s">
        <v>4513</v>
      </c>
      <c r="BB328" s="83" t="s">
        <v>4514</v>
      </c>
      <c r="BC328" s="54" t="s">
        <v>46</v>
      </c>
      <c r="BD328" s="54" t="str">
        <f t="shared" si="1"/>
        <v>Piura</v>
      </c>
      <c r="BE328" s="67" t="s">
        <v>140</v>
      </c>
      <c r="BF328" s="67" t="s">
        <v>144</v>
      </c>
      <c r="BG328" s="67" t="s">
        <v>142</v>
      </c>
      <c r="BH328" s="67"/>
      <c r="BI328" s="67"/>
      <c r="BJ328" s="67"/>
      <c r="BK328" s="67"/>
      <c r="BL328" s="67" t="s">
        <v>147</v>
      </c>
      <c r="BM328" s="67" t="s">
        <v>146</v>
      </c>
      <c r="BN328" s="100">
        <v>69.0</v>
      </c>
      <c r="BO328" s="102" t="s">
        <v>615</v>
      </c>
      <c r="BP328" s="67" t="s">
        <v>141</v>
      </c>
      <c r="BQ328" s="79" t="s">
        <v>141</v>
      </c>
      <c r="BR328" s="67" t="s">
        <v>149</v>
      </c>
      <c r="BS328" s="102" t="s">
        <v>149</v>
      </c>
      <c r="BT328" s="106"/>
      <c r="BU328" s="107"/>
      <c r="BV328" s="108">
        <f t="shared" si="2"/>
        <v>46210</v>
      </c>
      <c r="BW328" s="108" t="str">
        <f t="shared" si="16"/>
        <v/>
      </c>
      <c r="BX328" s="102" t="str">
        <f t="shared" si="15"/>
        <v/>
      </c>
      <c r="BY328" s="107">
        <f t="shared" si="5"/>
        <v>0</v>
      </c>
      <c r="BZ328" s="107">
        <f t="array" ref="BZ328">IF($A328&lt;&gt;"",INDEX(LISTA!$M$2:$N$27,MATCH($BC328,LISTA!$N$2:$N$27,0),1),"")</f>
        <v>21</v>
      </c>
      <c r="CA328" s="67">
        <f t="shared" si="6"/>
        <v>7</v>
      </c>
      <c r="CB328" s="114" t="str">
        <f t="shared" si="7"/>
        <v/>
      </c>
      <c r="CC328" s="114"/>
    </row>
    <row r="329" ht="15.0" hidden="1" customHeight="1" outlineLevel="1">
      <c r="A329" s="59">
        <v>46204.36991454861</v>
      </c>
      <c r="B329" s="115" t="s">
        <v>349</v>
      </c>
      <c r="C329" s="54" t="s">
        <v>100</v>
      </c>
      <c r="D329" s="56"/>
      <c r="E329" s="69"/>
      <c r="F329" s="73" t="s">
        <v>1922</v>
      </c>
      <c r="G329" s="60"/>
      <c r="H329" s="60"/>
      <c r="I329" s="67" t="s">
        <v>287</v>
      </c>
      <c r="J329" s="79" t="s">
        <v>1923</v>
      </c>
      <c r="K329" s="67" t="s">
        <v>109</v>
      </c>
      <c r="L329" s="79" t="s">
        <v>1924</v>
      </c>
      <c r="M329" s="83" t="s">
        <v>1925</v>
      </c>
      <c r="N329" s="78">
        <v>31702.0</v>
      </c>
      <c r="O329" s="80" t="s">
        <v>31</v>
      </c>
      <c r="P329" s="70" t="s">
        <v>715</v>
      </c>
      <c r="Q329" s="54"/>
      <c r="R329" s="84"/>
      <c r="S329" s="84"/>
      <c r="T329" s="54"/>
      <c r="U329" s="86"/>
      <c r="V329" s="54"/>
      <c r="W329" s="86"/>
      <c r="X329" s="54"/>
      <c r="Y329" s="78"/>
      <c r="Z329" s="54"/>
      <c r="AA329" s="70"/>
      <c r="AB329" s="83"/>
      <c r="AC329" s="83"/>
      <c r="AD329" s="83"/>
      <c r="AE329" s="83"/>
      <c r="AF329" s="83" t="s">
        <v>577</v>
      </c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54" t="s">
        <v>1939</v>
      </c>
      <c r="AR329" s="83" t="s">
        <v>1940</v>
      </c>
      <c r="AS329" s="83" t="s">
        <v>1941</v>
      </c>
      <c r="AT329" s="93" t="s">
        <v>1923</v>
      </c>
      <c r="AU329" s="93" t="s">
        <v>1923</v>
      </c>
      <c r="AV329" s="93" t="s">
        <v>1923</v>
      </c>
      <c r="AW329" s="83" t="s">
        <v>1942</v>
      </c>
      <c r="AX329" s="83">
        <v>3.0</v>
      </c>
      <c r="AY329" s="83" t="s">
        <v>238</v>
      </c>
      <c r="AZ329" s="83" t="s">
        <v>1948</v>
      </c>
      <c r="BA329" s="83" t="s">
        <v>1952</v>
      </c>
      <c r="BB329" s="83" t="s">
        <v>1953</v>
      </c>
      <c r="BC329" s="54" t="s">
        <v>41</v>
      </c>
      <c r="BD329" s="54" t="str">
        <f t="shared" si="1"/>
        <v>Rimac</v>
      </c>
      <c r="BE329" s="67" t="s">
        <v>140</v>
      </c>
      <c r="BF329" s="67" t="s">
        <v>144</v>
      </c>
      <c r="BG329" s="67" t="s">
        <v>142</v>
      </c>
      <c r="BH329" s="67"/>
      <c r="BI329" s="67"/>
      <c r="BJ329" s="67"/>
      <c r="BK329" s="67"/>
      <c r="BL329" s="67" t="s">
        <v>283</v>
      </c>
      <c r="BM329" s="67" t="s">
        <v>146</v>
      </c>
      <c r="BN329" s="100">
        <v>94.0</v>
      </c>
      <c r="BO329" s="102" t="s">
        <v>148</v>
      </c>
      <c r="BP329" s="67" t="s">
        <v>141</v>
      </c>
      <c r="BQ329" s="79" t="s">
        <v>144</v>
      </c>
      <c r="BR329" s="67" t="s">
        <v>149</v>
      </c>
      <c r="BS329" s="102">
        <v>1.0</v>
      </c>
      <c r="BT329" s="106"/>
      <c r="BU329" s="107"/>
      <c r="BV329" s="108">
        <f t="shared" si="2"/>
        <v>46204</v>
      </c>
      <c r="BW329" s="108" t="str">
        <f t="shared" si="16"/>
        <v/>
      </c>
      <c r="BX329" s="102" t="str">
        <f t="shared" si="15"/>
        <v/>
      </c>
      <c r="BY329" s="107">
        <f t="shared" si="5"/>
        <v>0</v>
      </c>
      <c r="BZ329" s="107">
        <f t="array" ref="BZ329">IF($A329&lt;&gt;"",INDEX(LISTA!$M$2:$N$27,MATCH($BC329,LISTA!$N$2:$N$27,0),1),"")</f>
        <v>1</v>
      </c>
      <c r="CA329" s="67">
        <f t="shared" si="6"/>
        <v>7</v>
      </c>
      <c r="CB329" s="114" t="str">
        <f t="shared" si="7"/>
        <v/>
      </c>
      <c r="CC329" s="114"/>
    </row>
    <row r="330" ht="15.0" hidden="1" customHeight="1" outlineLevel="1">
      <c r="A330" s="59">
        <v>46210.684209583334</v>
      </c>
      <c r="B330" s="115" t="s">
        <v>349</v>
      </c>
      <c r="C330" s="54" t="s">
        <v>100</v>
      </c>
      <c r="D330" s="56" t="s">
        <v>101</v>
      </c>
      <c r="E330" s="69"/>
      <c r="F330" s="73" t="s">
        <v>4515</v>
      </c>
      <c r="G330" s="60"/>
      <c r="H330" s="60"/>
      <c r="I330" s="67" t="s">
        <v>363</v>
      </c>
      <c r="J330" s="79" t="s">
        <v>2682</v>
      </c>
      <c r="K330" s="67" t="s">
        <v>109</v>
      </c>
      <c r="L330" s="79" t="s">
        <v>4516</v>
      </c>
      <c r="M330" s="83" t="s">
        <v>4517</v>
      </c>
      <c r="N330" s="78">
        <v>27276.0</v>
      </c>
      <c r="O330" s="80" t="s">
        <v>27</v>
      </c>
      <c r="P330" s="156" t="s">
        <v>2026</v>
      </c>
      <c r="Q330" s="54"/>
      <c r="R330" s="84"/>
      <c r="S330" s="84"/>
      <c r="T330" s="54" t="s">
        <v>122</v>
      </c>
      <c r="U330" s="86"/>
      <c r="V330" s="54"/>
      <c r="W330" s="86"/>
      <c r="X330" s="54"/>
      <c r="Y330" s="78"/>
      <c r="Z330" s="54"/>
      <c r="AA330" s="70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54" t="s">
        <v>874</v>
      </c>
      <c r="AR330" s="83" t="s">
        <v>4007</v>
      </c>
      <c r="AS330" s="83" t="s">
        <v>4518</v>
      </c>
      <c r="AT330" s="93" t="s">
        <v>2682</v>
      </c>
      <c r="AU330" s="93" t="s">
        <v>2682</v>
      </c>
      <c r="AV330" s="93" t="s">
        <v>2682</v>
      </c>
      <c r="AW330" s="83" t="s">
        <v>4519</v>
      </c>
      <c r="AX330" s="83">
        <v>3.0</v>
      </c>
      <c r="AY330" s="83">
        <v>0.0</v>
      </c>
      <c r="AZ330" s="83" t="s">
        <v>2689</v>
      </c>
      <c r="BA330" s="83" t="s">
        <v>4520</v>
      </c>
      <c r="BB330" s="83" t="s">
        <v>2691</v>
      </c>
      <c r="BC330" s="54" t="s">
        <v>27</v>
      </c>
      <c r="BD330" s="54" t="str">
        <f t="shared" si="1"/>
        <v>Arequipa</v>
      </c>
      <c r="BE330" s="67" t="s">
        <v>140</v>
      </c>
      <c r="BF330" s="67" t="s">
        <v>144</v>
      </c>
      <c r="BG330" s="67" t="s">
        <v>142</v>
      </c>
      <c r="BH330" s="67"/>
      <c r="BI330" s="67"/>
      <c r="BJ330" s="67"/>
      <c r="BK330" s="67"/>
      <c r="BL330" s="67" t="s">
        <v>147</v>
      </c>
      <c r="BM330" s="67" t="s">
        <v>146</v>
      </c>
      <c r="BN330" s="100">
        <v>94.0</v>
      </c>
      <c r="BO330" s="102" t="s">
        <v>148</v>
      </c>
      <c r="BP330" s="67" t="s">
        <v>141</v>
      </c>
      <c r="BQ330" s="79" t="s">
        <v>144</v>
      </c>
      <c r="BR330" s="67" t="s">
        <v>149</v>
      </c>
      <c r="BS330" s="102" t="s">
        <v>149</v>
      </c>
      <c r="BT330" s="106"/>
      <c r="BU330" s="107"/>
      <c r="BV330" s="108">
        <f t="shared" si="2"/>
        <v>46210</v>
      </c>
      <c r="BW330" s="108" t="str">
        <f t="shared" si="16"/>
        <v/>
      </c>
      <c r="BX330" s="102" t="str">
        <f t="shared" si="15"/>
        <v/>
      </c>
      <c r="BY330" s="107">
        <f t="shared" si="5"/>
        <v>0</v>
      </c>
      <c r="BZ330" s="107">
        <f t="array" ref="BZ330">IF($A330&lt;&gt;"",INDEX(LISTA!$M$2:$N$27,MATCH($BC330,LISTA!$N$2:$N$27,0),1),"")</f>
        <v>7</v>
      </c>
      <c r="CA330" s="67">
        <f t="shared" si="6"/>
        <v>7</v>
      </c>
      <c r="CB330" s="114" t="str">
        <f t="shared" si="7"/>
        <v/>
      </c>
      <c r="CC330" s="114"/>
    </row>
    <row r="331" ht="15.0" hidden="1" customHeight="1" outlineLevel="1">
      <c r="A331" s="59">
        <v>46214.60130403935</v>
      </c>
      <c r="B331" s="115" t="s">
        <v>349</v>
      </c>
      <c r="C331" s="54" t="s">
        <v>100</v>
      </c>
      <c r="D331" s="56" t="s">
        <v>319</v>
      </c>
      <c r="E331" s="69"/>
      <c r="F331" s="73" t="s">
        <v>4521</v>
      </c>
      <c r="G331" s="60"/>
      <c r="H331" s="60"/>
      <c r="I331" s="67" t="s">
        <v>360</v>
      </c>
      <c r="J331" s="79" t="s">
        <v>4522</v>
      </c>
      <c r="K331" s="67" t="s">
        <v>109</v>
      </c>
      <c r="L331" s="79" t="s">
        <v>4523</v>
      </c>
      <c r="M331" s="83" t="s">
        <v>4524</v>
      </c>
      <c r="N331" s="78">
        <v>39030.0</v>
      </c>
      <c r="O331" s="80" t="s">
        <v>37</v>
      </c>
      <c r="P331" s="70">
        <v>160113.0</v>
      </c>
      <c r="Q331" s="54"/>
      <c r="R331" s="84"/>
      <c r="S331" s="84"/>
      <c r="T331" s="54"/>
      <c r="U331" s="86"/>
      <c r="V331" s="54"/>
      <c r="W331" s="86"/>
      <c r="X331" s="54"/>
      <c r="Y331" s="78"/>
      <c r="Z331" s="54"/>
      <c r="AA331" s="70"/>
      <c r="AB331" s="83"/>
      <c r="AC331" s="83"/>
      <c r="AD331" s="83"/>
      <c r="AE331" s="83"/>
      <c r="AF331" s="83" t="s">
        <v>300</v>
      </c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54" t="s">
        <v>1484</v>
      </c>
      <c r="AR331" s="83" t="s">
        <v>4525</v>
      </c>
      <c r="AS331" s="83" t="s">
        <v>4526</v>
      </c>
      <c r="AT331" s="93" t="s">
        <v>4522</v>
      </c>
      <c r="AU331" s="93" t="s">
        <v>4522</v>
      </c>
      <c r="AV331" s="93" t="s">
        <v>4522</v>
      </c>
      <c r="AW331" s="83" t="s">
        <v>4527</v>
      </c>
      <c r="AX331" s="83">
        <v>4.0</v>
      </c>
      <c r="AY331" s="83" t="s">
        <v>842</v>
      </c>
      <c r="AZ331" s="83" t="s">
        <v>4528</v>
      </c>
      <c r="BA331" s="83" t="s">
        <v>4529</v>
      </c>
      <c r="BB331" s="83" t="s">
        <v>4530</v>
      </c>
      <c r="BC331" s="54" t="s">
        <v>41</v>
      </c>
      <c r="BD331" s="54" t="str">
        <f t="shared" si="1"/>
        <v>Ate</v>
      </c>
      <c r="BE331" s="67" t="s">
        <v>140</v>
      </c>
      <c r="BF331" s="67" t="s">
        <v>141</v>
      </c>
      <c r="BG331" s="67" t="s">
        <v>142</v>
      </c>
      <c r="BH331" s="67"/>
      <c r="BI331" s="67"/>
      <c r="BJ331" s="67"/>
      <c r="BK331" s="67"/>
      <c r="BL331" s="67" t="s">
        <v>147</v>
      </c>
      <c r="BM331" s="67" t="s">
        <v>247</v>
      </c>
      <c r="BN331" s="100">
        <v>89.0</v>
      </c>
      <c r="BO331" s="102" t="s">
        <v>148</v>
      </c>
      <c r="BP331" s="67" t="s">
        <v>141</v>
      </c>
      <c r="BQ331" s="79" t="s">
        <v>141</v>
      </c>
      <c r="BR331" s="67" t="s">
        <v>149</v>
      </c>
      <c r="BS331" s="102" t="s">
        <v>149</v>
      </c>
      <c r="BT331" s="106"/>
      <c r="BU331" s="107"/>
      <c r="BV331" s="108">
        <f t="shared" si="2"/>
        <v>46214</v>
      </c>
      <c r="BW331" s="108" t="str">
        <f t="shared" si="16"/>
        <v/>
      </c>
      <c r="BX331" s="102" t="str">
        <f t="shared" si="15"/>
        <v/>
      </c>
      <c r="BY331" s="107">
        <f t="shared" si="5"/>
        <v>0</v>
      </c>
      <c r="BZ331" s="107">
        <f t="array" ref="BZ331">IF($A331&lt;&gt;"",INDEX(LISTA!$M$2:$N$27,MATCH($BC331,LISTA!$N$2:$N$27,0),1),"")</f>
        <v>1</v>
      </c>
      <c r="CA331" s="67">
        <f t="shared" si="6"/>
        <v>7</v>
      </c>
      <c r="CB331" s="114" t="str">
        <f t="shared" si="7"/>
        <v/>
      </c>
      <c r="CC331" s="114"/>
    </row>
    <row r="332" ht="15.0" hidden="1" customHeight="1" outlineLevel="1">
      <c r="A332" s="59">
        <v>46225.659973472226</v>
      </c>
      <c r="B332" s="115" t="s">
        <v>349</v>
      </c>
      <c r="C332" s="54" t="s">
        <v>100</v>
      </c>
      <c r="D332" s="56"/>
      <c r="E332" s="69"/>
      <c r="F332" s="73" t="s">
        <v>2555</v>
      </c>
      <c r="G332" s="60"/>
      <c r="H332" s="60"/>
      <c r="I332" s="67" t="s">
        <v>399</v>
      </c>
      <c r="J332" s="79" t="s">
        <v>4531</v>
      </c>
      <c r="K332" s="67" t="s">
        <v>109</v>
      </c>
      <c r="L332" s="79" t="s">
        <v>4532</v>
      </c>
      <c r="M332" s="83" t="s">
        <v>4533</v>
      </c>
      <c r="N332" s="78">
        <v>37734.0</v>
      </c>
      <c r="O332" s="80" t="s">
        <v>30</v>
      </c>
      <c r="P332" s="70">
        <v>240106.0</v>
      </c>
      <c r="Q332" s="54"/>
      <c r="R332" s="84"/>
      <c r="S332" s="84"/>
      <c r="T332" s="54"/>
      <c r="U332" s="86"/>
      <c r="V332" s="54"/>
      <c r="W332" s="86" t="s">
        <v>4269</v>
      </c>
      <c r="X332" s="54"/>
      <c r="Y332" s="78"/>
      <c r="Z332" s="54"/>
      <c r="AA332" s="70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54" t="s">
        <v>4534</v>
      </c>
      <c r="AR332" s="83" t="s">
        <v>4535</v>
      </c>
      <c r="AS332" s="83" t="s">
        <v>4536</v>
      </c>
      <c r="AT332" s="93" t="s">
        <v>4531</v>
      </c>
      <c r="AU332" s="93" t="s">
        <v>4531</v>
      </c>
      <c r="AV332" s="93" t="s">
        <v>4531</v>
      </c>
      <c r="AW332" s="83" t="s">
        <v>4537</v>
      </c>
      <c r="AX332" s="83">
        <v>2.0</v>
      </c>
      <c r="AY332" s="83">
        <v>1.0</v>
      </c>
      <c r="AZ332" s="83" t="s">
        <v>4538</v>
      </c>
      <c r="BA332" s="83" t="s">
        <v>4539</v>
      </c>
      <c r="BB332" s="83" t="s">
        <v>4540</v>
      </c>
      <c r="BC332" s="54" t="s">
        <v>30</v>
      </c>
      <c r="BD332" s="54" t="str">
        <f t="shared" si="1"/>
        <v>Ventanilla</v>
      </c>
      <c r="BE332" s="67" t="s">
        <v>140</v>
      </c>
      <c r="BF332" s="67" t="s">
        <v>144</v>
      </c>
      <c r="BG332" s="67" t="s">
        <v>142</v>
      </c>
      <c r="BH332" s="67"/>
      <c r="BI332" s="67"/>
      <c r="BJ332" s="67"/>
      <c r="BK332" s="67"/>
      <c r="BL332" s="67" t="s">
        <v>145</v>
      </c>
      <c r="BM332" s="67" t="s">
        <v>146</v>
      </c>
      <c r="BN332" s="100">
        <v>170.0</v>
      </c>
      <c r="BO332" s="102" t="s">
        <v>148</v>
      </c>
      <c r="BP332" s="67" t="s">
        <v>144</v>
      </c>
      <c r="BQ332" s="79" t="s">
        <v>141</v>
      </c>
      <c r="BR332" s="67">
        <v>2.0</v>
      </c>
      <c r="BS332" s="102">
        <v>1.0</v>
      </c>
      <c r="BT332" s="106"/>
      <c r="BU332" s="107"/>
      <c r="BV332" s="108">
        <f t="shared" si="2"/>
        <v>46225</v>
      </c>
      <c r="BW332" s="108" t="str">
        <f t="shared" si="16"/>
        <v/>
      </c>
      <c r="BX332" s="102" t="str">
        <f t="shared" si="15"/>
        <v/>
      </c>
      <c r="BY332" s="107">
        <f t="shared" si="5"/>
        <v>0</v>
      </c>
      <c r="BZ332" s="107">
        <f t="array" ref="BZ332">IF($A332&lt;&gt;"",INDEX(LISTA!$M$2:$N$27,MATCH($BC332,LISTA!$N$2:$N$27,0),1),"")</f>
        <v>2</v>
      </c>
      <c r="CA332" s="67">
        <f t="shared" si="6"/>
        <v>7</v>
      </c>
      <c r="CB332" s="114" t="str">
        <f t="shared" si="7"/>
        <v/>
      </c>
      <c r="CC332" s="114"/>
    </row>
    <row r="333" ht="15.0" hidden="1" customHeight="1" outlineLevel="1">
      <c r="A333" s="59">
        <v>46225.797717939815</v>
      </c>
      <c r="B333" s="115" t="s">
        <v>349</v>
      </c>
      <c r="C333" s="54" t="s">
        <v>100</v>
      </c>
      <c r="D333" s="56" t="s">
        <v>319</v>
      </c>
      <c r="E333" s="69"/>
      <c r="F333" s="73" t="s">
        <v>2555</v>
      </c>
      <c r="G333" s="60"/>
      <c r="H333" s="60"/>
      <c r="I333" s="67" t="s">
        <v>107</v>
      </c>
      <c r="J333" s="79" t="s">
        <v>4541</v>
      </c>
      <c r="K333" s="67" t="s">
        <v>109</v>
      </c>
      <c r="L333" s="79" t="s">
        <v>4542</v>
      </c>
      <c r="M333" s="83" t="s">
        <v>4543</v>
      </c>
      <c r="N333" s="78">
        <v>32039.0</v>
      </c>
      <c r="O333" s="80" t="s">
        <v>36</v>
      </c>
      <c r="P333" s="70">
        <v>110301.0</v>
      </c>
      <c r="Q333" s="54"/>
      <c r="R333" s="84"/>
      <c r="S333" s="84"/>
      <c r="T333" s="54"/>
      <c r="U333" s="86"/>
      <c r="V333" s="54"/>
      <c r="W333" s="86"/>
      <c r="X333" s="54" t="s">
        <v>1012</v>
      </c>
      <c r="Y333" s="78"/>
      <c r="Z333" s="54"/>
      <c r="AA333" s="70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54" t="s">
        <v>4544</v>
      </c>
      <c r="AR333" s="83" t="s">
        <v>4545</v>
      </c>
      <c r="AS333" s="83" t="s">
        <v>4546</v>
      </c>
      <c r="AT333" s="93" t="s">
        <v>4541</v>
      </c>
      <c r="AU333" s="93" t="s">
        <v>4541</v>
      </c>
      <c r="AV333" s="93" t="s">
        <v>4541</v>
      </c>
      <c r="AW333" s="83" t="s">
        <v>4547</v>
      </c>
      <c r="AX333" s="83">
        <v>2.0</v>
      </c>
      <c r="AY333" s="83">
        <v>1.0</v>
      </c>
      <c r="AZ333" s="83" t="s">
        <v>4548</v>
      </c>
      <c r="BA333" s="83" t="s">
        <v>4549</v>
      </c>
      <c r="BB333" s="83" t="s">
        <v>4550</v>
      </c>
      <c r="BC333" s="54" t="s">
        <v>31</v>
      </c>
      <c r="BD333" s="54" t="str">
        <f t="shared" si="1"/>
        <v>Cusco</v>
      </c>
      <c r="BE333" s="67" t="s">
        <v>143</v>
      </c>
      <c r="BF333" s="67" t="s">
        <v>141</v>
      </c>
      <c r="BG333" s="67" t="s">
        <v>142</v>
      </c>
      <c r="BH333" s="67"/>
      <c r="BI333" s="67"/>
      <c r="BJ333" s="67"/>
      <c r="BK333" s="67"/>
      <c r="BL333" s="67" t="s">
        <v>147</v>
      </c>
      <c r="BM333" s="67" t="s">
        <v>1897</v>
      </c>
      <c r="BN333" s="100">
        <v>44.0</v>
      </c>
      <c r="BO333" s="102" t="s">
        <v>1647</v>
      </c>
      <c r="BP333" s="67" t="s">
        <v>141</v>
      </c>
      <c r="BQ333" s="79" t="s">
        <v>141</v>
      </c>
      <c r="BR333" s="67" t="s">
        <v>149</v>
      </c>
      <c r="BS333" s="102" t="s">
        <v>149</v>
      </c>
      <c r="BT333" s="106"/>
      <c r="BU333" s="107"/>
      <c r="BV333" s="108">
        <f t="shared" si="2"/>
        <v>46225</v>
      </c>
      <c r="BW333" s="108" t="str">
        <f t="shared" si="16"/>
        <v/>
      </c>
      <c r="BX333" s="102" t="str">
        <f t="shared" si="15"/>
        <v/>
      </c>
      <c r="BY333" s="107">
        <f t="shared" si="5"/>
        <v>0</v>
      </c>
      <c r="BZ333" s="107">
        <f t="array" ref="BZ333">IF($A333&lt;&gt;"",INDEX(LISTA!$M$2:$N$27,MATCH($BC333,LISTA!$N$2:$N$27,0),1),"")</f>
        <v>10</v>
      </c>
      <c r="CA333" s="67">
        <f t="shared" si="6"/>
        <v>7</v>
      </c>
      <c r="CB333" s="114" t="str">
        <f t="shared" si="7"/>
        <v/>
      </c>
      <c r="CC333" s="114"/>
    </row>
    <row r="334" ht="15.0" hidden="1" customHeight="1" outlineLevel="1">
      <c r="A334" s="59">
        <v>46230.49491332176</v>
      </c>
      <c r="B334" s="115" t="s">
        <v>349</v>
      </c>
      <c r="C334" s="54" t="s">
        <v>100</v>
      </c>
      <c r="D334" s="56" t="s">
        <v>101</v>
      </c>
      <c r="E334" s="69"/>
      <c r="F334" s="73"/>
      <c r="G334" s="60"/>
      <c r="H334" s="60"/>
      <c r="I334" s="67" t="s">
        <v>369</v>
      </c>
      <c r="J334" s="79" t="s">
        <v>4551</v>
      </c>
      <c r="K334" s="67" t="s">
        <v>109</v>
      </c>
      <c r="L334" s="79" t="s">
        <v>4552</v>
      </c>
      <c r="M334" s="83" t="s">
        <v>4553</v>
      </c>
      <c r="N334" s="78">
        <v>29970.0</v>
      </c>
      <c r="O334" s="80" t="s">
        <v>37</v>
      </c>
      <c r="P334" s="70">
        <v>140101.0</v>
      </c>
      <c r="Q334" s="54"/>
      <c r="R334" s="84"/>
      <c r="S334" s="84"/>
      <c r="T334" s="54"/>
      <c r="U334" s="86"/>
      <c r="V334" s="54"/>
      <c r="W334" s="86"/>
      <c r="X334" s="54"/>
      <c r="Y334" s="78"/>
      <c r="Z334" s="54"/>
      <c r="AA334" s="70"/>
      <c r="AB334" s="83"/>
      <c r="AC334" s="83"/>
      <c r="AD334" s="83"/>
      <c r="AE334" s="83"/>
      <c r="AF334" s="83" t="s">
        <v>691</v>
      </c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54" t="s">
        <v>4554</v>
      </c>
      <c r="AR334" s="83" t="s">
        <v>4555</v>
      </c>
      <c r="AS334" s="83" t="s">
        <v>4556</v>
      </c>
      <c r="AT334" s="93" t="s">
        <v>4551</v>
      </c>
      <c r="AU334" s="93" t="s">
        <v>4551</v>
      </c>
      <c r="AV334" s="93" t="s">
        <v>4551</v>
      </c>
      <c r="AW334" s="83" t="s">
        <v>4557</v>
      </c>
      <c r="AX334" s="83">
        <v>3.0</v>
      </c>
      <c r="AY334" s="83" t="s">
        <v>1767</v>
      </c>
      <c r="AZ334" s="83" t="s">
        <v>4558</v>
      </c>
      <c r="BA334" s="83" t="s">
        <v>1767</v>
      </c>
      <c r="BB334" s="83" t="s">
        <v>4559</v>
      </c>
      <c r="BC334" s="54" t="s">
        <v>41</v>
      </c>
      <c r="BD334" s="54" t="str">
        <f t="shared" si="1"/>
        <v>Comas</v>
      </c>
      <c r="BE334" s="67" t="s">
        <v>140</v>
      </c>
      <c r="BF334" s="67" t="s">
        <v>141</v>
      </c>
      <c r="BG334" s="67" t="s">
        <v>142</v>
      </c>
      <c r="BH334" s="67"/>
      <c r="BI334" s="67"/>
      <c r="BJ334" s="67"/>
      <c r="BK334" s="67"/>
      <c r="BL334" s="67" t="s">
        <v>147</v>
      </c>
      <c r="BM334" s="67" t="s">
        <v>146</v>
      </c>
      <c r="BN334" s="100">
        <v>89.0</v>
      </c>
      <c r="BO334" s="102" t="s">
        <v>148</v>
      </c>
      <c r="BP334" s="67" t="s">
        <v>141</v>
      </c>
      <c r="BQ334" s="79" t="s">
        <v>141</v>
      </c>
      <c r="BR334" s="67" t="s">
        <v>149</v>
      </c>
      <c r="BS334" s="102">
        <v>1.0</v>
      </c>
      <c r="BT334" s="106"/>
      <c r="BU334" s="107"/>
      <c r="BV334" s="108">
        <f t="shared" si="2"/>
        <v>46230</v>
      </c>
      <c r="BW334" s="108" t="str">
        <f t="shared" si="16"/>
        <v/>
      </c>
      <c r="BX334" s="102" t="str">
        <f t="shared" si="15"/>
        <v/>
      </c>
      <c r="BY334" s="107">
        <f t="shared" si="5"/>
        <v>0</v>
      </c>
      <c r="BZ334" s="107">
        <f t="array" ref="BZ334">IF($A334&lt;&gt;"",INDEX(LISTA!$M$2:$N$27,MATCH($BC334,LISTA!$N$2:$N$27,0),1),"")</f>
        <v>1</v>
      </c>
      <c r="CA334" s="67">
        <f t="shared" si="6"/>
        <v>7</v>
      </c>
      <c r="CB334" s="114" t="str">
        <f t="shared" si="7"/>
        <v/>
      </c>
      <c r="CC334" s="114"/>
    </row>
    <row r="335" ht="15.0" hidden="1" customHeight="1" outlineLevel="1">
      <c r="A335" s="59">
        <v>46207.69546434028</v>
      </c>
      <c r="B335" s="115" t="s">
        <v>345</v>
      </c>
      <c r="C335" s="54" t="s">
        <v>100</v>
      </c>
      <c r="D335" s="56" t="s">
        <v>101</v>
      </c>
      <c r="E335" s="69"/>
      <c r="F335" s="73" t="s">
        <v>4560</v>
      </c>
      <c r="G335" s="60" t="s">
        <v>4561</v>
      </c>
      <c r="H335" s="60"/>
      <c r="I335" s="67" t="s">
        <v>107</v>
      </c>
      <c r="J335" s="79" t="s">
        <v>4562</v>
      </c>
      <c r="K335" s="67" t="s">
        <v>109</v>
      </c>
      <c r="L335" s="79" t="s">
        <v>4563</v>
      </c>
      <c r="M335" s="83" t="s">
        <v>4564</v>
      </c>
      <c r="N335" s="78">
        <v>24547.0</v>
      </c>
      <c r="O335" s="80" t="s">
        <v>41</v>
      </c>
      <c r="P335" s="156" t="s">
        <v>1154</v>
      </c>
      <c r="Q335" s="54"/>
      <c r="R335" s="84"/>
      <c r="S335" s="84"/>
      <c r="T335" s="54"/>
      <c r="U335" s="86"/>
      <c r="V335" s="54"/>
      <c r="W335" s="86"/>
      <c r="X335" s="54"/>
      <c r="Y335" s="78"/>
      <c r="Z335" s="54"/>
      <c r="AA335" s="70"/>
      <c r="AB335" s="83"/>
      <c r="AC335" s="83"/>
      <c r="AD335" s="83"/>
      <c r="AE335" s="83"/>
      <c r="AF335" s="83" t="s">
        <v>2284</v>
      </c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54" t="s">
        <v>4565</v>
      </c>
      <c r="AR335" s="83" t="s">
        <v>125</v>
      </c>
      <c r="AS335" s="83" t="s">
        <v>4566</v>
      </c>
      <c r="AT335" s="93" t="s">
        <v>4562</v>
      </c>
      <c r="AU335" s="93" t="s">
        <v>4562</v>
      </c>
      <c r="AV335" s="93" t="s">
        <v>4562</v>
      </c>
      <c r="AW335" s="83" t="s">
        <v>4567</v>
      </c>
      <c r="AX335" s="83">
        <v>4.0</v>
      </c>
      <c r="AY335" s="83">
        <v>1.0</v>
      </c>
      <c r="AZ335" s="83" t="s">
        <v>4568</v>
      </c>
      <c r="BA335" s="83" t="s">
        <v>4569</v>
      </c>
      <c r="BB335" s="83" t="s">
        <v>4570</v>
      </c>
      <c r="BC335" s="54" t="s">
        <v>41</v>
      </c>
      <c r="BD335" s="54" t="str">
        <f t="shared" si="1"/>
        <v>Chorrillos</v>
      </c>
      <c r="BE335" s="67" t="s">
        <v>140</v>
      </c>
      <c r="BF335" s="67" t="s">
        <v>141</v>
      </c>
      <c r="BG335" s="67" t="s">
        <v>142</v>
      </c>
      <c r="BH335" s="67"/>
      <c r="BI335" s="67"/>
      <c r="BJ335" s="67"/>
      <c r="BK335" s="67"/>
      <c r="BL335" s="67" t="s">
        <v>283</v>
      </c>
      <c r="BM335" s="67" t="s">
        <v>146</v>
      </c>
      <c r="BN335" s="100">
        <v>94.0</v>
      </c>
      <c r="BO335" s="102" t="s">
        <v>148</v>
      </c>
      <c r="BP335" s="67" t="s">
        <v>141</v>
      </c>
      <c r="BQ335" s="79" t="s">
        <v>144</v>
      </c>
      <c r="BR335" s="67" t="s">
        <v>149</v>
      </c>
      <c r="BS335" s="102">
        <v>1.0</v>
      </c>
      <c r="BT335" s="106"/>
      <c r="BU335" s="107"/>
      <c r="BV335" s="108">
        <f t="shared" si="2"/>
        <v>46207</v>
      </c>
      <c r="BW335" s="108" t="str">
        <f t="shared" si="16"/>
        <v/>
      </c>
      <c r="BX335" s="102" t="str">
        <f t="shared" si="15"/>
        <v/>
      </c>
      <c r="BY335" s="107">
        <f t="shared" si="5"/>
        <v>0</v>
      </c>
      <c r="BZ335" s="107">
        <f t="array" ref="BZ335">IF($A335&lt;&gt;"",INDEX(LISTA!$M$2:$N$27,MATCH($BC335,LISTA!$N$2:$N$27,0),1),"")</f>
        <v>1</v>
      </c>
      <c r="CA335" s="67">
        <f t="shared" si="6"/>
        <v>7</v>
      </c>
      <c r="CB335" s="114" t="str">
        <f t="shared" si="7"/>
        <v/>
      </c>
      <c r="CC335" s="114"/>
    </row>
    <row r="336" ht="15.0" hidden="1" customHeight="1" outlineLevel="1">
      <c r="A336" s="59">
        <v>46230.395627418984</v>
      </c>
      <c r="B336" s="115" t="s">
        <v>345</v>
      </c>
      <c r="C336" s="54" t="s">
        <v>100</v>
      </c>
      <c r="D336" s="56" t="s">
        <v>319</v>
      </c>
      <c r="E336" s="69"/>
      <c r="F336" s="73" t="s">
        <v>4571</v>
      </c>
      <c r="G336" s="60"/>
      <c r="H336" s="60"/>
      <c r="I336" s="67" t="s">
        <v>378</v>
      </c>
      <c r="J336" s="79" t="s">
        <v>4572</v>
      </c>
      <c r="K336" s="67" t="s">
        <v>109</v>
      </c>
      <c r="L336" s="79" t="s">
        <v>4573</v>
      </c>
      <c r="M336" s="83" t="s">
        <v>4574</v>
      </c>
      <c r="N336" s="78">
        <v>26207.0</v>
      </c>
      <c r="O336" s="80" t="s">
        <v>31</v>
      </c>
      <c r="P336" s="156" t="s">
        <v>4575</v>
      </c>
      <c r="Q336" s="54"/>
      <c r="R336" s="84"/>
      <c r="S336" s="84"/>
      <c r="T336" s="54"/>
      <c r="U336" s="86"/>
      <c r="V336" s="54"/>
      <c r="W336" s="86"/>
      <c r="X336" s="54" t="s">
        <v>1012</v>
      </c>
      <c r="Y336" s="78"/>
      <c r="Z336" s="54"/>
      <c r="AA336" s="70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54" t="s">
        <v>4576</v>
      </c>
      <c r="AR336" s="83" t="s">
        <v>4577</v>
      </c>
      <c r="AS336" s="83" t="s">
        <v>4578</v>
      </c>
      <c r="AT336" s="93" t="s">
        <v>4572</v>
      </c>
      <c r="AU336" s="93" t="s">
        <v>4572</v>
      </c>
      <c r="AV336" s="93" t="s">
        <v>4579</v>
      </c>
      <c r="AW336" s="83" t="s">
        <v>4580</v>
      </c>
      <c r="AX336" s="83">
        <v>1.0</v>
      </c>
      <c r="AY336" s="83" t="s">
        <v>2739</v>
      </c>
      <c r="AZ336" s="83" t="s">
        <v>4581</v>
      </c>
      <c r="BA336" s="83" t="s">
        <v>4582</v>
      </c>
      <c r="BB336" s="83" t="s">
        <v>4583</v>
      </c>
      <c r="BC336" s="54" t="s">
        <v>31</v>
      </c>
      <c r="BD336" s="54" t="str">
        <f t="shared" si="1"/>
        <v>Cusco</v>
      </c>
      <c r="BE336" s="67" t="s">
        <v>140</v>
      </c>
      <c r="BF336" s="67" t="s">
        <v>141</v>
      </c>
      <c r="BG336" s="67" t="s">
        <v>142</v>
      </c>
      <c r="BH336" s="67"/>
      <c r="BI336" s="67"/>
      <c r="BJ336" s="67"/>
      <c r="BK336" s="67"/>
      <c r="BL336" s="67" t="s">
        <v>145</v>
      </c>
      <c r="BM336" s="67" t="s">
        <v>146</v>
      </c>
      <c r="BN336" s="100">
        <v>150.0</v>
      </c>
      <c r="BO336" s="102" t="s">
        <v>615</v>
      </c>
      <c r="BP336" s="67" t="s">
        <v>141</v>
      </c>
      <c r="BQ336" s="79" t="s">
        <v>141</v>
      </c>
      <c r="BR336" s="67">
        <v>2.0</v>
      </c>
      <c r="BS336" s="102" t="s">
        <v>149</v>
      </c>
      <c r="BT336" s="106"/>
      <c r="BU336" s="107"/>
      <c r="BV336" s="108">
        <f t="shared" si="2"/>
        <v>46230</v>
      </c>
      <c r="BW336" s="108" t="str">
        <f t="shared" si="16"/>
        <v/>
      </c>
      <c r="BX336" s="102" t="str">
        <f t="shared" si="15"/>
        <v/>
      </c>
      <c r="BY336" s="107">
        <f t="shared" si="5"/>
        <v>0</v>
      </c>
      <c r="BZ336" s="107">
        <f t="array" ref="BZ336">IF($A336&lt;&gt;"",INDEX(LISTA!$M$2:$N$27,MATCH($BC336,LISTA!$N$2:$N$27,0),1),"")</f>
        <v>10</v>
      </c>
      <c r="CA336" s="67">
        <f t="shared" si="6"/>
        <v>7</v>
      </c>
      <c r="CB336" s="114" t="str">
        <f t="shared" si="7"/>
        <v/>
      </c>
      <c r="CC336" s="114"/>
    </row>
    <row r="337" ht="15.0" hidden="1" customHeight="1" outlineLevel="1">
      <c r="A337" s="59">
        <v>46225.762005509256</v>
      </c>
      <c r="B337" s="115" t="s">
        <v>342</v>
      </c>
      <c r="C337" s="54" t="s">
        <v>100</v>
      </c>
      <c r="D337" s="56" t="s">
        <v>319</v>
      </c>
      <c r="E337" s="69"/>
      <c r="F337" s="73"/>
      <c r="G337" s="60"/>
      <c r="H337" s="60"/>
      <c r="I337" s="67" t="s">
        <v>401</v>
      </c>
      <c r="J337" s="79" t="s">
        <v>4584</v>
      </c>
      <c r="K337" s="67" t="s">
        <v>109</v>
      </c>
      <c r="L337" s="79" t="s">
        <v>4585</v>
      </c>
      <c r="M337" s="83" t="s">
        <v>4586</v>
      </c>
      <c r="N337" s="78">
        <v>39358.0</v>
      </c>
      <c r="O337" s="80" t="s">
        <v>37</v>
      </c>
      <c r="P337" s="70">
        <v>250301.0</v>
      </c>
      <c r="Q337" s="54"/>
      <c r="R337" s="84"/>
      <c r="S337" s="84"/>
      <c r="T337" s="54"/>
      <c r="U337" s="86"/>
      <c r="V337" s="54"/>
      <c r="W337" s="86"/>
      <c r="X337" s="54"/>
      <c r="Y337" s="78"/>
      <c r="Z337" s="54"/>
      <c r="AA337" s="70"/>
      <c r="AB337" s="83"/>
      <c r="AC337" s="83"/>
      <c r="AD337" s="83"/>
      <c r="AE337" s="83"/>
      <c r="AF337" s="83" t="s">
        <v>2339</v>
      </c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54" t="s">
        <v>4587</v>
      </c>
      <c r="AR337" s="83" t="s">
        <v>4588</v>
      </c>
      <c r="AS337" s="83" t="s">
        <v>4589</v>
      </c>
      <c r="AT337" s="93" t="s">
        <v>4584</v>
      </c>
      <c r="AU337" s="93" t="s">
        <v>4584</v>
      </c>
      <c r="AV337" s="93" t="s">
        <v>4584</v>
      </c>
      <c r="AW337" s="83" t="s">
        <v>4590</v>
      </c>
      <c r="AX337" s="83">
        <v>2.0</v>
      </c>
      <c r="AY337" s="83" t="s">
        <v>4591</v>
      </c>
      <c r="AZ337" s="83" t="s">
        <v>4592</v>
      </c>
      <c r="BA337" s="83" t="s">
        <v>4593</v>
      </c>
      <c r="BB337" s="83" t="s">
        <v>4594</v>
      </c>
      <c r="BC337" s="54" t="s">
        <v>41</v>
      </c>
      <c r="BD337" s="54" t="str">
        <f t="shared" si="1"/>
        <v>San Bartolo</v>
      </c>
      <c r="BE337" s="67" t="s">
        <v>140</v>
      </c>
      <c r="BF337" s="67" t="s">
        <v>141</v>
      </c>
      <c r="BG337" s="67" t="s">
        <v>142</v>
      </c>
      <c r="BH337" s="67"/>
      <c r="BI337" s="67"/>
      <c r="BJ337" s="67"/>
      <c r="BK337" s="67"/>
      <c r="BL337" s="67" t="s">
        <v>147</v>
      </c>
      <c r="BM337" s="67" t="s">
        <v>146</v>
      </c>
      <c r="BN337" s="100">
        <v>89.0</v>
      </c>
      <c r="BO337" s="102" t="s">
        <v>148</v>
      </c>
      <c r="BP337" s="67" t="s">
        <v>141</v>
      </c>
      <c r="BQ337" s="79" t="s">
        <v>141</v>
      </c>
      <c r="BR337" s="67" t="s">
        <v>149</v>
      </c>
      <c r="BS337" s="102">
        <v>1.0</v>
      </c>
      <c r="BT337" s="106"/>
      <c r="BU337" s="107"/>
      <c r="BV337" s="108">
        <f t="shared" si="2"/>
        <v>46225</v>
      </c>
      <c r="BW337" s="108" t="str">
        <f t="shared" si="16"/>
        <v/>
      </c>
      <c r="BX337" s="102" t="str">
        <f t="shared" si="15"/>
        <v/>
      </c>
      <c r="BY337" s="107">
        <f t="shared" si="5"/>
        <v>0</v>
      </c>
      <c r="BZ337" s="107">
        <f t="array" ref="BZ337">IF($A337&lt;&gt;"",INDEX(LISTA!$M$2:$N$27,MATCH($BC337,LISTA!$N$2:$N$27,0),1),"")</f>
        <v>1</v>
      </c>
      <c r="CA337" s="67">
        <f t="shared" si="6"/>
        <v>7</v>
      </c>
      <c r="CB337" s="114" t="str">
        <f t="shared" si="7"/>
        <v/>
      </c>
      <c r="CC337" s="114"/>
    </row>
    <row r="338" ht="15.0" hidden="1" customHeight="1" outlineLevel="1">
      <c r="A338" s="59">
        <v>46228.41160013889</v>
      </c>
      <c r="B338" s="115" t="s">
        <v>342</v>
      </c>
      <c r="C338" s="54" t="s">
        <v>100</v>
      </c>
      <c r="D338" s="56" t="s">
        <v>319</v>
      </c>
      <c r="E338" s="69"/>
      <c r="F338" s="73" t="s">
        <v>2555</v>
      </c>
      <c r="G338" s="60"/>
      <c r="H338" s="60"/>
      <c r="I338" s="67" t="s">
        <v>363</v>
      </c>
      <c r="J338" s="79" t="s">
        <v>4595</v>
      </c>
      <c r="K338" s="67" t="s">
        <v>109</v>
      </c>
      <c r="L338" s="79" t="s">
        <v>4596</v>
      </c>
      <c r="M338" s="83" t="s">
        <v>4597</v>
      </c>
      <c r="N338" s="78">
        <v>31602.0</v>
      </c>
      <c r="O338" s="80" t="s">
        <v>33</v>
      </c>
      <c r="P338" s="70">
        <v>100101.0</v>
      </c>
      <c r="Q338" s="54"/>
      <c r="R338" s="84"/>
      <c r="S338" s="84"/>
      <c r="T338" s="54"/>
      <c r="U338" s="86"/>
      <c r="V338" s="54"/>
      <c r="W338" s="86"/>
      <c r="X338" s="54"/>
      <c r="Y338" s="78"/>
      <c r="Z338" s="54" t="s">
        <v>267</v>
      </c>
      <c r="AA338" s="70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54" t="s">
        <v>170</v>
      </c>
      <c r="AR338" s="83" t="s">
        <v>4598</v>
      </c>
      <c r="AS338" s="83" t="s">
        <v>4599</v>
      </c>
      <c r="AT338" s="93" t="s">
        <v>4600</v>
      </c>
      <c r="AU338" s="93" t="s">
        <v>4600</v>
      </c>
      <c r="AV338" s="93" t="s">
        <v>4600</v>
      </c>
      <c r="AW338" s="83" t="s">
        <v>4601</v>
      </c>
      <c r="AX338" s="83">
        <v>1.0</v>
      </c>
      <c r="AY338" s="83">
        <v>0.0</v>
      </c>
      <c r="AZ338" s="83" t="s">
        <v>4602</v>
      </c>
      <c r="BA338" s="83" t="s">
        <v>4603</v>
      </c>
      <c r="BB338" s="83" t="s">
        <v>4604</v>
      </c>
      <c r="BC338" s="54" t="s">
        <v>33</v>
      </c>
      <c r="BD338" s="54" t="str">
        <f t="shared" si="1"/>
        <v>Huánuco</v>
      </c>
      <c r="BE338" s="67" t="s">
        <v>140</v>
      </c>
      <c r="BF338" s="67" t="s">
        <v>144</v>
      </c>
      <c r="BG338" s="67" t="s">
        <v>142</v>
      </c>
      <c r="BH338" s="67"/>
      <c r="BI338" s="67"/>
      <c r="BJ338" s="67"/>
      <c r="BK338" s="67"/>
      <c r="BL338" s="67" t="s">
        <v>147</v>
      </c>
      <c r="BM338" s="67" t="s">
        <v>146</v>
      </c>
      <c r="BN338" s="100">
        <v>89.0</v>
      </c>
      <c r="BO338" s="102" t="s">
        <v>148</v>
      </c>
      <c r="BP338" s="67" t="s">
        <v>141</v>
      </c>
      <c r="BQ338" s="79" t="s">
        <v>141</v>
      </c>
      <c r="BR338" s="67" t="s">
        <v>149</v>
      </c>
      <c r="BS338" s="102">
        <v>1.0</v>
      </c>
      <c r="BT338" s="106"/>
      <c r="BU338" s="107"/>
      <c r="BV338" s="108">
        <f t="shared" si="2"/>
        <v>46228</v>
      </c>
      <c r="BW338" s="108" t="str">
        <f t="shared" si="16"/>
        <v/>
      </c>
      <c r="BX338" s="102" t="str">
        <f t="shared" si="15"/>
        <v/>
      </c>
      <c r="BY338" s="107">
        <f t="shared" si="5"/>
        <v>0</v>
      </c>
      <c r="BZ338" s="107">
        <f t="array" ref="BZ338">IF($A338&lt;&gt;"",INDEX(LISTA!$M$2:$N$27,MATCH($BC338,LISTA!$N$2:$N$27,0),1),"")</f>
        <v>12</v>
      </c>
      <c r="CA338" s="67">
        <f t="shared" si="6"/>
        <v>7</v>
      </c>
      <c r="CB338" s="114" t="str">
        <f t="shared" si="7"/>
        <v/>
      </c>
      <c r="CC338" s="114"/>
    </row>
    <row r="339" ht="15.0" hidden="1" customHeight="1" outlineLevel="1">
      <c r="A339" s="59">
        <v>46230.42855667824</v>
      </c>
      <c r="B339" s="115" t="s">
        <v>342</v>
      </c>
      <c r="C339" s="54" t="s">
        <v>100</v>
      </c>
      <c r="D339" s="56" t="s">
        <v>101</v>
      </c>
      <c r="E339" s="69"/>
      <c r="F339" s="73" t="s">
        <v>4605</v>
      </c>
      <c r="G339" s="60"/>
      <c r="H339" s="60"/>
      <c r="I339" s="67" t="s">
        <v>378</v>
      </c>
      <c r="J339" s="79" t="s">
        <v>4606</v>
      </c>
      <c r="K339" s="67" t="s">
        <v>1117</v>
      </c>
      <c r="L339" s="79" t="s">
        <v>4607</v>
      </c>
      <c r="M339" s="83" t="s">
        <v>4608</v>
      </c>
      <c r="N339" s="78">
        <v>29146.0</v>
      </c>
      <c r="O339" s="80" t="s">
        <v>1120</v>
      </c>
      <c r="P339" s="70">
        <v>0.0</v>
      </c>
      <c r="Q339" s="54"/>
      <c r="R339" s="84"/>
      <c r="S339" s="84"/>
      <c r="T339" s="54"/>
      <c r="U339" s="86"/>
      <c r="V339" s="54"/>
      <c r="W339" s="86"/>
      <c r="X339" s="54"/>
      <c r="Y339" s="78"/>
      <c r="Z339" s="54"/>
      <c r="AA339" s="70"/>
      <c r="AB339" s="83"/>
      <c r="AC339" s="83"/>
      <c r="AD339" s="83"/>
      <c r="AE339" s="83"/>
      <c r="AF339" s="83" t="s">
        <v>268</v>
      </c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54" t="s">
        <v>4609</v>
      </c>
      <c r="AR339" s="83" t="s">
        <v>4610</v>
      </c>
      <c r="AS339" s="83" t="s">
        <v>4611</v>
      </c>
      <c r="AT339" s="93" t="s">
        <v>4606</v>
      </c>
      <c r="AU339" s="93" t="s">
        <v>4606</v>
      </c>
      <c r="AV339" s="93" t="s">
        <v>4606</v>
      </c>
      <c r="AW339" s="83" t="s">
        <v>4612</v>
      </c>
      <c r="AX339" s="83">
        <v>20.0</v>
      </c>
      <c r="AY339" s="83">
        <v>2002.0</v>
      </c>
      <c r="AZ339" s="83" t="s">
        <v>4613</v>
      </c>
      <c r="BA339" s="83" t="s">
        <v>4614</v>
      </c>
      <c r="BB339" s="83" t="s">
        <v>4615</v>
      </c>
      <c r="BC339" s="54" t="s">
        <v>41</v>
      </c>
      <c r="BD339" s="54" t="str">
        <f t="shared" si="1"/>
        <v>Lince</v>
      </c>
      <c r="BE339" s="67" t="s">
        <v>140</v>
      </c>
      <c r="BF339" s="67" t="s">
        <v>141</v>
      </c>
      <c r="BG339" s="67" t="s">
        <v>142</v>
      </c>
      <c r="BH339" s="67"/>
      <c r="BI339" s="67"/>
      <c r="BJ339" s="67"/>
      <c r="BK339" s="67"/>
      <c r="BL339" s="67" t="s">
        <v>147</v>
      </c>
      <c r="BM339" s="67" t="s">
        <v>146</v>
      </c>
      <c r="BN339" s="100">
        <v>89.0</v>
      </c>
      <c r="BO339" s="102" t="s">
        <v>148</v>
      </c>
      <c r="BP339" s="67" t="s">
        <v>141</v>
      </c>
      <c r="BQ339" s="79" t="s">
        <v>141</v>
      </c>
      <c r="BR339" s="67" t="s">
        <v>149</v>
      </c>
      <c r="BS339" s="102">
        <v>1.0</v>
      </c>
      <c r="BT339" s="106"/>
      <c r="BU339" s="107"/>
      <c r="BV339" s="108">
        <f t="shared" si="2"/>
        <v>46230</v>
      </c>
      <c r="BW339" s="108" t="str">
        <f t="shared" si="16"/>
        <v/>
      </c>
      <c r="BX339" s="102" t="str">
        <f t="shared" si="15"/>
        <v/>
      </c>
      <c r="BY339" s="107">
        <f t="shared" si="5"/>
        <v>0</v>
      </c>
      <c r="BZ339" s="107">
        <f t="array" ref="BZ339">IF($A339&lt;&gt;"",INDEX(LISTA!$M$2:$N$27,MATCH($BC339,LISTA!$N$2:$N$27,0),1),"")</f>
        <v>1</v>
      </c>
      <c r="CA339" s="67">
        <f t="shared" si="6"/>
        <v>7</v>
      </c>
      <c r="CB339" s="114" t="str">
        <f t="shared" si="7"/>
        <v/>
      </c>
      <c r="CC339" s="114"/>
    </row>
    <row r="340" ht="15.0" hidden="1" customHeight="1" outlineLevel="1">
      <c r="A340" s="59">
        <v>46231.481076909724</v>
      </c>
      <c r="B340" s="115" t="s">
        <v>342</v>
      </c>
      <c r="C340" s="54" t="s">
        <v>100</v>
      </c>
      <c r="D340" s="56" t="s">
        <v>150</v>
      </c>
      <c r="E340" s="69"/>
      <c r="F340" s="73" t="s">
        <v>4616</v>
      </c>
      <c r="G340" s="60" t="s">
        <v>4617</v>
      </c>
      <c r="H340" s="60"/>
      <c r="I340" s="67" t="s">
        <v>384</v>
      </c>
      <c r="J340" s="79" t="s">
        <v>4618</v>
      </c>
      <c r="K340" s="67" t="s">
        <v>109</v>
      </c>
      <c r="L340" s="79" t="s">
        <v>4619</v>
      </c>
      <c r="M340" s="83" t="s">
        <v>4620</v>
      </c>
      <c r="N340" s="78">
        <v>26988.0</v>
      </c>
      <c r="O340" s="80" t="s">
        <v>28</v>
      </c>
      <c r="P340" s="156" t="s">
        <v>3317</v>
      </c>
      <c r="Q340" s="54"/>
      <c r="R340" s="84"/>
      <c r="S340" s="84"/>
      <c r="T340" s="54"/>
      <c r="U340" s="86"/>
      <c r="V340" s="54"/>
      <c r="W340" s="86"/>
      <c r="X340" s="54"/>
      <c r="Y340" s="78"/>
      <c r="Z340" s="54"/>
      <c r="AA340" s="70"/>
      <c r="AB340" s="83"/>
      <c r="AC340" s="83"/>
      <c r="AD340" s="83"/>
      <c r="AE340" s="83"/>
      <c r="AF340" s="83" t="s">
        <v>1458</v>
      </c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54" t="s">
        <v>1640</v>
      </c>
      <c r="AR340" s="83" t="s">
        <v>1417</v>
      </c>
      <c r="AS340" s="83" t="s">
        <v>4621</v>
      </c>
      <c r="AT340" s="93" t="s">
        <v>4618</v>
      </c>
      <c r="AU340" s="93" t="s">
        <v>4618</v>
      </c>
      <c r="AV340" s="93" t="s">
        <v>4618</v>
      </c>
      <c r="AW340" s="83" t="s">
        <v>4622</v>
      </c>
      <c r="AX340" s="83">
        <v>1.0</v>
      </c>
      <c r="AY340" s="83" t="s">
        <v>174</v>
      </c>
      <c r="AZ340" s="83" t="s">
        <v>4623</v>
      </c>
      <c r="BA340" s="83" t="s">
        <v>4624</v>
      </c>
      <c r="BB340" s="83" t="s">
        <v>4625</v>
      </c>
      <c r="BC340" s="54" t="s">
        <v>41</v>
      </c>
      <c r="BD340" s="54" t="str">
        <f t="shared" si="1"/>
        <v>Pueblo Libre</v>
      </c>
      <c r="BE340" s="67" t="s">
        <v>140</v>
      </c>
      <c r="BF340" s="67" t="s">
        <v>144</v>
      </c>
      <c r="BG340" s="67" t="s">
        <v>142</v>
      </c>
      <c r="BH340" s="67"/>
      <c r="BI340" s="67"/>
      <c r="BJ340" s="67"/>
      <c r="BK340" s="67"/>
      <c r="BL340" s="67" t="s">
        <v>145</v>
      </c>
      <c r="BM340" s="67" t="s">
        <v>146</v>
      </c>
      <c r="BN340" s="100">
        <v>150.0</v>
      </c>
      <c r="BO340" s="102" t="s">
        <v>615</v>
      </c>
      <c r="BP340" s="67" t="s">
        <v>144</v>
      </c>
      <c r="BQ340" s="79" t="s">
        <v>141</v>
      </c>
      <c r="BR340" s="67">
        <v>2.0</v>
      </c>
      <c r="BS340" s="102" t="s">
        <v>149</v>
      </c>
      <c r="BT340" s="106"/>
      <c r="BU340" s="107"/>
      <c r="BV340" s="108">
        <f t="shared" si="2"/>
        <v>46231</v>
      </c>
      <c r="BW340" s="108" t="str">
        <f t="shared" si="16"/>
        <v/>
      </c>
      <c r="BX340" s="102" t="str">
        <f t="shared" si="15"/>
        <v/>
      </c>
      <c r="BY340" s="107">
        <f t="shared" si="5"/>
        <v>0</v>
      </c>
      <c r="BZ340" s="107">
        <f t="array" ref="BZ340">IF($A340&lt;&gt;"",INDEX(LISTA!$M$2:$N$27,MATCH($BC340,LISTA!$N$2:$N$27,0),1),"")</f>
        <v>1</v>
      </c>
      <c r="CA340" s="67">
        <f t="shared" si="6"/>
        <v>7</v>
      </c>
      <c r="CB340" s="114" t="str">
        <f t="shared" si="7"/>
        <v/>
      </c>
      <c r="CC340" s="114"/>
    </row>
    <row r="341" ht="15.0" hidden="1" customHeight="1" outlineLevel="1">
      <c r="A341" s="59">
        <v>46234.78161284722</v>
      </c>
      <c r="B341" s="115" t="s">
        <v>342</v>
      </c>
      <c r="C341" s="54" t="s">
        <v>100</v>
      </c>
      <c r="D341" s="56" t="s">
        <v>319</v>
      </c>
      <c r="E341" s="69"/>
      <c r="F341" s="73" t="s">
        <v>4365</v>
      </c>
      <c r="G341" s="60"/>
      <c r="H341" s="60"/>
      <c r="I341" s="67" t="s">
        <v>374</v>
      </c>
      <c r="J341" s="79" t="s">
        <v>4626</v>
      </c>
      <c r="K341" s="67" t="s">
        <v>109</v>
      </c>
      <c r="L341" s="79" t="s">
        <v>4627</v>
      </c>
      <c r="M341" s="83" t="s">
        <v>4628</v>
      </c>
      <c r="N341" s="78">
        <v>30650.0</v>
      </c>
      <c r="O341" s="80" t="s">
        <v>24</v>
      </c>
      <c r="P341" s="70">
        <v>150101.0</v>
      </c>
      <c r="Q341" s="54"/>
      <c r="R341" s="84"/>
      <c r="S341" s="84"/>
      <c r="T341" s="54"/>
      <c r="U341" s="86"/>
      <c r="V341" s="54"/>
      <c r="W341" s="86"/>
      <c r="X341" s="54"/>
      <c r="Y341" s="78"/>
      <c r="Z341" s="54"/>
      <c r="AA341" s="70" t="s">
        <v>525</v>
      </c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54" t="s">
        <v>4629</v>
      </c>
      <c r="AR341" s="83" t="s">
        <v>4630</v>
      </c>
      <c r="AS341" s="83" t="s">
        <v>4631</v>
      </c>
      <c r="AT341" s="93" t="s">
        <v>4626</v>
      </c>
      <c r="AU341" s="93" t="s">
        <v>4626</v>
      </c>
      <c r="AV341" s="93" t="s">
        <v>4626</v>
      </c>
      <c r="AW341" s="83" t="s">
        <v>4632</v>
      </c>
      <c r="AX341" s="83">
        <v>1.0</v>
      </c>
      <c r="AY341" s="83">
        <v>1.0</v>
      </c>
      <c r="AZ341" s="83" t="s">
        <v>4633</v>
      </c>
      <c r="BA341" s="83" t="s">
        <v>2677</v>
      </c>
      <c r="BB341" s="83" t="s">
        <v>4634</v>
      </c>
      <c r="BC341" s="54" t="s">
        <v>34</v>
      </c>
      <c r="BD341" s="70" t="str">
        <f t="shared" si="1"/>
        <v>Ica</v>
      </c>
      <c r="BE341" s="67" t="s">
        <v>143</v>
      </c>
      <c r="BF341" s="67" t="s">
        <v>141</v>
      </c>
      <c r="BG341" s="67" t="s">
        <v>142</v>
      </c>
      <c r="BH341" s="67"/>
      <c r="BI341" s="67"/>
      <c r="BJ341" s="67"/>
      <c r="BK341" s="67"/>
      <c r="BL341" s="67" t="s">
        <v>145</v>
      </c>
      <c r="BM341" s="67" t="s">
        <v>1897</v>
      </c>
      <c r="BN341" s="100">
        <v>99.0</v>
      </c>
      <c r="BO341" s="102" t="s">
        <v>1647</v>
      </c>
      <c r="BP341" s="67" t="s">
        <v>144</v>
      </c>
      <c r="BQ341" s="79" t="s">
        <v>141</v>
      </c>
      <c r="BR341" s="67">
        <v>1.0</v>
      </c>
      <c r="BS341" s="102" t="s">
        <v>149</v>
      </c>
      <c r="BT341" s="106"/>
      <c r="BU341" s="107"/>
      <c r="BV341" s="108">
        <f t="shared" si="2"/>
        <v>46234</v>
      </c>
      <c r="BW341" s="108" t="str">
        <f t="shared" si="16"/>
        <v/>
      </c>
      <c r="BX341" s="102" t="str">
        <f t="shared" si="15"/>
        <v/>
      </c>
      <c r="BY341" s="107">
        <f t="shared" si="5"/>
        <v>0</v>
      </c>
      <c r="BZ341" s="107">
        <f t="array" ref="BZ341">IF($A341&lt;&gt;"",INDEX(LISTA!$M$2:$N$27,MATCH($BC341,LISTA!$N$2:$N$27,0),1),"")</f>
        <v>13</v>
      </c>
      <c r="CA341" s="67">
        <f t="shared" si="6"/>
        <v>7</v>
      </c>
      <c r="CB341" s="114" t="str">
        <f t="shared" si="7"/>
        <v/>
      </c>
      <c r="CC341" s="114"/>
    </row>
    <row r="342" ht="15.0" hidden="1" customHeight="1" outlineLevel="1">
      <c r="A342" s="59">
        <v>46209.37185585648</v>
      </c>
      <c r="B342" s="115" t="s">
        <v>329</v>
      </c>
      <c r="C342" s="54" t="s">
        <v>100</v>
      </c>
      <c r="D342" s="56" t="s">
        <v>101</v>
      </c>
      <c r="E342" s="69">
        <v>46210.375</v>
      </c>
      <c r="F342" s="73" t="s">
        <v>4635</v>
      </c>
      <c r="G342" s="60" t="s">
        <v>4636</v>
      </c>
      <c r="H342" s="60" t="s">
        <v>4637</v>
      </c>
      <c r="I342" s="67" t="s">
        <v>350</v>
      </c>
      <c r="J342" s="79" t="s">
        <v>4638</v>
      </c>
      <c r="K342" s="67" t="s">
        <v>109</v>
      </c>
      <c r="L342" s="79" t="s">
        <v>4639</v>
      </c>
      <c r="M342" s="83" t="s">
        <v>4640</v>
      </c>
      <c r="N342" s="78">
        <v>31045.0</v>
      </c>
      <c r="O342" s="80" t="s">
        <v>29</v>
      </c>
      <c r="P342" s="156" t="s">
        <v>4641</v>
      </c>
      <c r="Q342" s="54"/>
      <c r="R342" s="84"/>
      <c r="S342" s="84"/>
      <c r="T342" s="54" t="s">
        <v>122</v>
      </c>
      <c r="U342" s="86"/>
      <c r="V342" s="54"/>
      <c r="W342" s="86"/>
      <c r="X342" s="54"/>
      <c r="Y342" s="78"/>
      <c r="Z342" s="54"/>
      <c r="AA342" s="70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54" t="s">
        <v>4642</v>
      </c>
      <c r="AR342" s="83" t="s">
        <v>310</v>
      </c>
      <c r="AS342" s="83" t="s">
        <v>4643</v>
      </c>
      <c r="AT342" s="93" t="s">
        <v>4638</v>
      </c>
      <c r="AU342" s="93" t="s">
        <v>4638</v>
      </c>
      <c r="AV342" s="93" t="s">
        <v>4638</v>
      </c>
      <c r="AW342" s="83" t="s">
        <v>4644</v>
      </c>
      <c r="AX342" s="83">
        <v>2.0</v>
      </c>
      <c r="AY342" s="83">
        <v>0.0</v>
      </c>
      <c r="AZ342" s="83" t="s">
        <v>4645</v>
      </c>
      <c r="BA342" s="83" t="s">
        <v>4646</v>
      </c>
      <c r="BB342" s="83" t="s">
        <v>4647</v>
      </c>
      <c r="BC342" s="54" t="s">
        <v>27</v>
      </c>
      <c r="BD342" s="54" t="str">
        <f t="shared" si="1"/>
        <v>Arequipa</v>
      </c>
      <c r="BE342" s="67" t="s">
        <v>140</v>
      </c>
      <c r="BF342" s="67" t="s">
        <v>144</v>
      </c>
      <c r="BG342" s="67" t="s">
        <v>142</v>
      </c>
      <c r="BH342" s="67"/>
      <c r="BI342" s="67"/>
      <c r="BJ342" s="67"/>
      <c r="BK342" s="67"/>
      <c r="BL342" s="67" t="s">
        <v>727</v>
      </c>
      <c r="BM342" s="67" t="s">
        <v>146</v>
      </c>
      <c r="BN342" s="100">
        <v>155.0</v>
      </c>
      <c r="BO342" s="102" t="s">
        <v>615</v>
      </c>
      <c r="BP342" s="67" t="s">
        <v>141</v>
      </c>
      <c r="BQ342" s="79" t="s">
        <v>144</v>
      </c>
      <c r="BR342" s="67" t="s">
        <v>149</v>
      </c>
      <c r="BS342" s="102" t="s">
        <v>149</v>
      </c>
      <c r="BT342" s="106"/>
      <c r="BU342" s="107"/>
      <c r="BV342" s="108">
        <f t="shared" si="2"/>
        <v>46209</v>
      </c>
      <c r="BW342" s="108">
        <f t="shared" si="16"/>
        <v>46210</v>
      </c>
      <c r="BX342" s="102" t="str">
        <f t="shared" si="15"/>
        <v>09</v>
      </c>
      <c r="BY342" s="107">
        <f t="shared" si="5"/>
        <v>0</v>
      </c>
      <c r="BZ342" s="107">
        <f t="array" ref="BZ342">IF($A342&lt;&gt;"",INDEX(LISTA!$M$2:$N$27,MATCH($BC342,LISTA!$N$2:$N$27,0),1),"")</f>
        <v>7</v>
      </c>
      <c r="CA342" s="67">
        <f t="shared" si="6"/>
        <v>7</v>
      </c>
      <c r="CB342" s="114" t="str">
        <f t="shared" si="7"/>
        <v/>
      </c>
      <c r="CC342" s="114"/>
    </row>
    <row r="343" ht="15.0" customHeight="1">
      <c r="A343" s="59">
        <v>46235.74417608796</v>
      </c>
      <c r="B343" s="115" t="s">
        <v>105</v>
      </c>
      <c r="C343" s="54" t="s">
        <v>100</v>
      </c>
      <c r="D343" s="56" t="s">
        <v>319</v>
      </c>
      <c r="E343" s="69">
        <v>46236.583333333336</v>
      </c>
      <c r="F343" s="162"/>
      <c r="G343" s="60" t="s">
        <v>4648</v>
      </c>
      <c r="H343" s="60" t="s">
        <v>4649</v>
      </c>
      <c r="I343" s="67" t="s">
        <v>107</v>
      </c>
      <c r="J343" s="79" t="s">
        <v>4650</v>
      </c>
      <c r="K343" s="67" t="s">
        <v>109</v>
      </c>
      <c r="L343" s="79" t="s">
        <v>4651</v>
      </c>
      <c r="M343" s="83" t="s">
        <v>4652</v>
      </c>
      <c r="N343" s="78">
        <v>31825.0</v>
      </c>
      <c r="O343" s="80" t="s">
        <v>40</v>
      </c>
      <c r="P343" s="70">
        <v>130101.0</v>
      </c>
      <c r="Q343" s="54"/>
      <c r="R343" s="84"/>
      <c r="S343" s="84"/>
      <c r="T343" s="54"/>
      <c r="U343" s="86"/>
      <c r="V343" s="54"/>
      <c r="W343" s="86"/>
      <c r="X343" s="54"/>
      <c r="Y343" s="78"/>
      <c r="Z343" s="54"/>
      <c r="AA343" s="70"/>
      <c r="AB343" s="83"/>
      <c r="AC343" s="83"/>
      <c r="AD343" s="83" t="s">
        <v>805</v>
      </c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54" t="s">
        <v>1072</v>
      </c>
      <c r="AR343" s="83" t="s">
        <v>4653</v>
      </c>
      <c r="AS343" s="83" t="s">
        <v>4654</v>
      </c>
      <c r="AT343" s="93" t="s">
        <v>4655</v>
      </c>
      <c r="AU343" s="93" t="s">
        <v>4655</v>
      </c>
      <c r="AV343" s="93" t="s">
        <v>4655</v>
      </c>
      <c r="AW343" s="83" t="s">
        <v>4656</v>
      </c>
      <c r="AX343" s="83">
        <v>2.0</v>
      </c>
      <c r="AY343" s="83">
        <v>1.0</v>
      </c>
      <c r="AZ343" s="83" t="s">
        <v>4657</v>
      </c>
      <c r="BA343" s="83" t="s">
        <v>4658</v>
      </c>
      <c r="BB343" s="83" t="s">
        <v>4659</v>
      </c>
      <c r="BC343" s="54" t="s">
        <v>40</v>
      </c>
      <c r="BD343" s="54" t="str">
        <f t="shared" si="1"/>
        <v>Chiclayo</v>
      </c>
      <c r="BE343" s="67" t="s">
        <v>140</v>
      </c>
      <c r="BF343" s="67" t="s">
        <v>141</v>
      </c>
      <c r="BG343" s="67" t="s">
        <v>142</v>
      </c>
      <c r="BH343" s="67"/>
      <c r="BI343" s="67"/>
      <c r="BJ343" s="67"/>
      <c r="BK343" s="67"/>
      <c r="BL343" s="67" t="s">
        <v>147</v>
      </c>
      <c r="BM343" s="67" t="s">
        <v>146</v>
      </c>
      <c r="BN343" s="100">
        <v>89.0</v>
      </c>
      <c r="BO343" s="102" t="s">
        <v>148</v>
      </c>
      <c r="BP343" s="67" t="s">
        <v>141</v>
      </c>
      <c r="BQ343" s="79" t="s">
        <v>141</v>
      </c>
      <c r="BR343" s="67" t="s">
        <v>149</v>
      </c>
      <c r="BS343" s="102">
        <v>1.0</v>
      </c>
      <c r="BT343" s="106">
        <v>46236.0</v>
      </c>
      <c r="BU343" s="107">
        <v>1.0</v>
      </c>
      <c r="BV343" s="108">
        <f t="shared" si="2"/>
        <v>46235</v>
      </c>
      <c r="BW343" s="108">
        <f t="shared" si="16"/>
        <v>46236</v>
      </c>
      <c r="BX343" s="102" t="str">
        <f t="shared" si="15"/>
        <v>14</v>
      </c>
      <c r="BY343" s="107">
        <f t="shared" si="5"/>
        <v>5</v>
      </c>
      <c r="BZ343" s="107">
        <f t="array" ref="BZ343">IF($A343&lt;&gt;"",INDEX(LISTA!$M$2:$N$27,MATCH($BC343,LISTA!$N$2:$N$27,0),1),"")</f>
        <v>16</v>
      </c>
      <c r="CA343" s="67">
        <f t="shared" si="6"/>
        <v>8</v>
      </c>
      <c r="CB343" s="114">
        <f t="shared" si="7"/>
        <v>8</v>
      </c>
      <c r="CC343" s="160">
        <v>5.8231102E7</v>
      </c>
    </row>
    <row r="344" ht="15.0" customHeight="1">
      <c r="A344" s="59">
        <v>46235.45763721065</v>
      </c>
      <c r="B344" s="115" t="s">
        <v>105</v>
      </c>
      <c r="C344" s="54" t="s">
        <v>100</v>
      </c>
      <c r="D344" s="56" t="s">
        <v>319</v>
      </c>
      <c r="E344" s="69">
        <v>46237.375</v>
      </c>
      <c r="F344" s="162"/>
      <c r="G344" s="60" t="s">
        <v>4660</v>
      </c>
      <c r="H344" s="60" t="s">
        <v>4661</v>
      </c>
      <c r="I344" s="67" t="s">
        <v>374</v>
      </c>
      <c r="J344" s="79" t="s">
        <v>4662</v>
      </c>
      <c r="K344" s="67" t="s">
        <v>109</v>
      </c>
      <c r="L344" s="79" t="s">
        <v>4663</v>
      </c>
      <c r="M344" s="83" t="s">
        <v>4664</v>
      </c>
      <c r="N344" s="78">
        <v>33685.0</v>
      </c>
      <c r="O344" s="80" t="s">
        <v>40</v>
      </c>
      <c r="P344" s="70">
        <v>140301.0</v>
      </c>
      <c r="Q344" s="54"/>
      <c r="R344" s="84"/>
      <c r="S344" s="84"/>
      <c r="T344" s="54"/>
      <c r="U344" s="86"/>
      <c r="V344" s="54"/>
      <c r="W344" s="86"/>
      <c r="X344" s="54"/>
      <c r="Y344" s="78"/>
      <c r="Z344" s="54"/>
      <c r="AA344" s="70"/>
      <c r="AB344" s="83"/>
      <c r="AC344" s="83"/>
      <c r="AD344" s="83"/>
      <c r="AE344" s="83"/>
      <c r="AF344" s="83" t="s">
        <v>1159</v>
      </c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54" t="s">
        <v>4665</v>
      </c>
      <c r="AR344" s="83" t="s">
        <v>4666</v>
      </c>
      <c r="AS344" s="83" t="s">
        <v>4667</v>
      </c>
      <c r="AT344" s="93" t="s">
        <v>4668</v>
      </c>
      <c r="AU344" s="93" t="s">
        <v>4662</v>
      </c>
      <c r="AV344" s="93" t="s">
        <v>4662</v>
      </c>
      <c r="AW344" s="83" t="s">
        <v>4669</v>
      </c>
      <c r="AX344" s="83">
        <v>10.0</v>
      </c>
      <c r="AY344" s="83">
        <v>1005.0</v>
      </c>
      <c r="AZ344" s="83" t="s">
        <v>4670</v>
      </c>
      <c r="BA344" s="83" t="s">
        <v>1767</v>
      </c>
      <c r="BB344" s="83" t="s">
        <v>4671</v>
      </c>
      <c r="BC344" s="54" t="s">
        <v>41</v>
      </c>
      <c r="BD344" s="54" t="str">
        <f t="shared" si="1"/>
        <v>Cercado de Lima</v>
      </c>
      <c r="BE344" s="67" t="s">
        <v>140</v>
      </c>
      <c r="BF344" s="67" t="s">
        <v>144</v>
      </c>
      <c r="BG344" s="67" t="s">
        <v>142</v>
      </c>
      <c r="BH344" s="67"/>
      <c r="BI344" s="67"/>
      <c r="BJ344" s="67"/>
      <c r="BK344" s="67"/>
      <c r="BL344" s="67" t="s">
        <v>145</v>
      </c>
      <c r="BM344" s="67" t="s">
        <v>146</v>
      </c>
      <c r="BN344" s="100">
        <v>150.0</v>
      </c>
      <c r="BO344" s="102" t="s">
        <v>615</v>
      </c>
      <c r="BP344" s="67" t="s">
        <v>141</v>
      </c>
      <c r="BQ344" s="79" t="s">
        <v>141</v>
      </c>
      <c r="BR344" s="67" t="s">
        <v>149</v>
      </c>
      <c r="BS344" s="102">
        <v>1.0</v>
      </c>
      <c r="BT344" s="106">
        <v>46237.0</v>
      </c>
      <c r="BU344" s="107">
        <v>2.0</v>
      </c>
      <c r="BV344" s="108">
        <f t="shared" si="2"/>
        <v>46235</v>
      </c>
      <c r="BW344" s="108">
        <f t="shared" si="16"/>
        <v>46237</v>
      </c>
      <c r="BX344" s="102" t="str">
        <f t="shared" si="15"/>
        <v>09</v>
      </c>
      <c r="BY344" s="107">
        <f t="shared" si="5"/>
        <v>5</v>
      </c>
      <c r="BZ344" s="107">
        <f t="array" ref="BZ344">IF($A344&lt;&gt;"",INDEX(LISTA!$M$2:$N$27,MATCH($BC344,LISTA!$N$2:$N$27,0),1),"")</f>
        <v>1</v>
      </c>
      <c r="CA344" s="67">
        <f t="shared" si="6"/>
        <v>8</v>
      </c>
      <c r="CB344" s="114">
        <f t="shared" si="7"/>
        <v>8</v>
      </c>
      <c r="CC344" s="160">
        <v>5.8227669E7</v>
      </c>
    </row>
    <row r="345" ht="15.0" customHeight="1">
      <c r="A345" s="59">
        <v>46235.45964537037</v>
      </c>
      <c r="B345" s="115" t="s">
        <v>105</v>
      </c>
      <c r="C345" s="54" t="s">
        <v>100</v>
      </c>
      <c r="D345" s="56" t="s">
        <v>319</v>
      </c>
      <c r="E345" s="69">
        <v>46237.375</v>
      </c>
      <c r="F345" s="162"/>
      <c r="G345" s="60" t="s">
        <v>4672</v>
      </c>
      <c r="H345" s="60" t="s">
        <v>4673</v>
      </c>
      <c r="I345" s="67" t="s">
        <v>374</v>
      </c>
      <c r="J345" s="79" t="s">
        <v>4674</v>
      </c>
      <c r="K345" s="67" t="s">
        <v>109</v>
      </c>
      <c r="L345" s="79" t="s">
        <v>4675</v>
      </c>
      <c r="M345" s="83" t="s">
        <v>4676</v>
      </c>
      <c r="N345" s="78">
        <v>28097.0</v>
      </c>
      <c r="O345" s="80" t="s">
        <v>34</v>
      </c>
      <c r="P345" s="70">
        <v>110101.0</v>
      </c>
      <c r="Q345" s="54"/>
      <c r="R345" s="84"/>
      <c r="S345" s="84"/>
      <c r="T345" s="54"/>
      <c r="U345" s="86"/>
      <c r="V345" s="54"/>
      <c r="W345" s="86"/>
      <c r="X345" s="54"/>
      <c r="Y345" s="78"/>
      <c r="Z345" s="54"/>
      <c r="AA345" s="70"/>
      <c r="AB345" s="83"/>
      <c r="AC345" s="83"/>
      <c r="AD345" s="83"/>
      <c r="AE345" s="83"/>
      <c r="AF345" s="83" t="s">
        <v>165</v>
      </c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54" t="s">
        <v>315</v>
      </c>
      <c r="AR345" s="83" t="s">
        <v>717</v>
      </c>
      <c r="AS345" s="83" t="s">
        <v>4677</v>
      </c>
      <c r="AT345" s="93" t="s">
        <v>4674</v>
      </c>
      <c r="AU345" s="93" t="s">
        <v>4674</v>
      </c>
      <c r="AV345" s="93" t="s">
        <v>4674</v>
      </c>
      <c r="AW345" s="83" t="s">
        <v>4678</v>
      </c>
      <c r="AX345" s="83">
        <v>3.0</v>
      </c>
      <c r="AY345" s="83">
        <v>1.0</v>
      </c>
      <c r="AZ345" s="83" t="s">
        <v>4679</v>
      </c>
      <c r="BA345" s="83" t="s">
        <v>1767</v>
      </c>
      <c r="BB345" s="83" t="s">
        <v>4680</v>
      </c>
      <c r="BC345" s="54" t="s">
        <v>41</v>
      </c>
      <c r="BD345" s="54" t="str">
        <f t="shared" si="1"/>
        <v>San Martín de Porres</v>
      </c>
      <c r="BE345" s="67" t="s">
        <v>140</v>
      </c>
      <c r="BF345" s="67" t="s">
        <v>144</v>
      </c>
      <c r="BG345" s="67" t="s">
        <v>142</v>
      </c>
      <c r="BH345" s="67"/>
      <c r="BI345" s="67"/>
      <c r="BJ345" s="67"/>
      <c r="BK345" s="67"/>
      <c r="BL345" s="67" t="s">
        <v>147</v>
      </c>
      <c r="BM345" s="67" t="s">
        <v>146</v>
      </c>
      <c r="BN345" s="100">
        <v>89.0</v>
      </c>
      <c r="BO345" s="102" t="s">
        <v>148</v>
      </c>
      <c r="BP345" s="67" t="s">
        <v>141</v>
      </c>
      <c r="BQ345" s="79" t="s">
        <v>141</v>
      </c>
      <c r="BR345" s="67" t="s">
        <v>149</v>
      </c>
      <c r="BS345" s="102">
        <v>1.0</v>
      </c>
      <c r="BT345" s="106">
        <v>46237.0</v>
      </c>
      <c r="BU345" s="107">
        <v>3.0</v>
      </c>
      <c r="BV345" s="108">
        <f t="shared" si="2"/>
        <v>46235</v>
      </c>
      <c r="BW345" s="108">
        <f t="shared" si="16"/>
        <v>46237</v>
      </c>
      <c r="BX345" s="102" t="str">
        <f t="shared" si="15"/>
        <v>09</v>
      </c>
      <c r="BY345" s="107">
        <f t="shared" si="5"/>
        <v>5</v>
      </c>
      <c r="BZ345" s="107">
        <f t="array" ref="BZ345">IF($A345&lt;&gt;"",INDEX(LISTA!$M$2:$N$27,MATCH($BC345,LISTA!$N$2:$N$27,0),1),"")</f>
        <v>1</v>
      </c>
      <c r="CA345" s="67">
        <f t="shared" si="6"/>
        <v>8</v>
      </c>
      <c r="CB345" s="114">
        <f t="shared" si="7"/>
        <v>8</v>
      </c>
      <c r="CC345" s="160">
        <v>5.8228123E7</v>
      </c>
    </row>
    <row r="346" ht="15.0" customHeight="1">
      <c r="A346" s="59">
        <v>46235.43911028936</v>
      </c>
      <c r="B346" s="115" t="s">
        <v>105</v>
      </c>
      <c r="C346" s="54" t="s">
        <v>100</v>
      </c>
      <c r="D346" s="56" t="s">
        <v>319</v>
      </c>
      <c r="E346" s="69">
        <v>46237.583333333336</v>
      </c>
      <c r="F346" s="162"/>
      <c r="G346" s="60" t="s">
        <v>4681</v>
      </c>
      <c r="H346" s="60" t="s">
        <v>4682</v>
      </c>
      <c r="I346" s="67" t="s">
        <v>382</v>
      </c>
      <c r="J346" s="79" t="s">
        <v>4683</v>
      </c>
      <c r="K346" s="67" t="s">
        <v>109</v>
      </c>
      <c r="L346" s="79" t="s">
        <v>4684</v>
      </c>
      <c r="M346" s="83" t="s">
        <v>4685</v>
      </c>
      <c r="N346" s="78">
        <v>31572.0</v>
      </c>
      <c r="O346" s="80" t="s">
        <v>40</v>
      </c>
      <c r="P346" s="70">
        <v>140106.0</v>
      </c>
      <c r="Q346" s="54"/>
      <c r="R346" s="84"/>
      <c r="S346" s="84"/>
      <c r="T346" s="54"/>
      <c r="U346" s="86"/>
      <c r="V346" s="54"/>
      <c r="W346" s="86"/>
      <c r="X346" s="54"/>
      <c r="Y346" s="78"/>
      <c r="Z346" s="54"/>
      <c r="AA346" s="70"/>
      <c r="AB346" s="83"/>
      <c r="AC346" s="83"/>
      <c r="AD346" s="83" t="s">
        <v>805</v>
      </c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54" t="s">
        <v>4686</v>
      </c>
      <c r="AR346" s="83" t="s">
        <v>4687</v>
      </c>
      <c r="AS346" s="83" t="s">
        <v>4688</v>
      </c>
      <c r="AT346" s="93" t="s">
        <v>4683</v>
      </c>
      <c r="AU346" s="93" t="s">
        <v>4683</v>
      </c>
      <c r="AV346" s="93" t="s">
        <v>4683</v>
      </c>
      <c r="AW346" s="83" t="s">
        <v>4689</v>
      </c>
      <c r="AX346" s="83">
        <v>2.0</v>
      </c>
      <c r="AY346" s="83">
        <v>0.0</v>
      </c>
      <c r="AZ346" s="83" t="s">
        <v>4690</v>
      </c>
      <c r="BA346" s="83" t="s">
        <v>4691</v>
      </c>
      <c r="BB346" s="83" t="s">
        <v>4692</v>
      </c>
      <c r="BC346" s="54" t="s">
        <v>40</v>
      </c>
      <c r="BD346" s="54" t="str">
        <f t="shared" si="1"/>
        <v>Chiclayo</v>
      </c>
      <c r="BE346" s="67" t="s">
        <v>140</v>
      </c>
      <c r="BF346" s="67" t="s">
        <v>144</v>
      </c>
      <c r="BG346" s="67" t="s">
        <v>142</v>
      </c>
      <c r="BH346" s="67"/>
      <c r="BI346" s="67"/>
      <c r="BJ346" s="67"/>
      <c r="BK346" s="67"/>
      <c r="BL346" s="67" t="s">
        <v>147</v>
      </c>
      <c r="BM346" s="67" t="s">
        <v>146</v>
      </c>
      <c r="BN346" s="100">
        <v>89.0</v>
      </c>
      <c r="BO346" s="102" t="s">
        <v>148</v>
      </c>
      <c r="BP346" s="67" t="s">
        <v>141</v>
      </c>
      <c r="BQ346" s="79" t="s">
        <v>141</v>
      </c>
      <c r="BR346" s="67" t="s">
        <v>149</v>
      </c>
      <c r="BS346" s="102">
        <v>1.0</v>
      </c>
      <c r="BT346" s="106">
        <v>46237.0</v>
      </c>
      <c r="BU346" s="107">
        <v>4.0</v>
      </c>
      <c r="BV346" s="108">
        <f t="shared" si="2"/>
        <v>46235</v>
      </c>
      <c r="BW346" s="108">
        <f t="shared" si="16"/>
        <v>46237</v>
      </c>
      <c r="BX346" s="102" t="str">
        <f t="shared" si="15"/>
        <v>14</v>
      </c>
      <c r="BY346" s="107">
        <f t="shared" si="5"/>
        <v>5</v>
      </c>
      <c r="BZ346" s="107">
        <f t="array" ref="BZ346">IF($A346&lt;&gt;"",INDEX(LISTA!$M$2:$N$27,MATCH($BC346,LISTA!$N$2:$N$27,0),1),"")</f>
        <v>16</v>
      </c>
      <c r="CA346" s="67">
        <f t="shared" si="6"/>
        <v>8</v>
      </c>
      <c r="CB346" s="114">
        <f t="shared" si="7"/>
        <v>8</v>
      </c>
      <c r="CC346" s="160">
        <v>5.8227271E7</v>
      </c>
    </row>
    <row r="347" ht="15.0" customHeight="1">
      <c r="A347" s="59">
        <v>46237.45701100695</v>
      </c>
      <c r="B347" s="115" t="s">
        <v>105</v>
      </c>
      <c r="C347" s="54" t="s">
        <v>100</v>
      </c>
      <c r="D347" s="56" t="s">
        <v>319</v>
      </c>
      <c r="E347" s="69">
        <v>46238.375</v>
      </c>
      <c r="F347" s="162"/>
      <c r="G347" s="60" t="s">
        <v>4693</v>
      </c>
      <c r="H347" s="60" t="s">
        <v>4694</v>
      </c>
      <c r="I347" s="67" t="s">
        <v>378</v>
      </c>
      <c r="J347" s="79" t="s">
        <v>4695</v>
      </c>
      <c r="K347" s="67" t="s">
        <v>109</v>
      </c>
      <c r="L347" s="79" t="s">
        <v>4696</v>
      </c>
      <c r="M347" s="83" t="s">
        <v>4697</v>
      </c>
      <c r="N347" s="78">
        <v>24927.0</v>
      </c>
      <c r="O347" s="80" t="s">
        <v>28</v>
      </c>
      <c r="P347" s="156" t="s">
        <v>3317</v>
      </c>
      <c r="Q347" s="54"/>
      <c r="R347" s="84"/>
      <c r="S347" s="84"/>
      <c r="T347" s="54"/>
      <c r="U347" s="86" t="s">
        <v>1088</v>
      </c>
      <c r="V347" s="54"/>
      <c r="W347" s="86"/>
      <c r="X347" s="54"/>
      <c r="Y347" s="78"/>
      <c r="Z347" s="54"/>
      <c r="AA347" s="70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54" t="s">
        <v>4698</v>
      </c>
      <c r="AR347" s="83" t="s">
        <v>3044</v>
      </c>
      <c r="AS347" s="83" t="s">
        <v>4699</v>
      </c>
      <c r="AT347" s="93" t="s">
        <v>4695</v>
      </c>
      <c r="AU347" s="93" t="s">
        <v>4695</v>
      </c>
      <c r="AV347" s="93" t="s">
        <v>4695</v>
      </c>
      <c r="AW347" s="83" t="s">
        <v>4700</v>
      </c>
      <c r="AX347" s="83">
        <v>1.0</v>
      </c>
      <c r="AY347" s="83" t="s">
        <v>2739</v>
      </c>
      <c r="AZ347" s="83" t="s">
        <v>4701</v>
      </c>
      <c r="BA347" s="83" t="s">
        <v>4702</v>
      </c>
      <c r="BB347" s="83" t="s">
        <v>4703</v>
      </c>
      <c r="BC347" s="54" t="s">
        <v>28</v>
      </c>
      <c r="BD347" s="54" t="str">
        <f t="shared" si="1"/>
        <v>Huamanga</v>
      </c>
      <c r="BE347" s="67" t="s">
        <v>140</v>
      </c>
      <c r="BF347" s="67" t="s">
        <v>144</v>
      </c>
      <c r="BG347" s="67" t="s">
        <v>142</v>
      </c>
      <c r="BH347" s="67"/>
      <c r="BI347" s="67"/>
      <c r="BJ347" s="67"/>
      <c r="BK347" s="67"/>
      <c r="BL347" s="67" t="s">
        <v>147</v>
      </c>
      <c r="BM347" s="67" t="s">
        <v>146</v>
      </c>
      <c r="BN347" s="100">
        <v>89.0</v>
      </c>
      <c r="BO347" s="102" t="s">
        <v>148</v>
      </c>
      <c r="BP347" s="67" t="s">
        <v>141</v>
      </c>
      <c r="BQ347" s="79" t="s">
        <v>141</v>
      </c>
      <c r="BR347" s="67" t="s">
        <v>149</v>
      </c>
      <c r="BS347" s="102">
        <v>1.0</v>
      </c>
      <c r="BT347" s="106">
        <v>46237.0</v>
      </c>
      <c r="BU347" s="107">
        <v>5.0</v>
      </c>
      <c r="BV347" s="108">
        <f t="shared" si="2"/>
        <v>46237</v>
      </c>
      <c r="BW347" s="108">
        <f t="shared" si="16"/>
        <v>46238</v>
      </c>
      <c r="BX347" s="102" t="str">
        <f t="shared" si="15"/>
        <v>09</v>
      </c>
      <c r="BY347" s="107">
        <f t="shared" si="5"/>
        <v>5</v>
      </c>
      <c r="BZ347" s="107">
        <f t="array" ref="BZ347">IF($A347&lt;&gt;"",INDEX(LISTA!$M$2:$N$27,MATCH($BC347,LISTA!$N$2:$N$27,0),1),"")</f>
        <v>8</v>
      </c>
      <c r="CA347" s="67">
        <f t="shared" si="6"/>
        <v>8</v>
      </c>
      <c r="CB347" s="114">
        <f t="shared" si="7"/>
        <v>8</v>
      </c>
      <c r="CC347" s="160">
        <v>5.823628E7</v>
      </c>
    </row>
    <row r="348" ht="15.0" customHeight="1">
      <c r="A348" s="59">
        <v>46237.752028414354</v>
      </c>
      <c r="B348" s="115" t="s">
        <v>105</v>
      </c>
      <c r="C348" s="54" t="s">
        <v>100</v>
      </c>
      <c r="D348" s="56" t="s">
        <v>319</v>
      </c>
      <c r="E348" s="69">
        <v>46238.375</v>
      </c>
      <c r="F348" s="162"/>
      <c r="G348" s="60" t="s">
        <v>4704</v>
      </c>
      <c r="H348" s="60" t="s">
        <v>4705</v>
      </c>
      <c r="I348" s="67" t="s">
        <v>107</v>
      </c>
      <c r="J348" s="79" t="s">
        <v>4706</v>
      </c>
      <c r="K348" s="67" t="s">
        <v>109</v>
      </c>
      <c r="L348" s="79" t="s">
        <v>4707</v>
      </c>
      <c r="M348" s="83" t="s">
        <v>4708</v>
      </c>
      <c r="N348" s="78">
        <v>25813.0</v>
      </c>
      <c r="O348" s="80" t="s">
        <v>39</v>
      </c>
      <c r="P348" s="70">
        <v>120101.0</v>
      </c>
      <c r="Q348" s="54"/>
      <c r="R348" s="84"/>
      <c r="S348" s="84"/>
      <c r="T348" s="54"/>
      <c r="U348" s="86"/>
      <c r="V348" s="54"/>
      <c r="W348" s="86"/>
      <c r="X348" s="54"/>
      <c r="Y348" s="78"/>
      <c r="Z348" s="54"/>
      <c r="AA348" s="70"/>
      <c r="AB348" s="83"/>
      <c r="AC348" s="83" t="s">
        <v>1690</v>
      </c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54" t="s">
        <v>4709</v>
      </c>
      <c r="AR348" s="83" t="s">
        <v>4710</v>
      </c>
      <c r="AS348" s="83" t="s">
        <v>4711</v>
      </c>
      <c r="AT348" s="93" t="s">
        <v>4706</v>
      </c>
      <c r="AU348" s="93" t="s">
        <v>4706</v>
      </c>
      <c r="AV348" s="93" t="s">
        <v>4712</v>
      </c>
      <c r="AW348" s="83" t="s">
        <v>4713</v>
      </c>
      <c r="AX348" s="83">
        <v>1.0</v>
      </c>
      <c r="AY348" s="83">
        <v>1.0</v>
      </c>
      <c r="AZ348" s="83" t="s">
        <v>4714</v>
      </c>
      <c r="BA348" s="83" t="s">
        <v>4715</v>
      </c>
      <c r="BB348" s="83" t="s">
        <v>4716</v>
      </c>
      <c r="BC348" s="54" t="s">
        <v>39</v>
      </c>
      <c r="BD348" s="54" t="str">
        <f t="shared" si="1"/>
        <v>Trujillo</v>
      </c>
      <c r="BE348" s="67" t="s">
        <v>140</v>
      </c>
      <c r="BF348" s="67" t="s">
        <v>144</v>
      </c>
      <c r="BG348" s="67" t="s">
        <v>142</v>
      </c>
      <c r="BH348" s="67"/>
      <c r="BI348" s="67"/>
      <c r="BJ348" s="67"/>
      <c r="BK348" s="67"/>
      <c r="BL348" s="67" t="s">
        <v>147</v>
      </c>
      <c r="BM348" s="67" t="s">
        <v>146</v>
      </c>
      <c r="BN348" s="100">
        <v>89.0</v>
      </c>
      <c r="BO348" s="102" t="s">
        <v>148</v>
      </c>
      <c r="BP348" s="67" t="s">
        <v>141</v>
      </c>
      <c r="BQ348" s="79" t="s">
        <v>141</v>
      </c>
      <c r="BR348" s="67" t="s">
        <v>149</v>
      </c>
      <c r="BS348" s="102">
        <v>1.0</v>
      </c>
      <c r="BT348" s="106">
        <v>46238.0</v>
      </c>
      <c r="BU348" s="107">
        <v>1.0</v>
      </c>
      <c r="BV348" s="108">
        <f t="shared" si="2"/>
        <v>46237</v>
      </c>
      <c r="BW348" s="108">
        <f t="shared" si="16"/>
        <v>46238</v>
      </c>
      <c r="BX348" s="102" t="str">
        <f t="shared" si="15"/>
        <v>09</v>
      </c>
      <c r="BY348" s="107">
        <f t="shared" si="5"/>
        <v>5</v>
      </c>
      <c r="BZ348" s="107">
        <f t="array" ref="BZ348">IF($A348&lt;&gt;"",INDEX(LISTA!$M$2:$N$27,MATCH($BC348,LISTA!$N$2:$N$27,0),1),"")</f>
        <v>15</v>
      </c>
      <c r="CA348" s="67">
        <f t="shared" si="6"/>
        <v>8</v>
      </c>
      <c r="CB348" s="114">
        <f t="shared" si="7"/>
        <v>8</v>
      </c>
      <c r="CC348" s="160">
        <v>5.8241158E7</v>
      </c>
    </row>
    <row r="349" ht="15.0" customHeight="1">
      <c r="A349" s="59">
        <v>46237.62153375</v>
      </c>
      <c r="B349" s="115" t="s">
        <v>105</v>
      </c>
      <c r="C349" s="54" t="s">
        <v>100</v>
      </c>
      <c r="D349" s="56" t="s">
        <v>319</v>
      </c>
      <c r="E349" s="69">
        <v>46238.375</v>
      </c>
      <c r="F349" s="162"/>
      <c r="G349" s="60" t="s">
        <v>4717</v>
      </c>
      <c r="H349" s="60" t="s">
        <v>4718</v>
      </c>
      <c r="I349" s="67" t="s">
        <v>350</v>
      </c>
      <c r="J349" s="79" t="s">
        <v>4719</v>
      </c>
      <c r="K349" s="67" t="s">
        <v>109</v>
      </c>
      <c r="L349" s="79" t="s">
        <v>4720</v>
      </c>
      <c r="M349" s="83" t="s">
        <v>4721</v>
      </c>
      <c r="N349" s="78">
        <v>29318.0</v>
      </c>
      <c r="O349" s="80" t="s">
        <v>31</v>
      </c>
      <c r="P349" s="156" t="s">
        <v>4722</v>
      </c>
      <c r="Q349" s="54"/>
      <c r="R349" s="84"/>
      <c r="S349" s="84"/>
      <c r="T349" s="54"/>
      <c r="U349" s="86"/>
      <c r="V349" s="54"/>
      <c r="W349" s="86"/>
      <c r="X349" s="54" t="s">
        <v>4723</v>
      </c>
      <c r="Y349" s="78"/>
      <c r="Z349" s="54"/>
      <c r="AA349" s="70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54" t="s">
        <v>2173</v>
      </c>
      <c r="AR349" s="83" t="s">
        <v>4724</v>
      </c>
      <c r="AS349" s="83" t="s">
        <v>4725</v>
      </c>
      <c r="AT349" s="93" t="s">
        <v>4719</v>
      </c>
      <c r="AU349" s="93" t="s">
        <v>4719</v>
      </c>
      <c r="AV349" s="93" t="s">
        <v>4719</v>
      </c>
      <c r="AW349" s="83" t="s">
        <v>4726</v>
      </c>
      <c r="AX349" s="83">
        <v>2.0</v>
      </c>
      <c r="AY349" s="83">
        <v>0.0</v>
      </c>
      <c r="AZ349" s="83" t="s">
        <v>4727</v>
      </c>
      <c r="BA349" s="83" t="s">
        <v>4728</v>
      </c>
      <c r="BB349" s="83" t="s">
        <v>4729</v>
      </c>
      <c r="BC349" s="54" t="s">
        <v>31</v>
      </c>
      <c r="BD349" s="54" t="str">
        <f t="shared" si="1"/>
        <v>La Convención</v>
      </c>
      <c r="BE349" s="67" t="s">
        <v>140</v>
      </c>
      <c r="BF349" s="67" t="s">
        <v>141</v>
      </c>
      <c r="BG349" s="67" t="s">
        <v>142</v>
      </c>
      <c r="BH349" s="67"/>
      <c r="BI349" s="67"/>
      <c r="BJ349" s="67"/>
      <c r="BK349" s="67"/>
      <c r="BL349" s="67" t="s">
        <v>145</v>
      </c>
      <c r="BM349" s="67" t="s">
        <v>146</v>
      </c>
      <c r="BN349" s="100">
        <v>170.0</v>
      </c>
      <c r="BO349" s="102" t="s">
        <v>148</v>
      </c>
      <c r="BP349" s="67" t="s">
        <v>141</v>
      </c>
      <c r="BQ349" s="79" t="s">
        <v>141</v>
      </c>
      <c r="BR349" s="67">
        <v>2.0</v>
      </c>
      <c r="BS349" s="102">
        <v>1.0</v>
      </c>
      <c r="BT349" s="106">
        <v>46238.0</v>
      </c>
      <c r="BU349" s="107">
        <v>2.0</v>
      </c>
      <c r="BV349" s="108">
        <f t="shared" si="2"/>
        <v>46237</v>
      </c>
      <c r="BW349" s="108">
        <f t="shared" si="16"/>
        <v>46238</v>
      </c>
      <c r="BX349" s="102" t="str">
        <f t="shared" si="15"/>
        <v>09</v>
      </c>
      <c r="BY349" s="107">
        <f t="shared" si="5"/>
        <v>5</v>
      </c>
      <c r="BZ349" s="107">
        <f t="array" ref="BZ349">IF($A349&lt;&gt;"",INDEX(LISTA!$M$2:$N$27,MATCH($BC349,LISTA!$N$2:$N$27,0),1),"")</f>
        <v>10</v>
      </c>
      <c r="CA349" s="67">
        <f t="shared" si="6"/>
        <v>8</v>
      </c>
      <c r="CB349" s="114">
        <f t="shared" si="7"/>
        <v>8</v>
      </c>
      <c r="CC349" s="160">
        <v>5.823841E7</v>
      </c>
    </row>
    <row r="350" ht="15.0" customHeight="1">
      <c r="A350" s="59">
        <v>46238.48747486111</v>
      </c>
      <c r="B350" s="115" t="s">
        <v>105</v>
      </c>
      <c r="C350" s="54" t="s">
        <v>100</v>
      </c>
      <c r="D350" s="56" t="s">
        <v>331</v>
      </c>
      <c r="E350" s="69">
        <v>46239.375</v>
      </c>
      <c r="F350" s="162"/>
      <c r="G350" s="60" t="s">
        <v>4730</v>
      </c>
      <c r="H350" s="60" t="s">
        <v>4731</v>
      </c>
      <c r="I350" s="67" t="s">
        <v>386</v>
      </c>
      <c r="J350" s="79" t="s">
        <v>4732</v>
      </c>
      <c r="K350" s="67" t="s">
        <v>109</v>
      </c>
      <c r="L350" s="79" t="s">
        <v>4733</v>
      </c>
      <c r="M350" s="83" t="s">
        <v>4734</v>
      </c>
      <c r="N350" s="78">
        <v>26094.0</v>
      </c>
      <c r="O350" s="80" t="s">
        <v>37</v>
      </c>
      <c r="P350" s="70">
        <v>150101.0</v>
      </c>
      <c r="Q350" s="54"/>
      <c r="R350" s="84" t="s">
        <v>450</v>
      </c>
      <c r="S350" s="84"/>
      <c r="T350" s="54"/>
      <c r="U350" s="86"/>
      <c r="V350" s="54"/>
      <c r="W350" s="86"/>
      <c r="X350" s="54"/>
      <c r="Y350" s="78"/>
      <c r="Z350" s="54"/>
      <c r="AA350" s="70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54" t="s">
        <v>4735</v>
      </c>
      <c r="AR350" s="83" t="s">
        <v>4736</v>
      </c>
      <c r="AS350" s="83" t="s">
        <v>4737</v>
      </c>
      <c r="AT350" s="93" t="s">
        <v>4738</v>
      </c>
      <c r="AU350" s="93" t="s">
        <v>4738</v>
      </c>
      <c r="AV350" s="93" t="s">
        <v>4738</v>
      </c>
      <c r="AW350" s="83" t="s">
        <v>4739</v>
      </c>
      <c r="AX350" s="83">
        <v>2.0</v>
      </c>
      <c r="AY350" s="83" t="s">
        <v>1657</v>
      </c>
      <c r="AZ350" s="83" t="s">
        <v>4740</v>
      </c>
      <c r="BA350" s="83" t="s">
        <v>1657</v>
      </c>
      <c r="BB350" s="83" t="s">
        <v>4741</v>
      </c>
      <c r="BC350" s="54" t="s">
        <v>24</v>
      </c>
      <c r="BD350" s="54" t="str">
        <f t="shared" si="1"/>
        <v>Huaraz</v>
      </c>
      <c r="BE350" s="67" t="s">
        <v>140</v>
      </c>
      <c r="BF350" s="67" t="s">
        <v>141</v>
      </c>
      <c r="BG350" s="67" t="s">
        <v>142</v>
      </c>
      <c r="BH350" s="67"/>
      <c r="BI350" s="67"/>
      <c r="BJ350" s="67"/>
      <c r="BK350" s="67"/>
      <c r="BL350" s="67" t="s">
        <v>145</v>
      </c>
      <c r="BM350" s="67" t="s">
        <v>146</v>
      </c>
      <c r="BN350" s="100">
        <v>150.0</v>
      </c>
      <c r="BO350" s="102" t="s">
        <v>615</v>
      </c>
      <c r="BP350" s="67" t="s">
        <v>144</v>
      </c>
      <c r="BQ350" s="79" t="s">
        <v>141</v>
      </c>
      <c r="BR350" s="67">
        <v>2.0</v>
      </c>
      <c r="BS350" s="102" t="s">
        <v>149</v>
      </c>
      <c r="BT350" s="106">
        <v>46238.0</v>
      </c>
      <c r="BU350" s="107">
        <v>3.0</v>
      </c>
      <c r="BV350" s="108">
        <f t="shared" si="2"/>
        <v>46238</v>
      </c>
      <c r="BW350" s="108">
        <f t="shared" si="16"/>
        <v>46239</v>
      </c>
      <c r="BX350" s="102" t="str">
        <f t="shared" si="15"/>
        <v>09</v>
      </c>
      <c r="BY350" s="107">
        <f t="shared" si="5"/>
        <v>5</v>
      </c>
      <c r="BZ350" s="107">
        <f t="array" ref="BZ350">IF($A350&lt;&gt;"",INDEX(LISTA!$M$2:$N$27,MATCH($BC350,LISTA!$N$2:$N$27,0),1),"")</f>
        <v>5</v>
      </c>
      <c r="CA350" s="67">
        <f t="shared" si="6"/>
        <v>8</v>
      </c>
      <c r="CB350" s="114">
        <f t="shared" si="7"/>
        <v>8</v>
      </c>
      <c r="CC350" s="67">
        <v>5.8245747E7</v>
      </c>
    </row>
    <row r="351" ht="15.0" customHeight="1">
      <c r="A351" s="59">
        <v>46237.460610532406</v>
      </c>
      <c r="B351" s="115" t="s">
        <v>105</v>
      </c>
      <c r="C351" s="54" t="s">
        <v>100</v>
      </c>
      <c r="D351" s="56" t="s">
        <v>319</v>
      </c>
      <c r="E351" s="69">
        <v>46238.583333333336</v>
      </c>
      <c r="F351" s="162"/>
      <c r="G351" s="60" t="s">
        <v>4742</v>
      </c>
      <c r="H351" s="60" t="s">
        <v>4743</v>
      </c>
      <c r="I351" s="67" t="s">
        <v>382</v>
      </c>
      <c r="J351" s="79" t="s">
        <v>4744</v>
      </c>
      <c r="K351" s="67" t="s">
        <v>109</v>
      </c>
      <c r="L351" s="79" t="s">
        <v>4745</v>
      </c>
      <c r="M351" s="83" t="s">
        <v>4746</v>
      </c>
      <c r="N351" s="78">
        <v>23008.0</v>
      </c>
      <c r="O351" s="80" t="s">
        <v>29</v>
      </c>
      <c r="P351" s="156" t="s">
        <v>984</v>
      </c>
      <c r="Q351" s="54"/>
      <c r="R351" s="84"/>
      <c r="S351" s="84"/>
      <c r="T351" s="54"/>
      <c r="U351" s="86"/>
      <c r="V351" s="54"/>
      <c r="W351" s="86"/>
      <c r="X351" s="54"/>
      <c r="Y351" s="78"/>
      <c r="Z351" s="54"/>
      <c r="AA351" s="70"/>
      <c r="AB351" s="83"/>
      <c r="AC351" s="83"/>
      <c r="AD351" s="83"/>
      <c r="AE351" s="83"/>
      <c r="AF351" s="83" t="s">
        <v>3727</v>
      </c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54" t="s">
        <v>4747</v>
      </c>
      <c r="AR351" s="83" t="s">
        <v>4748</v>
      </c>
      <c r="AS351" s="83" t="s">
        <v>4749</v>
      </c>
      <c r="AT351" s="93" t="s">
        <v>4744</v>
      </c>
      <c r="AU351" s="93" t="s">
        <v>4744</v>
      </c>
      <c r="AV351" s="93" t="s">
        <v>4744</v>
      </c>
      <c r="AW351" s="83" t="s">
        <v>4750</v>
      </c>
      <c r="AX351" s="83">
        <v>1.0</v>
      </c>
      <c r="AY351" s="83">
        <v>0.0</v>
      </c>
      <c r="AZ351" s="83" t="s">
        <v>4751</v>
      </c>
      <c r="BA351" s="83" t="s">
        <v>4752</v>
      </c>
      <c r="BB351" s="83" t="s">
        <v>4753</v>
      </c>
      <c r="BC351" s="54" t="s">
        <v>41</v>
      </c>
      <c r="BD351" s="54" t="str">
        <f t="shared" si="1"/>
        <v>Ancón</v>
      </c>
      <c r="BE351" s="67" t="s">
        <v>140</v>
      </c>
      <c r="BF351" s="67" t="s">
        <v>144</v>
      </c>
      <c r="BG351" s="67" t="s">
        <v>142</v>
      </c>
      <c r="BH351" s="67"/>
      <c r="BI351" s="67"/>
      <c r="BJ351" s="67"/>
      <c r="BK351" s="67"/>
      <c r="BL351" s="67" t="s">
        <v>145</v>
      </c>
      <c r="BM351" s="67" t="s">
        <v>146</v>
      </c>
      <c r="BN351" s="100">
        <v>150.0</v>
      </c>
      <c r="BO351" s="102" t="s">
        <v>615</v>
      </c>
      <c r="BP351" s="67" t="s">
        <v>144</v>
      </c>
      <c r="BQ351" s="79" t="s">
        <v>141</v>
      </c>
      <c r="BR351" s="67">
        <v>2.0</v>
      </c>
      <c r="BS351" s="102" t="s">
        <v>149</v>
      </c>
      <c r="BT351" s="106">
        <v>46238.0</v>
      </c>
      <c r="BU351" s="107">
        <v>4.0</v>
      </c>
      <c r="BV351" s="108">
        <f t="shared" si="2"/>
        <v>46237</v>
      </c>
      <c r="BW351" s="108">
        <f t="shared" si="16"/>
        <v>46238</v>
      </c>
      <c r="BX351" s="102" t="str">
        <f t="shared" si="15"/>
        <v>14</v>
      </c>
      <c r="BY351" s="107">
        <f t="shared" si="5"/>
        <v>5</v>
      </c>
      <c r="BZ351" s="107">
        <f t="array" ref="BZ351">IF($A351&lt;&gt;"",INDEX(LISTA!$M$2:$N$27,MATCH($BC351,LISTA!$N$2:$N$27,0),1),"")</f>
        <v>1</v>
      </c>
      <c r="CA351" s="67">
        <f t="shared" si="6"/>
        <v>8</v>
      </c>
      <c r="CB351" s="114">
        <f t="shared" si="7"/>
        <v>8</v>
      </c>
      <c r="CC351" s="67">
        <v>5.8236933E7</v>
      </c>
    </row>
    <row r="352" ht="15.0" customHeight="1">
      <c r="A352" s="59">
        <v>46238.51223619213</v>
      </c>
      <c r="B352" s="115" t="s">
        <v>105</v>
      </c>
      <c r="C352" s="54" t="s">
        <v>100</v>
      </c>
      <c r="D352" s="56" t="s">
        <v>319</v>
      </c>
      <c r="E352" s="69">
        <v>46239.375</v>
      </c>
      <c r="F352" s="162"/>
      <c r="G352" s="60" t="s">
        <v>4754</v>
      </c>
      <c r="H352" s="60" t="s">
        <v>4755</v>
      </c>
      <c r="I352" s="67" t="s">
        <v>350</v>
      </c>
      <c r="J352" s="79" t="s">
        <v>4756</v>
      </c>
      <c r="K352" s="67" t="s">
        <v>109</v>
      </c>
      <c r="L352" s="79" t="s">
        <v>4756</v>
      </c>
      <c r="M352" s="83" t="s">
        <v>4757</v>
      </c>
      <c r="N352" s="78">
        <v>28519.0</v>
      </c>
      <c r="O352" s="80" t="s">
        <v>49</v>
      </c>
      <c r="P352" s="70">
        <v>220206.0</v>
      </c>
      <c r="Q352" s="54"/>
      <c r="R352" s="84"/>
      <c r="S352" s="84"/>
      <c r="T352" s="54"/>
      <c r="U352" s="86"/>
      <c r="V352" s="54"/>
      <c r="W352" s="86"/>
      <c r="X352" s="54"/>
      <c r="Y352" s="78"/>
      <c r="Z352" s="54"/>
      <c r="AA352" s="70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 t="s">
        <v>4758</v>
      </c>
      <c r="AN352" s="83"/>
      <c r="AO352" s="83"/>
      <c r="AP352" s="83"/>
      <c r="AQ352" s="54" t="s">
        <v>472</v>
      </c>
      <c r="AR352" s="83" t="s">
        <v>2736</v>
      </c>
      <c r="AS352" s="83" t="s">
        <v>4759</v>
      </c>
      <c r="AT352" s="93" t="s">
        <v>4760</v>
      </c>
      <c r="AU352" s="93" t="s">
        <v>4760</v>
      </c>
      <c r="AV352" s="93" t="s">
        <v>4760</v>
      </c>
      <c r="AW352" s="83" t="s">
        <v>4761</v>
      </c>
      <c r="AX352" s="83">
        <v>1.0</v>
      </c>
      <c r="AY352" s="83">
        <v>0.0</v>
      </c>
      <c r="AZ352" s="83" t="s">
        <v>4762</v>
      </c>
      <c r="BA352" s="83" t="s">
        <v>4763</v>
      </c>
      <c r="BB352" s="83" t="s">
        <v>4764</v>
      </c>
      <c r="BC352" s="54" t="s">
        <v>49</v>
      </c>
      <c r="BD352" s="54" t="str">
        <f t="shared" si="1"/>
        <v>Rioja</v>
      </c>
      <c r="BE352" s="67" t="s">
        <v>140</v>
      </c>
      <c r="BF352" s="67" t="s">
        <v>141</v>
      </c>
      <c r="BG352" s="67" t="s">
        <v>142</v>
      </c>
      <c r="BH352" s="67"/>
      <c r="BI352" s="67"/>
      <c r="BJ352" s="67"/>
      <c r="BK352" s="67"/>
      <c r="BL352" s="67" t="s">
        <v>145</v>
      </c>
      <c r="BM352" s="67" t="s">
        <v>146</v>
      </c>
      <c r="BN352" s="100">
        <v>150.0</v>
      </c>
      <c r="BO352" s="102" t="s">
        <v>615</v>
      </c>
      <c r="BP352" s="67" t="s">
        <v>141</v>
      </c>
      <c r="BQ352" s="79" t="s">
        <v>141</v>
      </c>
      <c r="BR352" s="67">
        <v>2.0</v>
      </c>
      <c r="BS352" s="102">
        <v>1.0</v>
      </c>
      <c r="BT352" s="106">
        <v>46238.0</v>
      </c>
      <c r="BU352" s="107">
        <v>5.0</v>
      </c>
      <c r="BV352" s="108">
        <f t="shared" si="2"/>
        <v>46238</v>
      </c>
      <c r="BW352" s="108">
        <f t="shared" si="16"/>
        <v>46239</v>
      </c>
      <c r="BX352" s="102" t="str">
        <f t="shared" si="15"/>
        <v>09</v>
      </c>
      <c r="BY352" s="107">
        <f t="shared" si="5"/>
        <v>5</v>
      </c>
      <c r="BZ352" s="107">
        <f t="array" ref="BZ352">IF($A352&lt;&gt;"",INDEX(LISTA!$M$2:$N$27,MATCH($BC352,LISTA!$N$2:$N$27,0),1),"")</f>
        <v>23</v>
      </c>
      <c r="CA352" s="67">
        <f t="shared" si="6"/>
        <v>8</v>
      </c>
      <c r="CB352" s="114">
        <f t="shared" si="7"/>
        <v>8</v>
      </c>
      <c r="CC352" s="67">
        <v>5.8245253E7</v>
      </c>
    </row>
    <row r="353" ht="15.0" customHeight="1">
      <c r="A353" s="59">
        <v>46237.50336894676</v>
      </c>
      <c r="B353" s="115" t="s">
        <v>105</v>
      </c>
      <c r="C353" s="54" t="s">
        <v>100</v>
      </c>
      <c r="D353" s="56" t="s">
        <v>319</v>
      </c>
      <c r="E353" s="69">
        <v>46239.291666666664</v>
      </c>
      <c r="F353" s="162"/>
      <c r="G353" s="60" t="s">
        <v>4765</v>
      </c>
      <c r="H353" s="60" t="s">
        <v>4766</v>
      </c>
      <c r="I353" s="67" t="s">
        <v>382</v>
      </c>
      <c r="J353" s="79" t="s">
        <v>4767</v>
      </c>
      <c r="K353" s="67" t="s">
        <v>109</v>
      </c>
      <c r="L353" s="79" t="s">
        <v>4768</v>
      </c>
      <c r="M353" s="83" t="s">
        <v>4769</v>
      </c>
      <c r="N353" s="78">
        <v>26009.0</v>
      </c>
      <c r="O353" s="80" t="s">
        <v>50</v>
      </c>
      <c r="P353" s="70">
        <v>230401.0</v>
      </c>
      <c r="Q353" s="54"/>
      <c r="R353" s="84"/>
      <c r="S353" s="84"/>
      <c r="T353" s="54"/>
      <c r="U353" s="86"/>
      <c r="V353" s="54"/>
      <c r="W353" s="86"/>
      <c r="X353" s="54"/>
      <c r="Y353" s="78"/>
      <c r="Z353" s="54"/>
      <c r="AA353" s="70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 t="s">
        <v>866</v>
      </c>
      <c r="AO353" s="83"/>
      <c r="AP353" s="83"/>
      <c r="AQ353" s="54" t="s">
        <v>4770</v>
      </c>
      <c r="AR353" s="83" t="s">
        <v>2562</v>
      </c>
      <c r="AS353" s="83" t="s">
        <v>4771</v>
      </c>
      <c r="AT353" s="93" t="s">
        <v>4767</v>
      </c>
      <c r="AU353" s="93" t="s">
        <v>4767</v>
      </c>
      <c r="AV353" s="93" t="s">
        <v>4767</v>
      </c>
      <c r="AW353" s="83" t="s">
        <v>4772</v>
      </c>
      <c r="AX353" s="83">
        <v>2.0</v>
      </c>
      <c r="AY353" s="83">
        <v>0.0</v>
      </c>
      <c r="AZ353" s="83" t="s">
        <v>4773</v>
      </c>
      <c r="BA353" s="83" t="s">
        <v>4774</v>
      </c>
      <c r="BB353" s="83" t="s">
        <v>4775</v>
      </c>
      <c r="BC353" s="54" t="s">
        <v>50</v>
      </c>
      <c r="BD353" s="54" t="str">
        <f t="shared" si="1"/>
        <v>Tacna</v>
      </c>
      <c r="BE353" s="67" t="s">
        <v>140</v>
      </c>
      <c r="BF353" s="67" t="s">
        <v>144</v>
      </c>
      <c r="BG353" s="67" t="s">
        <v>142</v>
      </c>
      <c r="BH353" s="67"/>
      <c r="BI353" s="67"/>
      <c r="BJ353" s="67"/>
      <c r="BK353" s="67"/>
      <c r="BL353" s="67" t="s">
        <v>145</v>
      </c>
      <c r="BM353" s="67" t="s">
        <v>146</v>
      </c>
      <c r="BN353" s="100">
        <v>150.0</v>
      </c>
      <c r="BO353" s="102" t="s">
        <v>615</v>
      </c>
      <c r="BP353" s="67" t="s">
        <v>144</v>
      </c>
      <c r="BQ353" s="79" t="s">
        <v>141</v>
      </c>
      <c r="BR353" s="67">
        <v>2.0</v>
      </c>
      <c r="BS353" s="102" t="s">
        <v>149</v>
      </c>
      <c r="BT353" s="106">
        <v>46239.0</v>
      </c>
      <c r="BU353" s="107">
        <v>1.0</v>
      </c>
      <c r="BV353" s="108">
        <f t="shared" si="2"/>
        <v>46237</v>
      </c>
      <c r="BW353" s="108">
        <f t="shared" si="16"/>
        <v>46239</v>
      </c>
      <c r="BX353" s="102" t="str">
        <f t="shared" si="15"/>
        <v>07</v>
      </c>
      <c r="BY353" s="107">
        <f t="shared" si="5"/>
        <v>5</v>
      </c>
      <c r="BZ353" s="107">
        <f t="array" ref="BZ353">IF($A353&lt;&gt;"",INDEX(LISTA!$M$2:$N$27,MATCH($BC353,LISTA!$N$2:$N$27,0),1),"")</f>
        <v>24</v>
      </c>
      <c r="CA353" s="67">
        <f t="shared" si="6"/>
        <v>8</v>
      </c>
      <c r="CB353" s="114">
        <f t="shared" si="7"/>
        <v>8</v>
      </c>
      <c r="CC353" s="67">
        <v>5.8236746E7</v>
      </c>
    </row>
    <row r="354" ht="15.0" customHeight="1">
      <c r="A354" s="59">
        <v>46238.68291847222</v>
      </c>
      <c r="B354" s="115" t="s">
        <v>105</v>
      </c>
      <c r="C354" s="54" t="s">
        <v>100</v>
      </c>
      <c r="D354" s="56" t="s">
        <v>319</v>
      </c>
      <c r="E354" s="69">
        <v>46239.375</v>
      </c>
      <c r="F354" s="162"/>
      <c r="G354" s="60" t="s">
        <v>4776</v>
      </c>
      <c r="H354" s="60" t="s">
        <v>4777</v>
      </c>
      <c r="I354" s="67" t="s">
        <v>107</v>
      </c>
      <c r="J354" s="79" t="s">
        <v>4778</v>
      </c>
      <c r="K354" s="67" t="s">
        <v>109</v>
      </c>
      <c r="L354" s="79" t="s">
        <v>4779</v>
      </c>
      <c r="M354" s="83" t="s">
        <v>4780</v>
      </c>
      <c r="N354" s="78">
        <v>21042.0</v>
      </c>
      <c r="O354" s="80" t="s">
        <v>24</v>
      </c>
      <c r="P354" s="156" t="s">
        <v>449</v>
      </c>
      <c r="Q354" s="54"/>
      <c r="R354" s="84" t="s">
        <v>450</v>
      </c>
      <c r="S354" s="84"/>
      <c r="T354" s="54"/>
      <c r="U354" s="86"/>
      <c r="V354" s="54"/>
      <c r="W354" s="86"/>
      <c r="X354" s="54"/>
      <c r="Y354" s="78"/>
      <c r="Z354" s="54"/>
      <c r="AA354" s="70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54" t="s">
        <v>4781</v>
      </c>
      <c r="AR354" s="83" t="s">
        <v>4782</v>
      </c>
      <c r="AS354" s="83" t="s">
        <v>4783</v>
      </c>
      <c r="AT354" s="93" t="s">
        <v>4778</v>
      </c>
      <c r="AU354" s="93" t="s">
        <v>4778</v>
      </c>
      <c r="AV354" s="93" t="s">
        <v>4778</v>
      </c>
      <c r="AW354" s="83" t="s">
        <v>4784</v>
      </c>
      <c r="AX354" s="83">
        <v>1.0</v>
      </c>
      <c r="AY354" s="83">
        <v>1.0</v>
      </c>
      <c r="AZ354" s="83" t="s">
        <v>4785</v>
      </c>
      <c r="BA354" s="83" t="s">
        <v>4786</v>
      </c>
      <c r="BB354" s="83" t="s">
        <v>4787</v>
      </c>
      <c r="BC354" s="54" t="s">
        <v>24</v>
      </c>
      <c r="BD354" s="54" t="str">
        <f t="shared" si="1"/>
        <v>Huaraz</v>
      </c>
      <c r="BE354" s="67" t="s">
        <v>140</v>
      </c>
      <c r="BF354" s="67" t="s">
        <v>141</v>
      </c>
      <c r="BG354" s="67" t="s">
        <v>142</v>
      </c>
      <c r="BH354" s="67"/>
      <c r="BI354" s="67"/>
      <c r="BJ354" s="67"/>
      <c r="BK354" s="67"/>
      <c r="BL354" s="67" t="s">
        <v>147</v>
      </c>
      <c r="BM354" s="67" t="s">
        <v>146</v>
      </c>
      <c r="BN354" s="100">
        <v>89.0</v>
      </c>
      <c r="BO354" s="102" t="s">
        <v>148</v>
      </c>
      <c r="BP354" s="67" t="s">
        <v>141</v>
      </c>
      <c r="BQ354" s="79" t="s">
        <v>141</v>
      </c>
      <c r="BR354" s="67" t="s">
        <v>149</v>
      </c>
      <c r="BS354" s="102">
        <v>1.0</v>
      </c>
      <c r="BT354" s="106">
        <v>46239.0</v>
      </c>
      <c r="BU354" s="107">
        <v>2.0</v>
      </c>
      <c r="BV354" s="108">
        <f t="shared" si="2"/>
        <v>46238</v>
      </c>
      <c r="BW354" s="108">
        <f t="shared" si="16"/>
        <v>46239</v>
      </c>
      <c r="BX354" s="102" t="str">
        <f t="shared" si="15"/>
        <v>09</v>
      </c>
      <c r="BY354" s="107">
        <f t="shared" si="5"/>
        <v>5</v>
      </c>
      <c r="BZ354" s="107">
        <f t="array" ref="BZ354">IF($A354&lt;&gt;"",INDEX(LISTA!$M$2:$N$27,MATCH($BC354,LISTA!$N$2:$N$27,0),1),"")</f>
        <v>5</v>
      </c>
      <c r="CA354" s="67">
        <f t="shared" si="6"/>
        <v>8</v>
      </c>
      <c r="CB354" s="114">
        <f t="shared" si="7"/>
        <v>8</v>
      </c>
      <c r="CC354" s="67">
        <v>5.8247444E7</v>
      </c>
    </row>
    <row r="355" ht="15.0" customHeight="1">
      <c r="A355" s="59">
        <v>46238.41969072916</v>
      </c>
      <c r="B355" s="115" t="s">
        <v>105</v>
      </c>
      <c r="C355" s="54" t="s">
        <v>100</v>
      </c>
      <c r="D355" s="56" t="s">
        <v>101</v>
      </c>
      <c r="E355" s="69">
        <v>46240.375</v>
      </c>
      <c r="F355" s="162"/>
      <c r="G355" s="60" t="s">
        <v>4788</v>
      </c>
      <c r="H355" s="60" t="s">
        <v>4789</v>
      </c>
      <c r="I355" s="67" t="s">
        <v>382</v>
      </c>
      <c r="J355" s="79" t="s">
        <v>4790</v>
      </c>
      <c r="K355" s="67" t="s">
        <v>109</v>
      </c>
      <c r="L355" s="79" t="s">
        <v>4791</v>
      </c>
      <c r="M355" s="83" t="s">
        <v>4792</v>
      </c>
      <c r="N355" s="78">
        <v>34315.0</v>
      </c>
      <c r="O355" s="80" t="s">
        <v>32</v>
      </c>
      <c r="P355" s="156" t="s">
        <v>1103</v>
      </c>
      <c r="Q355" s="54"/>
      <c r="R355" s="84"/>
      <c r="S355" s="84"/>
      <c r="T355" s="54"/>
      <c r="U355" s="86"/>
      <c r="V355" s="54"/>
      <c r="W355" s="86"/>
      <c r="X355" s="54"/>
      <c r="Y355" s="78" t="s">
        <v>2709</v>
      </c>
      <c r="Z355" s="54"/>
      <c r="AA355" s="70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54" t="s">
        <v>4358</v>
      </c>
      <c r="AR355" s="83" t="s">
        <v>4653</v>
      </c>
      <c r="AS355" s="83" t="s">
        <v>4793</v>
      </c>
      <c r="AT355" s="93" t="s">
        <v>4790</v>
      </c>
      <c r="AU355" s="93" t="s">
        <v>4790</v>
      </c>
      <c r="AV355" s="93" t="s">
        <v>4790</v>
      </c>
      <c r="AW355" s="83" t="s">
        <v>4794</v>
      </c>
      <c r="AX355" s="83">
        <v>3.0</v>
      </c>
      <c r="AY355" s="83">
        <v>0.0</v>
      </c>
      <c r="AZ355" s="83" t="s">
        <v>4795</v>
      </c>
      <c r="BA355" s="83" t="s">
        <v>4796</v>
      </c>
      <c r="BB355" s="83" t="s">
        <v>4797</v>
      </c>
      <c r="BC355" s="54" t="s">
        <v>32</v>
      </c>
      <c r="BD355" s="78" t="str">
        <f t="shared" si="1"/>
        <v>Huancavelica</v>
      </c>
      <c r="BE355" s="67" t="s">
        <v>140</v>
      </c>
      <c r="BF355" s="67" t="s">
        <v>144</v>
      </c>
      <c r="BG355" s="67" t="s">
        <v>142</v>
      </c>
      <c r="BH355" s="67"/>
      <c r="BI355" s="67"/>
      <c r="BJ355" s="67"/>
      <c r="BK355" s="67"/>
      <c r="BL355" s="67" t="s">
        <v>147</v>
      </c>
      <c r="BM355" s="67" t="s">
        <v>146</v>
      </c>
      <c r="BN355" s="100">
        <v>89.0</v>
      </c>
      <c r="BO355" s="102" t="s">
        <v>148</v>
      </c>
      <c r="BP355" s="67" t="s">
        <v>141</v>
      </c>
      <c r="BQ355" s="79" t="s">
        <v>141</v>
      </c>
      <c r="BR355" s="67" t="s">
        <v>149</v>
      </c>
      <c r="BS355" s="102">
        <v>1.0</v>
      </c>
      <c r="BT355" s="106">
        <v>46240.0</v>
      </c>
      <c r="BU355" s="107">
        <v>1.0</v>
      </c>
      <c r="BV355" s="108">
        <f t="shared" si="2"/>
        <v>46238</v>
      </c>
      <c r="BW355" s="108">
        <f t="shared" si="16"/>
        <v>46240</v>
      </c>
      <c r="BX355" s="102" t="str">
        <f t="shared" si="15"/>
        <v>09</v>
      </c>
      <c r="BY355" s="107">
        <f t="shared" si="5"/>
        <v>5</v>
      </c>
      <c r="BZ355" s="107">
        <f t="array" ref="BZ355">IF($A355&lt;&gt;"",INDEX(LISTA!$M$2:$N$27,MATCH($BC355,LISTA!$N$2:$N$27,0),1),"")</f>
        <v>11</v>
      </c>
      <c r="CA355" s="67">
        <f t="shared" si="6"/>
        <v>8</v>
      </c>
      <c r="CB355" s="114">
        <f t="shared" si="7"/>
        <v>8</v>
      </c>
      <c r="CC355" s="67">
        <v>5.8243602E7</v>
      </c>
    </row>
    <row r="356" ht="15.0" customHeight="1">
      <c r="A356" s="59">
        <v>46239.524324502316</v>
      </c>
      <c r="B356" s="115" t="s">
        <v>105</v>
      </c>
      <c r="C356" s="54" t="s">
        <v>100</v>
      </c>
      <c r="D356" s="56" t="s">
        <v>319</v>
      </c>
      <c r="E356" s="69">
        <v>46240.375</v>
      </c>
      <c r="F356" s="162"/>
      <c r="G356" s="60" t="s">
        <v>4798</v>
      </c>
      <c r="H356" s="60" t="s">
        <v>4799</v>
      </c>
      <c r="I356" s="67" t="s">
        <v>378</v>
      </c>
      <c r="J356" s="79" t="s">
        <v>4800</v>
      </c>
      <c r="K356" s="67" t="s">
        <v>109</v>
      </c>
      <c r="L356" s="79" t="s">
        <v>4801</v>
      </c>
      <c r="M356" s="83" t="s">
        <v>4802</v>
      </c>
      <c r="N356" s="78">
        <v>32239.0</v>
      </c>
      <c r="O356" s="80" t="s">
        <v>37</v>
      </c>
      <c r="P356" s="70">
        <v>140120.0</v>
      </c>
      <c r="Q356" s="54"/>
      <c r="R356" s="84"/>
      <c r="S356" s="84"/>
      <c r="T356" s="54"/>
      <c r="U356" s="86"/>
      <c r="V356" s="54"/>
      <c r="W356" s="86"/>
      <c r="X356" s="54"/>
      <c r="Y356" s="78"/>
      <c r="Z356" s="54"/>
      <c r="AA356" s="70"/>
      <c r="AB356" s="83"/>
      <c r="AC356" s="83"/>
      <c r="AD356" s="83"/>
      <c r="AE356" s="83"/>
      <c r="AF356" s="83" t="s">
        <v>4803</v>
      </c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54" t="s">
        <v>1879</v>
      </c>
      <c r="AR356" s="83" t="s">
        <v>4804</v>
      </c>
      <c r="AS356" s="83" t="s">
        <v>4805</v>
      </c>
      <c r="AT356" s="93" t="s">
        <v>4800</v>
      </c>
      <c r="AU356" s="93" t="s">
        <v>4800</v>
      </c>
      <c r="AV356" s="93" t="s">
        <v>4800</v>
      </c>
      <c r="AW356" s="83" t="s">
        <v>4806</v>
      </c>
      <c r="AX356" s="83">
        <v>2.0</v>
      </c>
      <c r="AY356" s="83" t="s">
        <v>2739</v>
      </c>
      <c r="AZ356" s="83" t="s">
        <v>4807</v>
      </c>
      <c r="BA356" s="83" t="s">
        <v>4808</v>
      </c>
      <c r="BB356" s="83" t="s">
        <v>4809</v>
      </c>
      <c r="BC356" s="54" t="s">
        <v>41</v>
      </c>
      <c r="BD356" s="54" t="str">
        <f t="shared" si="1"/>
        <v>Punta Hermosa</v>
      </c>
      <c r="BE356" s="67" t="s">
        <v>140</v>
      </c>
      <c r="BF356" s="67" t="s">
        <v>144</v>
      </c>
      <c r="BG356" s="67" t="s">
        <v>142</v>
      </c>
      <c r="BH356" s="67"/>
      <c r="BI356" s="67"/>
      <c r="BJ356" s="67"/>
      <c r="BK356" s="67"/>
      <c r="BL356" s="67" t="s">
        <v>147</v>
      </c>
      <c r="BM356" s="67" t="s">
        <v>146</v>
      </c>
      <c r="BN356" s="100">
        <v>69.0</v>
      </c>
      <c r="BO356" s="102" t="s">
        <v>615</v>
      </c>
      <c r="BP356" s="67" t="s">
        <v>141</v>
      </c>
      <c r="BQ356" s="79" t="s">
        <v>141</v>
      </c>
      <c r="BR356" s="67" t="s">
        <v>149</v>
      </c>
      <c r="BS356" s="102" t="s">
        <v>149</v>
      </c>
      <c r="BT356" s="106">
        <v>46240.0</v>
      </c>
      <c r="BU356" s="107">
        <v>2.0</v>
      </c>
      <c r="BV356" s="108">
        <f t="shared" si="2"/>
        <v>46239</v>
      </c>
      <c r="BW356" s="108">
        <f t="shared" si="16"/>
        <v>46240</v>
      </c>
      <c r="BX356" s="102" t="str">
        <f t="shared" si="15"/>
        <v>09</v>
      </c>
      <c r="BY356" s="107">
        <f t="shared" si="5"/>
        <v>5</v>
      </c>
      <c r="BZ356" s="107">
        <f t="array" ref="BZ356">IF($A356&lt;&gt;"",INDEX(LISTA!$M$2:$N$27,MATCH($BC356,LISTA!$N$2:$N$27,0),1),"")</f>
        <v>1</v>
      </c>
      <c r="CA356" s="67">
        <f t="shared" si="6"/>
        <v>8</v>
      </c>
      <c r="CB356" s="114">
        <f t="shared" si="7"/>
        <v>8</v>
      </c>
      <c r="CC356" s="67">
        <v>5.8255143E7</v>
      </c>
    </row>
    <row r="357" ht="15.0" customHeight="1">
      <c r="A357" s="59">
        <v>46237.50901649306</v>
      </c>
      <c r="B357" s="115" t="s">
        <v>105</v>
      </c>
      <c r="C357" s="54" t="s">
        <v>100</v>
      </c>
      <c r="D357" s="56" t="s">
        <v>319</v>
      </c>
      <c r="E357" s="69">
        <v>46240.375</v>
      </c>
      <c r="F357" s="162"/>
      <c r="G357" s="60" t="s">
        <v>4810</v>
      </c>
      <c r="H357" s="60" t="s">
        <v>4811</v>
      </c>
      <c r="I357" s="67" t="s">
        <v>386</v>
      </c>
      <c r="J357" s="79" t="s">
        <v>4812</v>
      </c>
      <c r="K357" s="67" t="s">
        <v>109</v>
      </c>
      <c r="L357" s="79" t="s">
        <v>4813</v>
      </c>
      <c r="M357" s="83" t="s">
        <v>4814</v>
      </c>
      <c r="N357" s="78">
        <v>25113.0</v>
      </c>
      <c r="O357" s="80" t="s">
        <v>41</v>
      </c>
      <c r="P357" s="70">
        <v>150140.0</v>
      </c>
      <c r="Q357" s="54"/>
      <c r="R357" s="84"/>
      <c r="S357" s="84"/>
      <c r="T357" s="54"/>
      <c r="U357" s="86"/>
      <c r="V357" s="54"/>
      <c r="W357" s="86"/>
      <c r="X357" s="54"/>
      <c r="Y357" s="78"/>
      <c r="Z357" s="54"/>
      <c r="AA357" s="70"/>
      <c r="AB357" s="83"/>
      <c r="AC357" s="83"/>
      <c r="AD357" s="83"/>
      <c r="AE357" s="83"/>
      <c r="AF357" s="83" t="s">
        <v>123</v>
      </c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54" t="s">
        <v>2574</v>
      </c>
      <c r="AR357" s="83" t="s">
        <v>125</v>
      </c>
      <c r="AS357" s="83" t="s">
        <v>4815</v>
      </c>
      <c r="AT357" s="93" t="s">
        <v>4812</v>
      </c>
      <c r="AU357" s="93" t="s">
        <v>4812</v>
      </c>
      <c r="AV357" s="93" t="s">
        <v>4812</v>
      </c>
      <c r="AW357" s="83" t="s">
        <v>4816</v>
      </c>
      <c r="AX357" s="83">
        <v>1.0</v>
      </c>
      <c r="AY357" s="83" t="s">
        <v>3224</v>
      </c>
      <c r="AZ357" s="83" t="s">
        <v>4817</v>
      </c>
      <c r="BA357" s="83" t="s">
        <v>3224</v>
      </c>
      <c r="BB357" s="83" t="s">
        <v>4818</v>
      </c>
      <c r="BC357" s="54" t="s">
        <v>41</v>
      </c>
      <c r="BD357" s="54" t="str">
        <f t="shared" si="1"/>
        <v>Santiago de Surco</v>
      </c>
      <c r="BE357" s="67" t="s">
        <v>140</v>
      </c>
      <c r="BF357" s="67" t="s">
        <v>144</v>
      </c>
      <c r="BG357" s="67" t="s">
        <v>142</v>
      </c>
      <c r="BH357" s="67"/>
      <c r="BI357" s="67"/>
      <c r="BJ357" s="67"/>
      <c r="BK357" s="67"/>
      <c r="BL357" s="67" t="s">
        <v>145</v>
      </c>
      <c r="BM357" s="67" t="s">
        <v>146</v>
      </c>
      <c r="BN357" s="100">
        <v>150.0</v>
      </c>
      <c r="BO357" s="102" t="s">
        <v>615</v>
      </c>
      <c r="BP357" s="67" t="s">
        <v>141</v>
      </c>
      <c r="BQ357" s="79" t="s">
        <v>141</v>
      </c>
      <c r="BR357" s="67">
        <v>2.0</v>
      </c>
      <c r="BS357" s="102" t="s">
        <v>149</v>
      </c>
      <c r="BT357" s="106">
        <v>46240.0</v>
      </c>
      <c r="BU357" s="107">
        <v>3.0</v>
      </c>
      <c r="BV357" s="108">
        <f t="shared" si="2"/>
        <v>46237</v>
      </c>
      <c r="BW357" s="108">
        <f t="shared" si="16"/>
        <v>46240</v>
      </c>
      <c r="BX357" s="102" t="str">
        <f t="shared" si="15"/>
        <v>09</v>
      </c>
      <c r="BY357" s="107">
        <f t="shared" si="5"/>
        <v>5</v>
      </c>
      <c r="BZ357" s="107">
        <f t="array" ref="BZ357">IF($A357&lt;&gt;"",INDEX(LISTA!$M$2:$N$27,MATCH($BC357,LISTA!$N$2:$N$27,0),1),"")</f>
        <v>1</v>
      </c>
      <c r="CA357" s="67">
        <f t="shared" si="6"/>
        <v>8</v>
      </c>
      <c r="CB357" s="114">
        <f t="shared" si="7"/>
        <v>8</v>
      </c>
      <c r="CC357" s="67">
        <v>5.8249583E7</v>
      </c>
    </row>
    <row r="358" ht="15.0" customHeight="1">
      <c r="A358" s="59">
        <v>46238.41191846065</v>
      </c>
      <c r="B358" s="115" t="s">
        <v>105</v>
      </c>
      <c r="C358" s="54" t="s">
        <v>100</v>
      </c>
      <c r="D358" s="56" t="s">
        <v>101</v>
      </c>
      <c r="E358" s="69">
        <v>46240.583333333336</v>
      </c>
      <c r="F358" s="162"/>
      <c r="G358" s="60" t="s">
        <v>4819</v>
      </c>
      <c r="H358" s="60" t="s">
        <v>4820</v>
      </c>
      <c r="I358" s="67" t="s">
        <v>350</v>
      </c>
      <c r="J358" s="79" t="s">
        <v>4821</v>
      </c>
      <c r="K358" s="67" t="s">
        <v>109</v>
      </c>
      <c r="L358" s="79" t="s">
        <v>4822</v>
      </c>
      <c r="M358" s="83" t="s">
        <v>4823</v>
      </c>
      <c r="N358" s="78">
        <v>31201.0</v>
      </c>
      <c r="O358" s="80" t="s">
        <v>31</v>
      </c>
      <c r="P358" s="156" t="s">
        <v>715</v>
      </c>
      <c r="Q358" s="54"/>
      <c r="R358" s="84"/>
      <c r="S358" s="84"/>
      <c r="T358" s="54"/>
      <c r="U358" s="86"/>
      <c r="V358" s="54"/>
      <c r="W358" s="86"/>
      <c r="X358" s="54" t="s">
        <v>1012</v>
      </c>
      <c r="Y358" s="78"/>
      <c r="Z358" s="54"/>
      <c r="AA358" s="70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54" t="s">
        <v>716</v>
      </c>
      <c r="AR358" s="83" t="s">
        <v>2247</v>
      </c>
      <c r="AS358" s="83" t="s">
        <v>4824</v>
      </c>
      <c r="AT358" s="93" t="s">
        <v>4825</v>
      </c>
      <c r="AU358" s="93" t="s">
        <v>4825</v>
      </c>
      <c r="AV358" s="93" t="s">
        <v>4825</v>
      </c>
      <c r="AW358" s="83" t="s">
        <v>4826</v>
      </c>
      <c r="AX358" s="83">
        <v>7.0</v>
      </c>
      <c r="AY358" s="83">
        <v>701.0</v>
      </c>
      <c r="AZ358" s="83" t="s">
        <v>4827</v>
      </c>
      <c r="BA358" s="83" t="s">
        <v>4828</v>
      </c>
      <c r="BB358" s="83" t="s">
        <v>4829</v>
      </c>
      <c r="BC358" s="54" t="s">
        <v>31</v>
      </c>
      <c r="BD358" s="54" t="str">
        <f t="shared" si="1"/>
        <v>Cusco</v>
      </c>
      <c r="BE358" s="67" t="s">
        <v>140</v>
      </c>
      <c r="BF358" s="67" t="s">
        <v>141</v>
      </c>
      <c r="BG358" s="67" t="s">
        <v>142</v>
      </c>
      <c r="BH358" s="67"/>
      <c r="BI358" s="67"/>
      <c r="BJ358" s="67"/>
      <c r="BK358" s="67"/>
      <c r="BL358" s="67" t="s">
        <v>283</v>
      </c>
      <c r="BM358" s="67" t="s">
        <v>146</v>
      </c>
      <c r="BN358" s="100">
        <v>170.0</v>
      </c>
      <c r="BO358" s="102" t="s">
        <v>148</v>
      </c>
      <c r="BP358" s="67" t="s">
        <v>141</v>
      </c>
      <c r="BQ358" s="79" t="s">
        <v>141</v>
      </c>
      <c r="BR358" s="67">
        <v>2.0</v>
      </c>
      <c r="BS358" s="102">
        <v>1.0</v>
      </c>
      <c r="BT358" s="106">
        <v>46240.0</v>
      </c>
      <c r="BU358" s="107">
        <v>4.0</v>
      </c>
      <c r="BV358" s="108">
        <f t="shared" si="2"/>
        <v>46238</v>
      </c>
      <c r="BW358" s="108">
        <f t="shared" si="16"/>
        <v>46240</v>
      </c>
      <c r="BX358" s="102" t="str">
        <f t="shared" si="15"/>
        <v>14</v>
      </c>
      <c r="BY358" s="107">
        <f t="shared" si="5"/>
        <v>5</v>
      </c>
      <c r="BZ358" s="107">
        <f t="array" ref="BZ358">IF($A358&lt;&gt;"",INDEX(LISTA!$M$2:$N$27,MATCH($BC358,LISTA!$N$2:$N$27,0),1),"")</f>
        <v>10</v>
      </c>
      <c r="CA358" s="67">
        <f t="shared" si="6"/>
        <v>8</v>
      </c>
      <c r="CB358" s="114">
        <f t="shared" si="7"/>
        <v>8</v>
      </c>
      <c r="CC358" s="160">
        <v>5.8254941E7</v>
      </c>
    </row>
    <row r="359" ht="15.0" customHeight="1">
      <c r="A359" s="59">
        <v>46237.78821600694</v>
      </c>
      <c r="B359" s="115" t="s">
        <v>105</v>
      </c>
      <c r="C359" s="54" t="s">
        <v>100</v>
      </c>
      <c r="D359" s="56" t="s">
        <v>319</v>
      </c>
      <c r="E359" s="69">
        <v>46240.583333333336</v>
      </c>
      <c r="F359" s="162"/>
      <c r="G359" s="60" t="s">
        <v>4830</v>
      </c>
      <c r="H359" s="60" t="s">
        <v>4831</v>
      </c>
      <c r="I359" s="67" t="s">
        <v>374</v>
      </c>
      <c r="J359" s="79" t="s">
        <v>4832</v>
      </c>
      <c r="K359" s="67" t="s">
        <v>109</v>
      </c>
      <c r="L359" s="79" t="s">
        <v>4833</v>
      </c>
      <c r="M359" s="83" t="s">
        <v>4834</v>
      </c>
      <c r="N359" s="78">
        <v>24786.0</v>
      </c>
      <c r="O359" s="80" t="s">
        <v>39</v>
      </c>
      <c r="P359" s="70">
        <v>130101.0</v>
      </c>
      <c r="Q359" s="54"/>
      <c r="R359" s="84"/>
      <c r="S359" s="84"/>
      <c r="T359" s="54"/>
      <c r="U359" s="86"/>
      <c r="V359" s="54"/>
      <c r="W359" s="86"/>
      <c r="X359" s="54"/>
      <c r="Y359" s="78"/>
      <c r="Z359" s="54"/>
      <c r="AA359" s="70"/>
      <c r="AB359" s="83"/>
      <c r="AC359" s="83" t="s">
        <v>1690</v>
      </c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54" t="s">
        <v>4835</v>
      </c>
      <c r="AR359" s="83" t="s">
        <v>4836</v>
      </c>
      <c r="AS359" s="83" t="s">
        <v>4837</v>
      </c>
      <c r="AT359" s="93" t="s">
        <v>4832</v>
      </c>
      <c r="AU359" s="93" t="s">
        <v>4832</v>
      </c>
      <c r="AV359" s="93" t="s">
        <v>4832</v>
      </c>
      <c r="AW359" s="83" t="s">
        <v>4838</v>
      </c>
      <c r="AX359" s="83">
        <v>1.0</v>
      </c>
      <c r="AY359" s="83">
        <v>1.0</v>
      </c>
      <c r="AZ359" s="83" t="s">
        <v>4839</v>
      </c>
      <c r="BA359" s="83" t="s">
        <v>1767</v>
      </c>
      <c r="BB359" s="83" t="s">
        <v>4840</v>
      </c>
      <c r="BC359" s="54" t="s">
        <v>39</v>
      </c>
      <c r="BD359" s="54" t="str">
        <f t="shared" si="1"/>
        <v>Trujillo</v>
      </c>
      <c r="BE359" s="67" t="s">
        <v>140</v>
      </c>
      <c r="BF359" s="67" t="s">
        <v>141</v>
      </c>
      <c r="BG359" s="67" t="s">
        <v>142</v>
      </c>
      <c r="BH359" s="67"/>
      <c r="BI359" s="67"/>
      <c r="BJ359" s="67"/>
      <c r="BK359" s="67"/>
      <c r="BL359" s="67" t="s">
        <v>147</v>
      </c>
      <c r="BM359" s="67" t="s">
        <v>146</v>
      </c>
      <c r="BN359" s="100">
        <v>89.0</v>
      </c>
      <c r="BO359" s="102" t="s">
        <v>148</v>
      </c>
      <c r="BP359" s="67" t="s">
        <v>141</v>
      </c>
      <c r="BQ359" s="79"/>
      <c r="BR359" s="67" t="s">
        <v>149</v>
      </c>
      <c r="BS359" s="102">
        <v>1.0</v>
      </c>
      <c r="BT359" s="106">
        <v>46240.0</v>
      </c>
      <c r="BU359" s="107">
        <v>5.0</v>
      </c>
      <c r="BV359" s="108">
        <f t="shared" si="2"/>
        <v>46237</v>
      </c>
      <c r="BW359" s="108">
        <f t="shared" si="16"/>
        <v>46240</v>
      </c>
      <c r="BX359" s="102" t="str">
        <f t="shared" si="15"/>
        <v>14</v>
      </c>
      <c r="BY359" s="107">
        <f t="shared" si="5"/>
        <v>5</v>
      </c>
      <c r="BZ359" s="107">
        <f t="array" ref="BZ359">IF($A359&lt;&gt;"",INDEX(LISTA!$M$2:$N$27,MATCH($BC359,LISTA!$N$2:$N$27,0),1),"")</f>
        <v>15</v>
      </c>
      <c r="CA359" s="67">
        <f t="shared" si="6"/>
        <v>8</v>
      </c>
      <c r="CB359" s="114">
        <f t="shared" si="7"/>
        <v>8</v>
      </c>
      <c r="CC359" s="160">
        <v>5.8243478E7</v>
      </c>
    </row>
    <row r="360" ht="15.0" customHeight="1">
      <c r="A360" s="59">
        <v>46239.733437013885</v>
      </c>
      <c r="B360" s="115" t="s">
        <v>105</v>
      </c>
      <c r="C360" s="54" t="s">
        <v>100</v>
      </c>
      <c r="D360" s="56" t="s">
        <v>319</v>
      </c>
      <c r="E360" s="69">
        <v>46241.375</v>
      </c>
      <c r="F360" s="162"/>
      <c r="G360" s="60" t="s">
        <v>4841</v>
      </c>
      <c r="H360" s="60" t="s">
        <v>4842</v>
      </c>
      <c r="I360" s="67" t="s">
        <v>107</v>
      </c>
      <c r="J360" s="79" t="s">
        <v>4843</v>
      </c>
      <c r="K360" s="67" t="s">
        <v>109</v>
      </c>
      <c r="L360" s="79" t="s">
        <v>4844</v>
      </c>
      <c r="M360" s="83" t="s">
        <v>4845</v>
      </c>
      <c r="N360" s="78">
        <v>30628.0</v>
      </c>
      <c r="O360" s="80" t="s">
        <v>37</v>
      </c>
      <c r="P360" s="70">
        <v>140133.0</v>
      </c>
      <c r="Q360" s="54"/>
      <c r="R360" s="84"/>
      <c r="S360" s="84"/>
      <c r="T360" s="54"/>
      <c r="U360" s="86"/>
      <c r="V360" s="54"/>
      <c r="W360" s="86"/>
      <c r="X360" s="54"/>
      <c r="Y360" s="78"/>
      <c r="Z360" s="54"/>
      <c r="AA360" s="70"/>
      <c r="AB360" s="83"/>
      <c r="AC360" s="83"/>
      <c r="AD360" s="83"/>
      <c r="AE360" s="83"/>
      <c r="AF360" s="83" t="s">
        <v>2735</v>
      </c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54" t="s">
        <v>374</v>
      </c>
      <c r="AR360" s="83" t="s">
        <v>3777</v>
      </c>
      <c r="AS360" s="83" t="s">
        <v>4846</v>
      </c>
      <c r="AT360" s="93" t="s">
        <v>4843</v>
      </c>
      <c r="AU360" s="93" t="s">
        <v>4843</v>
      </c>
      <c r="AV360" s="93" t="s">
        <v>4843</v>
      </c>
      <c r="AW360" s="83" t="s">
        <v>4847</v>
      </c>
      <c r="AX360" s="83">
        <v>1.0</v>
      </c>
      <c r="AY360" s="83">
        <v>1.0</v>
      </c>
      <c r="AZ360" s="83" t="s">
        <v>4848</v>
      </c>
      <c r="BA360" s="83" t="s">
        <v>4849</v>
      </c>
      <c r="BB360" s="83" t="s">
        <v>4850</v>
      </c>
      <c r="BC360" s="54" t="s">
        <v>41</v>
      </c>
      <c r="BD360" s="54" t="str">
        <f t="shared" si="1"/>
        <v>San Miguel</v>
      </c>
      <c r="BE360" s="67" t="s">
        <v>140</v>
      </c>
      <c r="BF360" s="67" t="s">
        <v>144</v>
      </c>
      <c r="BG360" s="67" t="s">
        <v>142</v>
      </c>
      <c r="BH360" s="67"/>
      <c r="BI360" s="67"/>
      <c r="BJ360" s="67"/>
      <c r="BK360" s="67"/>
      <c r="BL360" s="67" t="s">
        <v>147</v>
      </c>
      <c r="BM360" s="67" t="s">
        <v>146</v>
      </c>
      <c r="BN360" s="100">
        <v>89.0</v>
      </c>
      <c r="BO360" s="102" t="s">
        <v>148</v>
      </c>
      <c r="BP360" s="67" t="s">
        <v>141</v>
      </c>
      <c r="BQ360" s="79" t="s">
        <v>141</v>
      </c>
      <c r="BR360" s="67" t="s">
        <v>149</v>
      </c>
      <c r="BS360" s="102">
        <v>1.0</v>
      </c>
      <c r="BT360" s="106">
        <v>46241.0</v>
      </c>
      <c r="BU360" s="107">
        <v>1.0</v>
      </c>
      <c r="BV360" s="108">
        <f t="shared" si="2"/>
        <v>46239</v>
      </c>
      <c r="BW360" s="108">
        <f t="shared" si="16"/>
        <v>46241</v>
      </c>
      <c r="BX360" s="102" t="str">
        <f t="shared" si="15"/>
        <v>09</v>
      </c>
      <c r="BY360" s="107">
        <f t="shared" si="5"/>
        <v>5</v>
      </c>
      <c r="BZ360" s="107">
        <f t="array" ref="BZ360">IF($A360&lt;&gt;"",INDEX(LISTA!$M$2:$N$27,MATCH($BC360,LISTA!$N$2:$N$27,0),1),"")</f>
        <v>1</v>
      </c>
      <c r="CA360" s="67">
        <f t="shared" si="6"/>
        <v>8</v>
      </c>
      <c r="CB360" s="114">
        <f t="shared" si="7"/>
        <v>8</v>
      </c>
      <c r="CC360" s="67">
        <v>5.8258767E7</v>
      </c>
    </row>
    <row r="361" ht="15.0" customHeight="1">
      <c r="A361" s="59">
        <v>46239.80545354167</v>
      </c>
      <c r="B361" s="115" t="s">
        <v>105</v>
      </c>
      <c r="C361" s="54" t="s">
        <v>100</v>
      </c>
      <c r="D361" s="56" t="s">
        <v>319</v>
      </c>
      <c r="E361" s="69">
        <v>46241.375</v>
      </c>
      <c r="F361" s="162"/>
      <c r="G361" s="60" t="s">
        <v>4851</v>
      </c>
      <c r="H361" s="60" t="s">
        <v>4852</v>
      </c>
      <c r="I361" s="67" t="s">
        <v>350</v>
      </c>
      <c r="J361" s="79" t="s">
        <v>4853</v>
      </c>
      <c r="K361" s="67" t="s">
        <v>109</v>
      </c>
      <c r="L361" s="79" t="s">
        <v>4854</v>
      </c>
      <c r="M361" s="83" t="s">
        <v>4855</v>
      </c>
      <c r="N361" s="78">
        <v>29403.0</v>
      </c>
      <c r="O361" s="80" t="s">
        <v>37</v>
      </c>
      <c r="P361" s="70">
        <v>150113.0</v>
      </c>
      <c r="Q361" s="54"/>
      <c r="R361" s="84"/>
      <c r="S361" s="84"/>
      <c r="T361" s="54"/>
      <c r="U361" s="86"/>
      <c r="V361" s="54"/>
      <c r="W361" s="86" t="s">
        <v>2761</v>
      </c>
      <c r="X361" s="54"/>
      <c r="Y361" s="78"/>
      <c r="Z361" s="54"/>
      <c r="AA361" s="70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54" t="s">
        <v>1880</v>
      </c>
      <c r="AR361" s="83" t="s">
        <v>4856</v>
      </c>
      <c r="AS361" s="83" t="s">
        <v>4857</v>
      </c>
      <c r="AT361" s="93" t="s">
        <v>4853</v>
      </c>
      <c r="AU361" s="93" t="s">
        <v>4853</v>
      </c>
      <c r="AV361" s="93" t="s">
        <v>4853</v>
      </c>
      <c r="AW361" s="83" t="s">
        <v>4858</v>
      </c>
      <c r="AX361" s="83">
        <v>3.0</v>
      </c>
      <c r="AY361" s="83">
        <v>0.0</v>
      </c>
      <c r="AZ361" s="83" t="s">
        <v>4859</v>
      </c>
      <c r="BA361" s="83" t="s">
        <v>4860</v>
      </c>
      <c r="BB361" s="83" t="s">
        <v>4861</v>
      </c>
      <c r="BC361" s="54" t="s">
        <v>30</v>
      </c>
      <c r="BD361" s="54" t="str">
        <f t="shared" si="1"/>
        <v>Carmen de la Legua-Reynoso</v>
      </c>
      <c r="BE361" s="67" t="s">
        <v>140</v>
      </c>
      <c r="BF361" s="67" t="s">
        <v>141</v>
      </c>
      <c r="BG361" s="67" t="s">
        <v>142</v>
      </c>
      <c r="BH361" s="67"/>
      <c r="BI361" s="67"/>
      <c r="BJ361" s="67"/>
      <c r="BK361" s="67"/>
      <c r="BL361" s="67" t="s">
        <v>145</v>
      </c>
      <c r="BM361" s="67" t="s">
        <v>146</v>
      </c>
      <c r="BN361" s="100">
        <v>170.0</v>
      </c>
      <c r="BO361" s="102" t="s">
        <v>148</v>
      </c>
      <c r="BP361" s="67" t="s">
        <v>141</v>
      </c>
      <c r="BQ361" s="79" t="s">
        <v>144</v>
      </c>
      <c r="BR361" s="67">
        <v>2.0</v>
      </c>
      <c r="BS361" s="102">
        <v>1.0</v>
      </c>
      <c r="BT361" s="106">
        <v>46241.0</v>
      </c>
      <c r="BU361" s="107">
        <v>2.0</v>
      </c>
      <c r="BV361" s="108">
        <f t="shared" si="2"/>
        <v>46239</v>
      </c>
      <c r="BW361" s="108">
        <f t="shared" si="16"/>
        <v>46241</v>
      </c>
      <c r="BX361" s="102" t="str">
        <f t="shared" si="15"/>
        <v>09</v>
      </c>
      <c r="BY361" s="107">
        <f t="shared" si="5"/>
        <v>5</v>
      </c>
      <c r="BZ361" s="107">
        <f t="array" ref="BZ361">IF($A361&lt;&gt;"",INDEX(LISTA!$M$2:$N$27,MATCH($BC361,LISTA!$N$2:$N$27,0),1),"")</f>
        <v>2</v>
      </c>
      <c r="CA361" s="67">
        <f t="shared" si="6"/>
        <v>8</v>
      </c>
      <c r="CB361" s="114">
        <f t="shared" si="7"/>
        <v>8</v>
      </c>
      <c r="CC361" s="67">
        <v>5.8258851E7</v>
      </c>
    </row>
    <row r="362" ht="15.0" customHeight="1">
      <c r="A362" s="59">
        <v>46240.67985515046</v>
      </c>
      <c r="B362" s="115" t="s">
        <v>105</v>
      </c>
      <c r="C362" s="54" t="s">
        <v>100</v>
      </c>
      <c r="D362" s="56" t="s">
        <v>319</v>
      </c>
      <c r="E362" s="69">
        <v>46241.583333333336</v>
      </c>
      <c r="F362" s="162"/>
      <c r="G362" s="60" t="s">
        <v>4862</v>
      </c>
      <c r="H362" s="60" t="s">
        <v>4863</v>
      </c>
      <c r="I362" s="67" t="s">
        <v>350</v>
      </c>
      <c r="J362" s="79" t="s">
        <v>4864</v>
      </c>
      <c r="K362" s="67" t="s">
        <v>109</v>
      </c>
      <c r="L362" s="79" t="s">
        <v>4865</v>
      </c>
      <c r="M362" s="83" t="s">
        <v>4866</v>
      </c>
      <c r="N362" s="78">
        <v>24864.0</v>
      </c>
      <c r="O362" s="80" t="s">
        <v>36</v>
      </c>
      <c r="P362" s="70">
        <v>120114.0</v>
      </c>
      <c r="Q362" s="54"/>
      <c r="R362" s="84"/>
      <c r="S362" s="84"/>
      <c r="T362" s="54"/>
      <c r="U362" s="86"/>
      <c r="V362" s="54"/>
      <c r="W362" s="86"/>
      <c r="X362" s="54"/>
      <c r="Y362" s="78"/>
      <c r="Z362" s="54"/>
      <c r="AA362" s="70"/>
      <c r="AB362" s="83" t="s">
        <v>766</v>
      </c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54" t="s">
        <v>2893</v>
      </c>
      <c r="AR362" s="83" t="s">
        <v>4867</v>
      </c>
      <c r="AS362" s="83" t="s">
        <v>4868</v>
      </c>
      <c r="AT362" s="93" t="s">
        <v>4864</v>
      </c>
      <c r="AU362" s="93" t="s">
        <v>4864</v>
      </c>
      <c r="AV362" s="93" t="s">
        <v>4864</v>
      </c>
      <c r="AW362" s="83" t="s">
        <v>4869</v>
      </c>
      <c r="AX362" s="83">
        <v>1.0</v>
      </c>
      <c r="AY362" s="83">
        <v>0.0</v>
      </c>
      <c r="AZ362" s="83" t="s">
        <v>4870</v>
      </c>
      <c r="BA362" s="83" t="s">
        <v>4871</v>
      </c>
      <c r="BB362" s="83" t="s">
        <v>4872</v>
      </c>
      <c r="BC362" s="54" t="s">
        <v>36</v>
      </c>
      <c r="BD362" s="54" t="str">
        <f t="shared" si="1"/>
        <v>Huancayo</v>
      </c>
      <c r="BE362" s="67" t="s">
        <v>140</v>
      </c>
      <c r="BF362" s="67" t="s">
        <v>141</v>
      </c>
      <c r="BG362" s="67" t="s">
        <v>142</v>
      </c>
      <c r="BH362" s="67"/>
      <c r="BI362" s="67"/>
      <c r="BJ362" s="67"/>
      <c r="BK362" s="67"/>
      <c r="BL362" s="67" t="s">
        <v>147</v>
      </c>
      <c r="BM362" s="67" t="s">
        <v>146</v>
      </c>
      <c r="BN362" s="100">
        <v>89.0</v>
      </c>
      <c r="BO362" s="102" t="s">
        <v>148</v>
      </c>
      <c r="BP362" s="67" t="s">
        <v>141</v>
      </c>
      <c r="BQ362" s="79" t="s">
        <v>141</v>
      </c>
      <c r="BR362" s="67" t="s">
        <v>149</v>
      </c>
      <c r="BS362" s="102">
        <v>1.0</v>
      </c>
      <c r="BT362" s="106">
        <v>46241.0</v>
      </c>
      <c r="BU362" s="107">
        <v>3.0</v>
      </c>
      <c r="BV362" s="108">
        <f t="shared" si="2"/>
        <v>46240</v>
      </c>
      <c r="BW362" s="108">
        <f t="shared" si="16"/>
        <v>46241</v>
      </c>
      <c r="BX362" s="102" t="str">
        <f t="shared" si="15"/>
        <v>14</v>
      </c>
      <c r="BY362" s="107">
        <f t="shared" si="5"/>
        <v>5</v>
      </c>
      <c r="BZ362" s="107">
        <f t="array" ref="BZ362">IF($A362&lt;&gt;"",INDEX(LISTA!$M$2:$N$27,MATCH($BC362,LISTA!$N$2:$N$27,0),1),"")</f>
        <v>14</v>
      </c>
      <c r="CA362" s="67">
        <f t="shared" si="6"/>
        <v>8</v>
      </c>
      <c r="CB362" s="114">
        <f t="shared" si="7"/>
        <v>8</v>
      </c>
      <c r="CC362" s="67">
        <v>5.8264066E7</v>
      </c>
    </row>
    <row r="363" ht="15.0" customHeight="1">
      <c r="A363" s="59">
        <v>46239.70484561342</v>
      </c>
      <c r="B363" s="115" t="s">
        <v>105</v>
      </c>
      <c r="C363" s="54" t="s">
        <v>100</v>
      </c>
      <c r="D363" s="56" t="s">
        <v>101</v>
      </c>
      <c r="E363" s="69">
        <v>46241.583333333336</v>
      </c>
      <c r="F363" s="162"/>
      <c r="G363" s="60" t="s">
        <v>4873</v>
      </c>
      <c r="H363" s="60" t="s">
        <v>4874</v>
      </c>
      <c r="I363" s="67" t="s">
        <v>107</v>
      </c>
      <c r="J363" s="79" t="s">
        <v>4875</v>
      </c>
      <c r="K363" s="67" t="s">
        <v>109</v>
      </c>
      <c r="L363" s="79" t="s">
        <v>4876</v>
      </c>
      <c r="M363" s="83" t="s">
        <v>4877</v>
      </c>
      <c r="N363" s="78">
        <v>38313.0</v>
      </c>
      <c r="O363" s="80" t="s">
        <v>37</v>
      </c>
      <c r="P363" s="70">
        <v>140101.0</v>
      </c>
      <c r="Q363" s="54"/>
      <c r="R363" s="84"/>
      <c r="S363" s="84"/>
      <c r="T363" s="54"/>
      <c r="U363" s="86"/>
      <c r="V363" s="54"/>
      <c r="W363" s="86"/>
      <c r="X363" s="54"/>
      <c r="Y363" s="78"/>
      <c r="Z363" s="54"/>
      <c r="AA363" s="70"/>
      <c r="AB363" s="83"/>
      <c r="AC363" s="83"/>
      <c r="AD363" s="83"/>
      <c r="AE363" s="83"/>
      <c r="AF363" s="83" t="s">
        <v>1355</v>
      </c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54" t="s">
        <v>4878</v>
      </c>
      <c r="AR363" s="83" t="s">
        <v>717</v>
      </c>
      <c r="AS363" s="83" t="s">
        <v>4879</v>
      </c>
      <c r="AT363" s="93" t="s">
        <v>4875</v>
      </c>
      <c r="AU363" s="93" t="s">
        <v>4875</v>
      </c>
      <c r="AV363" s="93" t="s">
        <v>4875</v>
      </c>
      <c r="AW363" s="83" t="s">
        <v>4880</v>
      </c>
      <c r="AX363" s="83">
        <v>1.0</v>
      </c>
      <c r="AY363" s="83">
        <v>1.0</v>
      </c>
      <c r="AZ363" s="83" t="s">
        <v>4881</v>
      </c>
      <c r="BA363" s="83" t="s">
        <v>4882</v>
      </c>
      <c r="BB363" s="83" t="s">
        <v>4883</v>
      </c>
      <c r="BC363" s="54" t="s">
        <v>41</v>
      </c>
      <c r="BD363" s="54" t="str">
        <f t="shared" si="1"/>
        <v>Villa María del Triunfo</v>
      </c>
      <c r="BE363" s="67" t="s">
        <v>140</v>
      </c>
      <c r="BF363" s="67" t="s">
        <v>144</v>
      </c>
      <c r="BG363" s="67" t="s">
        <v>142</v>
      </c>
      <c r="BH363" s="67"/>
      <c r="BI363" s="67"/>
      <c r="BJ363" s="67"/>
      <c r="BK363" s="67"/>
      <c r="BL363" s="67" t="s">
        <v>147</v>
      </c>
      <c r="BM363" s="67" t="s">
        <v>146</v>
      </c>
      <c r="BN363" s="100">
        <v>89.0</v>
      </c>
      <c r="BO363" s="102" t="s">
        <v>148</v>
      </c>
      <c r="BP363" s="67" t="s">
        <v>141</v>
      </c>
      <c r="BQ363" s="79" t="s">
        <v>141</v>
      </c>
      <c r="BR363" s="67" t="s">
        <v>149</v>
      </c>
      <c r="BS363" s="102">
        <v>1.0</v>
      </c>
      <c r="BT363" s="106">
        <v>46241.0</v>
      </c>
      <c r="BU363" s="107">
        <v>4.0</v>
      </c>
      <c r="BV363" s="108">
        <f t="shared" si="2"/>
        <v>46239</v>
      </c>
      <c r="BW363" s="108">
        <f t="shared" si="16"/>
        <v>46241</v>
      </c>
      <c r="BX363" s="102" t="str">
        <f t="shared" si="15"/>
        <v>14</v>
      </c>
      <c r="BY363" s="107">
        <f t="shared" si="5"/>
        <v>5</v>
      </c>
      <c r="BZ363" s="107">
        <f t="array" ref="BZ363">IF($A363&lt;&gt;"",INDEX(LISTA!$M$2:$N$27,MATCH($BC363,LISTA!$N$2:$N$27,0),1),"")</f>
        <v>1</v>
      </c>
      <c r="CA363" s="67">
        <f t="shared" si="6"/>
        <v>8</v>
      </c>
      <c r="CB363" s="114">
        <f t="shared" si="7"/>
        <v>8</v>
      </c>
      <c r="CC363" s="67">
        <v>5.8256843E7</v>
      </c>
    </row>
    <row r="364" ht="15.0" customHeight="1">
      <c r="A364" s="59">
        <v>46240.62491115741</v>
      </c>
      <c r="B364" s="115" t="s">
        <v>105</v>
      </c>
      <c r="C364" s="54" t="s">
        <v>100</v>
      </c>
      <c r="D364" s="56" t="s">
        <v>319</v>
      </c>
      <c r="E364" s="69">
        <v>46241.583333333336</v>
      </c>
      <c r="F364" s="162"/>
      <c r="G364" s="60" t="s">
        <v>4884</v>
      </c>
      <c r="H364" s="60" t="s">
        <v>4885</v>
      </c>
      <c r="I364" s="67" t="s">
        <v>350</v>
      </c>
      <c r="J364" s="79" t="s">
        <v>4886</v>
      </c>
      <c r="K364" s="67" t="s">
        <v>109</v>
      </c>
      <c r="L364" s="79" t="s">
        <v>4887</v>
      </c>
      <c r="M364" s="83" t="s">
        <v>4888</v>
      </c>
      <c r="N364" s="78">
        <v>21017.0</v>
      </c>
      <c r="O364" s="80" t="s">
        <v>37</v>
      </c>
      <c r="P364" s="70">
        <v>1404.0</v>
      </c>
      <c r="Q364" s="54"/>
      <c r="R364" s="84"/>
      <c r="S364" s="84"/>
      <c r="T364" s="54"/>
      <c r="U364" s="86"/>
      <c r="V364" s="54"/>
      <c r="W364" s="86"/>
      <c r="X364" s="54"/>
      <c r="Y364" s="78"/>
      <c r="Z364" s="54"/>
      <c r="AA364" s="70"/>
      <c r="AB364" s="83"/>
      <c r="AC364" s="83"/>
      <c r="AD364" s="83"/>
      <c r="AE364" s="83"/>
      <c r="AF364" s="83" t="s">
        <v>2418</v>
      </c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54" t="s">
        <v>4889</v>
      </c>
      <c r="AR364" s="83" t="s">
        <v>4890</v>
      </c>
      <c r="AS364" s="83" t="s">
        <v>4891</v>
      </c>
      <c r="AT364" s="93" t="s">
        <v>4886</v>
      </c>
      <c r="AU364" s="93" t="s">
        <v>4886</v>
      </c>
      <c r="AV364" s="93" t="s">
        <v>4886</v>
      </c>
      <c r="AW364" s="83" t="s">
        <v>4892</v>
      </c>
      <c r="AX364" s="83">
        <v>2.0</v>
      </c>
      <c r="AY364" s="83">
        <v>0.0</v>
      </c>
      <c r="AZ364" s="83" t="s">
        <v>4893</v>
      </c>
      <c r="BA364" s="83" t="s">
        <v>4894</v>
      </c>
      <c r="BB364" s="83" t="s">
        <v>4895</v>
      </c>
      <c r="BC364" s="54" t="s">
        <v>41</v>
      </c>
      <c r="BD364" s="54" t="str">
        <f t="shared" si="1"/>
        <v>San Isidro</v>
      </c>
      <c r="BE364" s="67" t="s">
        <v>140</v>
      </c>
      <c r="BF364" s="67" t="s">
        <v>141</v>
      </c>
      <c r="BG364" s="67" t="s">
        <v>142</v>
      </c>
      <c r="BH364" s="67"/>
      <c r="BI364" s="67"/>
      <c r="BJ364" s="67"/>
      <c r="BK364" s="67"/>
      <c r="BL364" s="67" t="s">
        <v>145</v>
      </c>
      <c r="BM364" s="67" t="s">
        <v>146</v>
      </c>
      <c r="BN364" s="100">
        <v>150.0</v>
      </c>
      <c r="BO364" s="102" t="s">
        <v>615</v>
      </c>
      <c r="BP364" s="67" t="s">
        <v>141</v>
      </c>
      <c r="BQ364" s="79" t="s">
        <v>141</v>
      </c>
      <c r="BR364" s="67">
        <v>2.0</v>
      </c>
      <c r="BS364" s="102" t="s">
        <v>149</v>
      </c>
      <c r="BT364" s="106">
        <v>46241.0</v>
      </c>
      <c r="BU364" s="107">
        <v>5.0</v>
      </c>
      <c r="BV364" s="108">
        <f t="shared" si="2"/>
        <v>46240</v>
      </c>
      <c r="BW364" s="108">
        <f t="shared" si="16"/>
        <v>46241</v>
      </c>
      <c r="BX364" s="102" t="str">
        <f t="shared" si="15"/>
        <v>14</v>
      </c>
      <c r="BY364" s="107">
        <f t="shared" si="5"/>
        <v>5</v>
      </c>
      <c r="BZ364" s="107">
        <f t="array" ref="BZ364">IF($A364&lt;&gt;"",INDEX(LISTA!$M$2:$N$27,MATCH($BC364,LISTA!$N$2:$N$27,0),1),"")</f>
        <v>1</v>
      </c>
      <c r="CA364" s="67">
        <f t="shared" si="6"/>
        <v>8</v>
      </c>
      <c r="CB364" s="114">
        <f t="shared" si="7"/>
        <v>8</v>
      </c>
      <c r="CC364" s="67">
        <v>5.8263152E7</v>
      </c>
    </row>
    <row r="365" ht="15.0" customHeight="1">
      <c r="A365" s="59">
        <v>46235.52645613426</v>
      </c>
      <c r="B365" s="115" t="s">
        <v>105</v>
      </c>
      <c r="C365" s="54" t="s">
        <v>100</v>
      </c>
      <c r="D365" s="56" t="s">
        <v>319</v>
      </c>
      <c r="E365" s="69">
        <v>46241.583333333336</v>
      </c>
      <c r="F365" s="162" t="s">
        <v>4896</v>
      </c>
      <c r="G365" s="60" t="s">
        <v>4897</v>
      </c>
      <c r="H365" s="60" t="s">
        <v>4898</v>
      </c>
      <c r="I365" s="67" t="s">
        <v>384</v>
      </c>
      <c r="J365" s="79" t="s">
        <v>4899</v>
      </c>
      <c r="K365" s="67" t="s">
        <v>109</v>
      </c>
      <c r="L365" s="79" t="s">
        <v>4900</v>
      </c>
      <c r="M365" s="83" t="s">
        <v>4901</v>
      </c>
      <c r="N365" s="78">
        <v>21403.0</v>
      </c>
      <c r="O365" s="80" t="s">
        <v>41</v>
      </c>
      <c r="P365" s="156" t="s">
        <v>4902</v>
      </c>
      <c r="Q365" s="54"/>
      <c r="R365" s="84"/>
      <c r="S365" s="84"/>
      <c r="T365" s="54"/>
      <c r="U365" s="86"/>
      <c r="V365" s="54"/>
      <c r="W365" s="86"/>
      <c r="X365" s="54"/>
      <c r="Y365" s="78"/>
      <c r="Z365" s="54"/>
      <c r="AA365" s="70"/>
      <c r="AB365" s="83"/>
      <c r="AC365" s="83"/>
      <c r="AD365" s="83"/>
      <c r="AE365" s="83"/>
      <c r="AF365" s="83" t="s">
        <v>198</v>
      </c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54" t="s">
        <v>4903</v>
      </c>
      <c r="AR365" s="83" t="s">
        <v>4904</v>
      </c>
      <c r="AS365" s="83" t="s">
        <v>4905</v>
      </c>
      <c r="AT365" s="93" t="s">
        <v>4899</v>
      </c>
      <c r="AU365" s="93" t="s">
        <v>4899</v>
      </c>
      <c r="AV365" s="93" t="s">
        <v>4899</v>
      </c>
      <c r="AW365" s="83" t="s">
        <v>4906</v>
      </c>
      <c r="AX365" s="83">
        <v>7.0</v>
      </c>
      <c r="AY365" s="83">
        <v>701.0</v>
      </c>
      <c r="AZ365" s="83" t="s">
        <v>4907</v>
      </c>
      <c r="BA365" s="83" t="s">
        <v>4908</v>
      </c>
      <c r="BB365" s="83" t="s">
        <v>4909</v>
      </c>
      <c r="BC365" s="54" t="s">
        <v>41</v>
      </c>
      <c r="BD365" s="54" t="str">
        <f t="shared" si="1"/>
        <v>Miraflores</v>
      </c>
      <c r="BE365" s="67" t="s">
        <v>140</v>
      </c>
      <c r="BF365" s="67" t="s">
        <v>141</v>
      </c>
      <c r="BG365" s="67" t="s">
        <v>142</v>
      </c>
      <c r="BH365" s="67"/>
      <c r="BI365" s="67"/>
      <c r="BJ365" s="67"/>
      <c r="BK365" s="67"/>
      <c r="BL365" s="67" t="s">
        <v>145</v>
      </c>
      <c r="BM365" s="67" t="s">
        <v>146</v>
      </c>
      <c r="BN365" s="100">
        <v>150.0</v>
      </c>
      <c r="BO365" s="102" t="s">
        <v>615</v>
      </c>
      <c r="BP365" s="67" t="s">
        <v>144</v>
      </c>
      <c r="BQ365" s="79" t="s">
        <v>141</v>
      </c>
      <c r="BR365" s="67">
        <v>2.0</v>
      </c>
      <c r="BS365" s="102" t="s">
        <v>149</v>
      </c>
      <c r="BT365" s="106">
        <v>46241.0</v>
      </c>
      <c r="BU365" s="107">
        <v>6.0</v>
      </c>
      <c r="BV365" s="108">
        <f t="shared" si="2"/>
        <v>46235</v>
      </c>
      <c r="BW365" s="108">
        <f t="shared" si="16"/>
        <v>46241</v>
      </c>
      <c r="BX365" s="102" t="str">
        <f t="shared" si="15"/>
        <v>14</v>
      </c>
      <c r="BY365" s="107">
        <f t="shared" si="5"/>
        <v>5</v>
      </c>
      <c r="BZ365" s="107">
        <f t="array" ref="BZ365">IF($A365&lt;&gt;"",INDEX(LISTA!$M$2:$N$27,MATCH($BC365,LISTA!$N$2:$N$27,0),1),"")</f>
        <v>1</v>
      </c>
      <c r="CA365" s="67">
        <f t="shared" si="6"/>
        <v>8</v>
      </c>
      <c r="CB365" s="114">
        <f t="shared" si="7"/>
        <v>8</v>
      </c>
      <c r="CC365" s="67">
        <v>5.8230471E7</v>
      </c>
    </row>
    <row r="366" ht="15.0" customHeight="1">
      <c r="A366" s="59">
        <v>46239.6458747338</v>
      </c>
      <c r="B366" s="115" t="s">
        <v>105</v>
      </c>
      <c r="C366" s="54" t="s">
        <v>100</v>
      </c>
      <c r="D366" s="56" t="s">
        <v>319</v>
      </c>
      <c r="E366" s="69">
        <v>46241.583333333336</v>
      </c>
      <c r="F366" s="162" t="s">
        <v>4896</v>
      </c>
      <c r="G366" s="60" t="s">
        <v>4910</v>
      </c>
      <c r="H366" s="60" t="s">
        <v>4911</v>
      </c>
      <c r="I366" s="67" t="s">
        <v>350</v>
      </c>
      <c r="J366" s="79" t="s">
        <v>4912</v>
      </c>
      <c r="K366" s="67" t="s">
        <v>109</v>
      </c>
      <c r="L366" s="79" t="s">
        <v>4913</v>
      </c>
      <c r="M366" s="83" t="s">
        <v>4914</v>
      </c>
      <c r="N366" s="78">
        <v>22583.0</v>
      </c>
      <c r="O366" s="80" t="s">
        <v>37</v>
      </c>
      <c r="P366" s="70">
        <v>150202.0</v>
      </c>
      <c r="Q366" s="54"/>
      <c r="R366" s="84"/>
      <c r="S366" s="84"/>
      <c r="T366" s="54"/>
      <c r="U366" s="86"/>
      <c r="V366" s="54"/>
      <c r="W366" s="86"/>
      <c r="X366" s="54"/>
      <c r="Y366" s="78"/>
      <c r="Z366" s="54"/>
      <c r="AA366" s="70"/>
      <c r="AB366" s="83"/>
      <c r="AC366" s="83"/>
      <c r="AD366" s="83"/>
      <c r="AE366" s="83" t="s">
        <v>2833</v>
      </c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54" t="s">
        <v>4915</v>
      </c>
      <c r="AR366" s="83" t="s">
        <v>4916</v>
      </c>
      <c r="AS366" s="83" t="s">
        <v>4917</v>
      </c>
      <c r="AT366" s="93" t="s">
        <v>4912</v>
      </c>
      <c r="AU366" s="93" t="s">
        <v>4918</v>
      </c>
      <c r="AV366" s="93" t="s">
        <v>4912</v>
      </c>
      <c r="AW366" s="83" t="s">
        <v>4919</v>
      </c>
      <c r="AX366" s="83">
        <v>3.0</v>
      </c>
      <c r="AY366" s="83">
        <v>0.0</v>
      </c>
      <c r="AZ366" s="83" t="s">
        <v>4920</v>
      </c>
      <c r="BA366" s="161" t="s">
        <v>4921</v>
      </c>
      <c r="BB366" s="83" t="s">
        <v>4922</v>
      </c>
      <c r="BC366" s="54" t="s">
        <v>37</v>
      </c>
      <c r="BD366" s="54" t="str">
        <f t="shared" si="1"/>
        <v>Barranca</v>
      </c>
      <c r="BE366" s="67" t="s">
        <v>140</v>
      </c>
      <c r="BF366" s="67" t="s">
        <v>144</v>
      </c>
      <c r="BG366" s="67" t="s">
        <v>142</v>
      </c>
      <c r="BH366" s="67"/>
      <c r="BI366" s="67"/>
      <c r="BJ366" s="67"/>
      <c r="BK366" s="67"/>
      <c r="BL366" s="67" t="s">
        <v>147</v>
      </c>
      <c r="BM366" s="67" t="s">
        <v>146</v>
      </c>
      <c r="BN366" s="100">
        <v>110.0</v>
      </c>
      <c r="BO366" s="102" t="s">
        <v>182</v>
      </c>
      <c r="BP366" s="67" t="s">
        <v>141</v>
      </c>
      <c r="BQ366" s="79" t="s">
        <v>141</v>
      </c>
      <c r="BR366" s="67" t="s">
        <v>149</v>
      </c>
      <c r="BS366" s="102">
        <v>2.0</v>
      </c>
      <c r="BT366" s="106">
        <v>46241.0</v>
      </c>
      <c r="BU366" s="107">
        <v>7.0</v>
      </c>
      <c r="BV366" s="108">
        <f t="shared" si="2"/>
        <v>46239</v>
      </c>
      <c r="BW366" s="108">
        <f t="shared" si="16"/>
        <v>46241</v>
      </c>
      <c r="BX366" s="102" t="str">
        <f t="shared" si="15"/>
        <v>14</v>
      </c>
      <c r="BY366" s="107">
        <f t="shared" si="5"/>
        <v>5</v>
      </c>
      <c r="BZ366" s="107">
        <f t="array" ref="BZ366">IF($A366&lt;&gt;"",INDEX(LISTA!$M$2:$N$27,MATCH($BC366,LISTA!$N$2:$N$27,0),1),"")</f>
        <v>3</v>
      </c>
      <c r="CA366" s="67">
        <f t="shared" si="6"/>
        <v>8</v>
      </c>
      <c r="CB366" s="114">
        <f t="shared" si="7"/>
        <v>8</v>
      </c>
      <c r="CC366" s="67">
        <v>5.8255735E7</v>
      </c>
    </row>
    <row r="367" ht="15.0" customHeight="1">
      <c r="A367" s="59">
        <v>46240.407636550925</v>
      </c>
      <c r="B367" s="115" t="s">
        <v>105</v>
      </c>
      <c r="C367" s="54" t="s">
        <v>100</v>
      </c>
      <c r="D367" s="56" t="s">
        <v>319</v>
      </c>
      <c r="E367" s="69">
        <v>46242.375</v>
      </c>
      <c r="F367" s="162"/>
      <c r="G367" s="60" t="s">
        <v>4923</v>
      </c>
      <c r="H367" s="60" t="s">
        <v>4924</v>
      </c>
      <c r="I367" s="67" t="s">
        <v>350</v>
      </c>
      <c r="J367" s="79" t="s">
        <v>4925</v>
      </c>
      <c r="K367" s="67" t="s">
        <v>109</v>
      </c>
      <c r="L367" s="79" t="s">
        <v>4926</v>
      </c>
      <c r="M367" s="83" t="s">
        <v>4927</v>
      </c>
      <c r="N367" s="78">
        <v>33631.0</v>
      </c>
      <c r="O367" s="80" t="s">
        <v>27</v>
      </c>
      <c r="P367" s="156" t="s">
        <v>4928</v>
      </c>
      <c r="Q367" s="54"/>
      <c r="R367" s="84"/>
      <c r="S367" s="84"/>
      <c r="T367" s="54" t="s">
        <v>122</v>
      </c>
      <c r="U367" s="86"/>
      <c r="V367" s="54"/>
      <c r="W367" s="86"/>
      <c r="X367" s="54"/>
      <c r="Y367" s="78"/>
      <c r="Z367" s="54"/>
      <c r="AA367" s="70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54" t="s">
        <v>4929</v>
      </c>
      <c r="AR367" s="83" t="s">
        <v>4930</v>
      </c>
      <c r="AS367" s="83" t="s">
        <v>4931</v>
      </c>
      <c r="AT367" s="93" t="s">
        <v>4925</v>
      </c>
      <c r="AU367" s="93" t="s">
        <v>4925</v>
      </c>
      <c r="AV367" s="93" t="s">
        <v>4925</v>
      </c>
      <c r="AW367" s="83" t="s">
        <v>4932</v>
      </c>
      <c r="AX367" s="83">
        <v>4.0</v>
      </c>
      <c r="AY367" s="83">
        <v>0.0</v>
      </c>
      <c r="AZ367" s="83" t="s">
        <v>4933</v>
      </c>
      <c r="BA367" s="83" t="s">
        <v>4934</v>
      </c>
      <c r="BB367" s="83" t="s">
        <v>3108</v>
      </c>
      <c r="BC367" s="54" t="s">
        <v>27</v>
      </c>
      <c r="BD367" s="54" t="str">
        <f t="shared" si="1"/>
        <v>Arequipa</v>
      </c>
      <c r="BE367" s="67" t="s">
        <v>140</v>
      </c>
      <c r="BF367" s="67" t="s">
        <v>141</v>
      </c>
      <c r="BG367" s="67" t="s">
        <v>142</v>
      </c>
      <c r="BH367" s="67"/>
      <c r="BI367" s="67"/>
      <c r="BJ367" s="67"/>
      <c r="BK367" s="67"/>
      <c r="BL367" s="67" t="s">
        <v>147</v>
      </c>
      <c r="BM367" s="67" t="s">
        <v>3951</v>
      </c>
      <c r="BN367" s="100">
        <v>110.0</v>
      </c>
      <c r="BO367" s="102" t="s">
        <v>182</v>
      </c>
      <c r="BP367" s="67" t="s">
        <v>144</v>
      </c>
      <c r="BQ367" s="79" t="s">
        <v>141</v>
      </c>
      <c r="BR367" s="67" t="s">
        <v>149</v>
      </c>
      <c r="BS367" s="102">
        <v>1.0</v>
      </c>
      <c r="BT367" s="106">
        <v>46241.0</v>
      </c>
      <c r="BU367" s="107">
        <v>8.0</v>
      </c>
      <c r="BV367" s="108">
        <f t="shared" si="2"/>
        <v>46240</v>
      </c>
      <c r="BW367" s="108">
        <f t="shared" si="16"/>
        <v>46242</v>
      </c>
      <c r="BX367" s="102" t="str">
        <f t="shared" si="15"/>
        <v>09</v>
      </c>
      <c r="BY367" s="107">
        <f t="shared" si="5"/>
        <v>5</v>
      </c>
      <c r="BZ367" s="107">
        <f t="array" ref="BZ367">IF($A367&lt;&gt;"",INDEX(LISTA!$M$2:$N$27,MATCH($BC367,LISTA!$N$2:$N$27,0),1),"")</f>
        <v>7</v>
      </c>
      <c r="CA367" s="67">
        <f t="shared" si="6"/>
        <v>8</v>
      </c>
      <c r="CB367" s="114">
        <f t="shared" si="7"/>
        <v>8</v>
      </c>
      <c r="CC367" s="67">
        <v>5.8261113E7</v>
      </c>
    </row>
    <row r="368" ht="15.0" customHeight="1">
      <c r="A368" s="59">
        <v>46241.4872994676</v>
      </c>
      <c r="B368" s="115" t="s">
        <v>105</v>
      </c>
      <c r="C368" s="54" t="s">
        <v>100</v>
      </c>
      <c r="D368" s="56" t="s">
        <v>331</v>
      </c>
      <c r="E368" s="69">
        <v>46244.333333333336</v>
      </c>
      <c r="F368" s="162"/>
      <c r="G368" s="60" t="s">
        <v>4935</v>
      </c>
      <c r="H368" s="60" t="s">
        <v>4936</v>
      </c>
      <c r="I368" s="67" t="s">
        <v>403</v>
      </c>
      <c r="J368" s="79" t="s">
        <v>4937</v>
      </c>
      <c r="K368" s="67" t="s">
        <v>109</v>
      </c>
      <c r="L368" s="79" t="s">
        <v>4938</v>
      </c>
      <c r="M368" s="83" t="s">
        <v>4939</v>
      </c>
      <c r="N368" s="78">
        <v>21929.0</v>
      </c>
      <c r="O368" s="80" t="s">
        <v>34</v>
      </c>
      <c r="P368" s="70">
        <v>100101.0</v>
      </c>
      <c r="Q368" s="54"/>
      <c r="R368" s="84"/>
      <c r="S368" s="84"/>
      <c r="T368" s="54"/>
      <c r="U368" s="86"/>
      <c r="V368" s="54"/>
      <c r="W368" s="86"/>
      <c r="X368" s="54"/>
      <c r="Y368" s="78"/>
      <c r="Z368" s="54"/>
      <c r="AA368" s="70" t="s">
        <v>525</v>
      </c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54" t="s">
        <v>3268</v>
      </c>
      <c r="AR368" s="83" t="s">
        <v>4940</v>
      </c>
      <c r="AS368" s="83" t="s">
        <v>4941</v>
      </c>
      <c r="AT368" s="93" t="s">
        <v>4937</v>
      </c>
      <c r="AU368" s="93" t="s">
        <v>4937</v>
      </c>
      <c r="AV368" s="93" t="s">
        <v>4937</v>
      </c>
      <c r="AW368" s="83" t="s">
        <v>4942</v>
      </c>
      <c r="AX368" s="83">
        <v>1.0</v>
      </c>
      <c r="AY368" s="83" t="s">
        <v>2519</v>
      </c>
      <c r="AZ368" s="83" t="s">
        <v>4943</v>
      </c>
      <c r="BA368" s="83" t="s">
        <v>4944</v>
      </c>
      <c r="BB368" s="83" t="s">
        <v>4945</v>
      </c>
      <c r="BC368" s="54" t="s">
        <v>34</v>
      </c>
      <c r="BD368" s="70" t="str">
        <f t="shared" si="1"/>
        <v>Ica</v>
      </c>
      <c r="BE368" s="67" t="s">
        <v>140</v>
      </c>
      <c r="BF368" s="67" t="s">
        <v>141</v>
      </c>
      <c r="BG368" s="67" t="s">
        <v>142</v>
      </c>
      <c r="BH368" s="67"/>
      <c r="BI368" s="67"/>
      <c r="BJ368" s="67"/>
      <c r="BK368" s="67"/>
      <c r="BL368" s="67" t="s">
        <v>283</v>
      </c>
      <c r="BM368" s="67" t="s">
        <v>146</v>
      </c>
      <c r="BN368" s="100">
        <v>94.0</v>
      </c>
      <c r="BO368" s="102" t="s">
        <v>148</v>
      </c>
      <c r="BP368" s="67" t="s">
        <v>141</v>
      </c>
      <c r="BQ368" s="79" t="s">
        <v>144</v>
      </c>
      <c r="BR368" s="67" t="s">
        <v>149</v>
      </c>
      <c r="BS368" s="102">
        <v>1.0</v>
      </c>
      <c r="BT368" s="106">
        <v>46242.0</v>
      </c>
      <c r="BU368" s="107">
        <v>1.0</v>
      </c>
      <c r="BV368" s="108">
        <f t="shared" si="2"/>
        <v>46241</v>
      </c>
      <c r="BW368" s="108">
        <f t="shared" si="16"/>
        <v>46244</v>
      </c>
      <c r="BX368" s="102" t="str">
        <f t="shared" si="15"/>
        <v>08</v>
      </c>
      <c r="BY368" s="107">
        <f t="shared" si="5"/>
        <v>5</v>
      </c>
      <c r="BZ368" s="107">
        <f t="array" ref="BZ368">IF($A368&lt;&gt;"",INDEX(LISTA!$M$2:$N$27,MATCH($BC368,LISTA!$N$2:$N$27,0),1),"")</f>
        <v>13</v>
      </c>
      <c r="CA368" s="67">
        <f t="shared" si="6"/>
        <v>8</v>
      </c>
      <c r="CB368" s="114">
        <f t="shared" si="7"/>
        <v>8</v>
      </c>
      <c r="CC368" s="67">
        <v>5.8269366E7</v>
      </c>
    </row>
    <row r="369" ht="15.0" customHeight="1">
      <c r="A369" s="59">
        <v>46239.4694527199</v>
      </c>
      <c r="B369" s="115" t="s">
        <v>105</v>
      </c>
      <c r="C369" s="54" t="s">
        <v>100</v>
      </c>
      <c r="D369" s="56" t="s">
        <v>319</v>
      </c>
      <c r="E369" s="69">
        <v>46242.375</v>
      </c>
      <c r="F369" s="162"/>
      <c r="G369" s="60" t="s">
        <v>4946</v>
      </c>
      <c r="H369" s="60" t="s">
        <v>4947</v>
      </c>
      <c r="I369" s="67" t="s">
        <v>386</v>
      </c>
      <c r="J369" s="79" t="s">
        <v>4948</v>
      </c>
      <c r="K369" s="67" t="s">
        <v>109</v>
      </c>
      <c r="L369" s="79" t="s">
        <v>4949</v>
      </c>
      <c r="M369" s="83" t="s">
        <v>4950</v>
      </c>
      <c r="N369" s="78">
        <v>33240.0</v>
      </c>
      <c r="O369" s="80" t="s">
        <v>41</v>
      </c>
      <c r="P369" s="70">
        <v>150116.0</v>
      </c>
      <c r="Q369" s="54"/>
      <c r="R369" s="84"/>
      <c r="S369" s="84"/>
      <c r="T369" s="54"/>
      <c r="U369" s="86"/>
      <c r="V369" s="54"/>
      <c r="W369" s="86"/>
      <c r="X369" s="54"/>
      <c r="Y369" s="78"/>
      <c r="Z369" s="54"/>
      <c r="AA369" s="70"/>
      <c r="AB369" s="83"/>
      <c r="AC369" s="83"/>
      <c r="AD369" s="83"/>
      <c r="AE369" s="83"/>
      <c r="AF369" s="83" t="s">
        <v>268</v>
      </c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54" t="s">
        <v>4951</v>
      </c>
      <c r="AR369" s="83" t="s">
        <v>4952</v>
      </c>
      <c r="AS369" s="83" t="s">
        <v>4953</v>
      </c>
      <c r="AT369" s="93" t="s">
        <v>4948</v>
      </c>
      <c r="AU369" s="93" t="s">
        <v>4948</v>
      </c>
      <c r="AV369" s="93" t="s">
        <v>4948</v>
      </c>
      <c r="AW369" s="83" t="s">
        <v>4954</v>
      </c>
      <c r="AX369" s="83">
        <v>3.0</v>
      </c>
      <c r="AY369" s="83" t="s">
        <v>1657</v>
      </c>
      <c r="AZ369" s="83" t="s">
        <v>4955</v>
      </c>
      <c r="BA369" s="83" t="s">
        <v>4956</v>
      </c>
      <c r="BB369" s="83" t="s">
        <v>2114</v>
      </c>
      <c r="BC369" s="54" t="s">
        <v>41</v>
      </c>
      <c r="BD369" s="54" t="str">
        <f t="shared" si="1"/>
        <v>Lince</v>
      </c>
      <c r="BE369" s="67" t="s">
        <v>140</v>
      </c>
      <c r="BF369" s="67" t="s">
        <v>144</v>
      </c>
      <c r="BG369" s="67" t="s">
        <v>142</v>
      </c>
      <c r="BH369" s="67"/>
      <c r="BI369" s="67"/>
      <c r="BJ369" s="67"/>
      <c r="BK369" s="67"/>
      <c r="BL369" s="67" t="s">
        <v>147</v>
      </c>
      <c r="BM369" s="67" t="s">
        <v>146</v>
      </c>
      <c r="BN369" s="100">
        <v>89.0</v>
      </c>
      <c r="BO369" s="102" t="s">
        <v>148</v>
      </c>
      <c r="BP369" s="67" t="s">
        <v>141</v>
      </c>
      <c r="BQ369" s="79" t="s">
        <v>141</v>
      </c>
      <c r="BR369" s="67" t="s">
        <v>149</v>
      </c>
      <c r="BS369" s="102">
        <v>1.0</v>
      </c>
      <c r="BT369" s="106">
        <v>46242.0</v>
      </c>
      <c r="BU369" s="107">
        <v>2.0</v>
      </c>
      <c r="BV369" s="108">
        <f t="shared" si="2"/>
        <v>46239</v>
      </c>
      <c r="BW369" s="108">
        <f t="shared" si="16"/>
        <v>46242</v>
      </c>
      <c r="BX369" s="102" t="str">
        <f t="shared" si="15"/>
        <v>09</v>
      </c>
      <c r="BY369" s="107">
        <f t="shared" si="5"/>
        <v>5</v>
      </c>
      <c r="BZ369" s="107">
        <f t="array" ref="BZ369">IF($A369&lt;&gt;"",INDEX(LISTA!$M$2:$N$27,MATCH($BC369,LISTA!$N$2:$N$27,0),1),"")</f>
        <v>1</v>
      </c>
      <c r="CA369" s="67">
        <f t="shared" si="6"/>
        <v>8</v>
      </c>
      <c r="CB369" s="114">
        <f t="shared" si="7"/>
        <v>8</v>
      </c>
      <c r="CC369" s="163">
        <v>5.8253321E7</v>
      </c>
    </row>
    <row r="370" ht="15.0" customHeight="1">
      <c r="A370" s="59">
        <v>46241.39852429398</v>
      </c>
      <c r="B370" s="115" t="s">
        <v>105</v>
      </c>
      <c r="C370" s="54" t="s">
        <v>100</v>
      </c>
      <c r="D370" s="56" t="s">
        <v>101</v>
      </c>
      <c r="E370" s="69">
        <v>46243.375</v>
      </c>
      <c r="F370" s="162" t="s">
        <v>4957</v>
      </c>
      <c r="G370" s="60" t="s">
        <v>4958</v>
      </c>
      <c r="H370" s="60" t="s">
        <v>4959</v>
      </c>
      <c r="I370" s="67" t="s">
        <v>350</v>
      </c>
      <c r="J370" s="79" t="s">
        <v>4960</v>
      </c>
      <c r="K370" s="67" t="s">
        <v>109</v>
      </c>
      <c r="L370" s="79" t="s">
        <v>4961</v>
      </c>
      <c r="M370" s="83" t="s">
        <v>4962</v>
      </c>
      <c r="N370" s="78">
        <v>30961.0</v>
      </c>
      <c r="O370" s="80" t="s">
        <v>40</v>
      </c>
      <c r="P370" s="70">
        <v>140101.0</v>
      </c>
      <c r="Q370" s="54"/>
      <c r="R370" s="84"/>
      <c r="S370" s="84"/>
      <c r="T370" s="54"/>
      <c r="U370" s="86"/>
      <c r="V370" s="54"/>
      <c r="W370" s="86"/>
      <c r="X370" s="54"/>
      <c r="Y370" s="78"/>
      <c r="Z370" s="54"/>
      <c r="AA370" s="70"/>
      <c r="AB370" s="83"/>
      <c r="AC370" s="83"/>
      <c r="AD370" s="83" t="s">
        <v>805</v>
      </c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54" t="s">
        <v>4963</v>
      </c>
      <c r="AR370" s="83" t="s">
        <v>4389</v>
      </c>
      <c r="AS370" s="83" t="s">
        <v>4964</v>
      </c>
      <c r="AT370" s="93" t="s">
        <v>4960</v>
      </c>
      <c r="AU370" s="93" t="s">
        <v>4960</v>
      </c>
      <c r="AV370" s="93" t="s">
        <v>4960</v>
      </c>
      <c r="AW370" s="83" t="s">
        <v>4965</v>
      </c>
      <c r="AX370" s="83">
        <v>1.0</v>
      </c>
      <c r="AY370" s="83">
        <v>0.0</v>
      </c>
      <c r="AZ370" s="83" t="s">
        <v>4966</v>
      </c>
      <c r="BA370" s="83" t="s">
        <v>4967</v>
      </c>
      <c r="BB370" s="83" t="s">
        <v>4968</v>
      </c>
      <c r="BC370" s="54" t="s">
        <v>40</v>
      </c>
      <c r="BD370" s="54" t="str">
        <f t="shared" si="1"/>
        <v>Chiclayo</v>
      </c>
      <c r="BE370" s="67" t="s">
        <v>140</v>
      </c>
      <c r="BF370" s="67" t="s">
        <v>141</v>
      </c>
      <c r="BG370" s="67" t="s">
        <v>142</v>
      </c>
      <c r="BH370" s="67"/>
      <c r="BI370" s="67"/>
      <c r="BJ370" s="67"/>
      <c r="BK370" s="67"/>
      <c r="BL370" s="67" t="s">
        <v>147</v>
      </c>
      <c r="BM370" s="67" t="s">
        <v>146</v>
      </c>
      <c r="BN370" s="100">
        <v>89.0</v>
      </c>
      <c r="BO370" s="102" t="s">
        <v>148</v>
      </c>
      <c r="BP370" s="67" t="s">
        <v>141</v>
      </c>
      <c r="BQ370" s="79" t="s">
        <v>141</v>
      </c>
      <c r="BR370" s="67" t="s">
        <v>149</v>
      </c>
      <c r="BS370" s="102">
        <v>1.0</v>
      </c>
      <c r="BT370" s="106">
        <v>46242.0</v>
      </c>
      <c r="BU370" s="107">
        <v>3.0</v>
      </c>
      <c r="BV370" s="108">
        <f t="shared" si="2"/>
        <v>46241</v>
      </c>
      <c r="BW370" s="108">
        <f t="shared" si="16"/>
        <v>46243</v>
      </c>
      <c r="BX370" s="102" t="str">
        <f t="shared" si="15"/>
        <v>09</v>
      </c>
      <c r="BY370" s="107">
        <f t="shared" si="5"/>
        <v>5</v>
      </c>
      <c r="BZ370" s="107">
        <f t="array" ref="BZ370">IF($A370&lt;&gt;"",INDEX(LISTA!$M$2:$N$27,MATCH($BC370,LISTA!$N$2:$N$27,0),1),"")</f>
        <v>16</v>
      </c>
      <c r="CA370" s="67">
        <f t="shared" si="6"/>
        <v>8</v>
      </c>
      <c r="CB370" s="114">
        <f t="shared" si="7"/>
        <v>8</v>
      </c>
      <c r="CC370" s="67">
        <v>5.8266238E7</v>
      </c>
    </row>
    <row r="371" ht="15.0" customHeight="1">
      <c r="A371" s="59">
        <v>46239.53620268518</v>
      </c>
      <c r="B371" s="115" t="s">
        <v>105</v>
      </c>
      <c r="C371" s="54" t="s">
        <v>100</v>
      </c>
      <c r="D371" s="56" t="s">
        <v>319</v>
      </c>
      <c r="E371" s="69">
        <v>46242.375</v>
      </c>
      <c r="F371" s="162"/>
      <c r="G371" s="60" t="s">
        <v>4969</v>
      </c>
      <c r="H371" s="60" t="s">
        <v>4970</v>
      </c>
      <c r="I371" s="67" t="s">
        <v>384</v>
      </c>
      <c r="J371" s="79" t="s">
        <v>4971</v>
      </c>
      <c r="K371" s="67" t="s">
        <v>1151</v>
      </c>
      <c r="L371" s="79" t="s">
        <v>4972</v>
      </c>
      <c r="M371" s="83" t="s">
        <v>4973</v>
      </c>
      <c r="N371" s="78">
        <v>27987.0</v>
      </c>
      <c r="O371" s="80" t="s">
        <v>27</v>
      </c>
      <c r="P371" s="156" t="s">
        <v>4974</v>
      </c>
      <c r="Q371" s="54"/>
      <c r="R371" s="84"/>
      <c r="S371" s="84"/>
      <c r="T371" s="54" t="s">
        <v>122</v>
      </c>
      <c r="U371" s="86"/>
      <c r="V371" s="54"/>
      <c r="W371" s="86"/>
      <c r="X371" s="54"/>
      <c r="Y371" s="78"/>
      <c r="Z371" s="54"/>
      <c r="AA371" s="70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54" t="s">
        <v>4975</v>
      </c>
      <c r="AR371" s="83" t="s">
        <v>2644</v>
      </c>
      <c r="AS371" s="83" t="s">
        <v>4976</v>
      </c>
      <c r="AT371" s="93" t="s">
        <v>4977</v>
      </c>
      <c r="AU371" s="93" t="s">
        <v>4977</v>
      </c>
      <c r="AV371" s="93" t="s">
        <v>4977</v>
      </c>
      <c r="AW371" s="83" t="s">
        <v>4978</v>
      </c>
      <c r="AX371" s="83">
        <v>1.0</v>
      </c>
      <c r="AY371" s="83" t="s">
        <v>2519</v>
      </c>
      <c r="AZ371" s="83" t="s">
        <v>4979</v>
      </c>
      <c r="BA371" s="83" t="s">
        <v>4980</v>
      </c>
      <c r="BB371" s="83" t="s">
        <v>4981</v>
      </c>
      <c r="BC371" s="54" t="s">
        <v>27</v>
      </c>
      <c r="BD371" s="54" t="str">
        <f t="shared" si="1"/>
        <v>Arequipa</v>
      </c>
      <c r="BE371" s="67" t="s">
        <v>140</v>
      </c>
      <c r="BF371" s="67" t="s">
        <v>141</v>
      </c>
      <c r="BG371" s="67" t="s">
        <v>142</v>
      </c>
      <c r="BH371" s="67"/>
      <c r="BI371" s="67"/>
      <c r="BJ371" s="67"/>
      <c r="BK371" s="67"/>
      <c r="BL371" s="67" t="s">
        <v>145</v>
      </c>
      <c r="BM371" s="67" t="s">
        <v>146</v>
      </c>
      <c r="BN371" s="100">
        <v>170.0</v>
      </c>
      <c r="BO371" s="102" t="s">
        <v>148</v>
      </c>
      <c r="BP371" s="67" t="s">
        <v>144</v>
      </c>
      <c r="BQ371" s="79" t="s">
        <v>141</v>
      </c>
      <c r="BR371" s="67">
        <v>2.0</v>
      </c>
      <c r="BS371" s="102">
        <v>1.0</v>
      </c>
      <c r="BT371" s="106">
        <v>46242.0</v>
      </c>
      <c r="BU371" s="107">
        <v>4.0</v>
      </c>
      <c r="BV371" s="108">
        <f t="shared" si="2"/>
        <v>46239</v>
      </c>
      <c r="BW371" s="108">
        <f t="shared" si="16"/>
        <v>46242</v>
      </c>
      <c r="BX371" s="102" t="str">
        <f t="shared" si="15"/>
        <v>09</v>
      </c>
      <c r="BY371" s="107">
        <f t="shared" si="5"/>
        <v>5</v>
      </c>
      <c r="BZ371" s="107">
        <f t="array" ref="BZ371">IF($A371&lt;&gt;"",INDEX(LISTA!$M$2:$N$27,MATCH($BC371,LISTA!$N$2:$N$27,0),1),"")</f>
        <v>7</v>
      </c>
      <c r="CA371" s="67">
        <f t="shared" si="6"/>
        <v>8</v>
      </c>
      <c r="CB371" s="114">
        <f t="shared" si="7"/>
        <v>8</v>
      </c>
      <c r="CC371" s="67">
        <v>5.82621E7</v>
      </c>
    </row>
    <row r="372" ht="15.0" customHeight="1">
      <c r="A372" s="59">
        <v>46239.40739047454</v>
      </c>
      <c r="B372" s="115" t="s">
        <v>105</v>
      </c>
      <c r="C372" s="54" t="s">
        <v>100</v>
      </c>
      <c r="D372" s="56" t="s">
        <v>319</v>
      </c>
      <c r="E372" s="69">
        <v>46243.375</v>
      </c>
      <c r="F372" s="162"/>
      <c r="G372" s="60" t="s">
        <v>4982</v>
      </c>
      <c r="H372" s="60" t="s">
        <v>4983</v>
      </c>
      <c r="I372" s="67" t="s">
        <v>350</v>
      </c>
      <c r="J372" s="79" t="s">
        <v>4984</v>
      </c>
      <c r="K372" s="67" t="s">
        <v>109</v>
      </c>
      <c r="L372" s="79" t="s">
        <v>4985</v>
      </c>
      <c r="M372" s="83" t="s">
        <v>4986</v>
      </c>
      <c r="N372" s="78">
        <v>32461.0</v>
      </c>
      <c r="O372" s="80" t="s">
        <v>37</v>
      </c>
      <c r="P372" s="70">
        <v>150101.0</v>
      </c>
      <c r="Q372" s="54"/>
      <c r="R372" s="84" t="s">
        <v>1284</v>
      </c>
      <c r="S372" s="84"/>
      <c r="T372" s="54"/>
      <c r="U372" s="86"/>
      <c r="V372" s="54"/>
      <c r="W372" s="86"/>
      <c r="X372" s="54"/>
      <c r="Y372" s="78"/>
      <c r="Z372" s="54"/>
      <c r="AA372" s="70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54" t="s">
        <v>4401</v>
      </c>
      <c r="AR372" s="83" t="s">
        <v>310</v>
      </c>
      <c r="AS372" s="83" t="s">
        <v>4987</v>
      </c>
      <c r="AT372" s="93" t="s">
        <v>4984</v>
      </c>
      <c r="AU372" s="93" t="s">
        <v>4984</v>
      </c>
      <c r="AV372" s="93" t="s">
        <v>4984</v>
      </c>
      <c r="AW372" s="83" t="s">
        <v>4988</v>
      </c>
      <c r="AX372" s="83">
        <v>3.0</v>
      </c>
      <c r="AY372" s="83">
        <v>0.0</v>
      </c>
      <c r="AZ372" s="83" t="s">
        <v>4989</v>
      </c>
      <c r="BA372" s="83" t="s">
        <v>4990</v>
      </c>
      <c r="BB372" s="83" t="s">
        <v>4991</v>
      </c>
      <c r="BC372" s="54" t="s">
        <v>24</v>
      </c>
      <c r="BD372" s="54" t="str">
        <f t="shared" si="1"/>
        <v>Santa</v>
      </c>
      <c r="BE372" s="67" t="s">
        <v>143</v>
      </c>
      <c r="BF372" s="67" t="s">
        <v>141</v>
      </c>
      <c r="BG372" s="67" t="s">
        <v>142</v>
      </c>
      <c r="BH372" s="67"/>
      <c r="BI372" s="67"/>
      <c r="BJ372" s="67"/>
      <c r="BK372" s="67"/>
      <c r="BL372" s="67" t="s">
        <v>147</v>
      </c>
      <c r="BM372" s="67" t="s">
        <v>1897</v>
      </c>
      <c r="BN372" s="100">
        <v>44.0</v>
      </c>
      <c r="BO372" s="102" t="s">
        <v>1647</v>
      </c>
      <c r="BP372" s="67" t="s">
        <v>141</v>
      </c>
      <c r="BQ372" s="79" t="s">
        <v>141</v>
      </c>
      <c r="BR372" s="67" t="s">
        <v>149</v>
      </c>
      <c r="BS372" s="102" t="s">
        <v>149</v>
      </c>
      <c r="BT372" s="106">
        <v>46243.0</v>
      </c>
      <c r="BU372" s="107">
        <v>1.0</v>
      </c>
      <c r="BV372" s="108">
        <f t="shared" si="2"/>
        <v>46239</v>
      </c>
      <c r="BW372" s="108">
        <f t="shared" si="16"/>
        <v>46243</v>
      </c>
      <c r="BX372" s="102" t="str">
        <f t="shared" si="15"/>
        <v>09</v>
      </c>
      <c r="BY372" s="107">
        <f t="shared" si="5"/>
        <v>5</v>
      </c>
      <c r="BZ372" s="107">
        <f t="array" ref="BZ372">IF($A372&lt;&gt;"",INDEX(LISTA!$M$2:$N$27,MATCH($BC372,LISTA!$N$2:$N$27,0),1),"")</f>
        <v>5</v>
      </c>
      <c r="CA372" s="67">
        <f t="shared" si="6"/>
        <v>8</v>
      </c>
      <c r="CB372" s="114">
        <f t="shared" si="7"/>
        <v>8</v>
      </c>
      <c r="CC372" s="67">
        <v>5.8251769E7</v>
      </c>
    </row>
    <row r="373" ht="15.0" customHeight="1">
      <c r="A373" s="59">
        <v>46240.61774137731</v>
      </c>
      <c r="B373" s="115" t="s">
        <v>105</v>
      </c>
      <c r="C373" s="54" t="s">
        <v>100</v>
      </c>
      <c r="D373" s="56" t="s">
        <v>319</v>
      </c>
      <c r="E373" s="69">
        <v>46243.375</v>
      </c>
      <c r="F373" s="162"/>
      <c r="G373" s="60" t="s">
        <v>4992</v>
      </c>
      <c r="H373" s="60" t="s">
        <v>4993</v>
      </c>
      <c r="I373" s="67" t="s">
        <v>350</v>
      </c>
      <c r="J373" s="79" t="s">
        <v>4994</v>
      </c>
      <c r="K373" s="67" t="s">
        <v>109</v>
      </c>
      <c r="L373" s="79" t="s">
        <v>4995</v>
      </c>
      <c r="M373" s="83" t="s">
        <v>4996</v>
      </c>
      <c r="N373" s="78">
        <v>38270.0</v>
      </c>
      <c r="O373" s="80" t="s">
        <v>31</v>
      </c>
      <c r="P373" s="156" t="s">
        <v>4997</v>
      </c>
      <c r="Q373" s="54"/>
      <c r="R373" s="84"/>
      <c r="S373" s="84"/>
      <c r="T373" s="54"/>
      <c r="U373" s="86"/>
      <c r="V373" s="54"/>
      <c r="W373" s="86"/>
      <c r="X373" s="54" t="s">
        <v>1012</v>
      </c>
      <c r="Y373" s="78"/>
      <c r="Z373" s="54"/>
      <c r="AA373" s="70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54" t="s">
        <v>4998</v>
      </c>
      <c r="AR373" s="83" t="s">
        <v>2644</v>
      </c>
      <c r="AS373" s="83" t="s">
        <v>4999</v>
      </c>
      <c r="AT373" s="93" t="s">
        <v>4994</v>
      </c>
      <c r="AU373" s="93" t="s">
        <v>4994</v>
      </c>
      <c r="AV373" s="93" t="s">
        <v>4994</v>
      </c>
      <c r="AW373" s="83" t="s">
        <v>5000</v>
      </c>
      <c r="AX373" s="83">
        <v>2.0</v>
      </c>
      <c r="AY373" s="83">
        <v>2.0</v>
      </c>
      <c r="AZ373" s="83" t="s">
        <v>5001</v>
      </c>
      <c r="BA373" s="83" t="s">
        <v>5002</v>
      </c>
      <c r="BB373" s="83" t="s">
        <v>5003</v>
      </c>
      <c r="BC373" s="54" t="s">
        <v>31</v>
      </c>
      <c r="BD373" s="54" t="str">
        <f t="shared" si="1"/>
        <v>Cusco</v>
      </c>
      <c r="BE373" s="67" t="s">
        <v>140</v>
      </c>
      <c r="BF373" s="67" t="s">
        <v>141</v>
      </c>
      <c r="BG373" s="67" t="s">
        <v>142</v>
      </c>
      <c r="BH373" s="67"/>
      <c r="BI373" s="67"/>
      <c r="BJ373" s="67"/>
      <c r="BK373" s="67"/>
      <c r="BL373" s="67" t="s">
        <v>147</v>
      </c>
      <c r="BM373" s="67" t="s">
        <v>146</v>
      </c>
      <c r="BN373" s="100">
        <v>69.0</v>
      </c>
      <c r="BO373" s="102" t="s">
        <v>615</v>
      </c>
      <c r="BP373" s="67" t="s">
        <v>141</v>
      </c>
      <c r="BQ373" s="79" t="s">
        <v>141</v>
      </c>
      <c r="BR373" s="67" t="s">
        <v>149</v>
      </c>
      <c r="BS373" s="102" t="s">
        <v>149</v>
      </c>
      <c r="BT373" s="106">
        <v>46243.0</v>
      </c>
      <c r="BU373" s="107">
        <v>2.0</v>
      </c>
      <c r="BV373" s="108">
        <f t="shared" si="2"/>
        <v>46240</v>
      </c>
      <c r="BW373" s="108">
        <f t="shared" si="16"/>
        <v>46243</v>
      </c>
      <c r="BX373" s="102" t="str">
        <f t="shared" si="15"/>
        <v>09</v>
      </c>
      <c r="BY373" s="107">
        <f t="shared" si="5"/>
        <v>5</v>
      </c>
      <c r="BZ373" s="107">
        <f t="array" ref="BZ373">IF($A373&lt;&gt;"",INDEX(LISTA!$M$2:$N$27,MATCH($BC373,LISTA!$N$2:$N$27,0),1),"")</f>
        <v>10</v>
      </c>
      <c r="CA373" s="67">
        <f t="shared" si="6"/>
        <v>8</v>
      </c>
      <c r="CB373" s="114">
        <f t="shared" si="7"/>
        <v>8</v>
      </c>
      <c r="CC373" s="67">
        <v>5.8262967E7</v>
      </c>
    </row>
    <row r="374" ht="15.0" customHeight="1">
      <c r="A374" s="59">
        <v>46238.5069136574</v>
      </c>
      <c r="B374" s="115" t="s">
        <v>105</v>
      </c>
      <c r="C374" s="54" t="s">
        <v>100</v>
      </c>
      <c r="D374" s="56" t="s">
        <v>319</v>
      </c>
      <c r="E374" s="69">
        <v>46239.583333333336</v>
      </c>
      <c r="F374" s="162"/>
      <c r="G374" s="60" t="s">
        <v>5004</v>
      </c>
      <c r="H374" s="60" t="s">
        <v>5005</v>
      </c>
      <c r="I374" s="67" t="s">
        <v>382</v>
      </c>
      <c r="J374" s="79" t="s">
        <v>5006</v>
      </c>
      <c r="K374" s="67" t="s">
        <v>109</v>
      </c>
      <c r="L374" s="79" t="s">
        <v>5007</v>
      </c>
      <c r="M374" s="83" t="s">
        <v>5008</v>
      </c>
      <c r="N374" s="78">
        <v>23093.0</v>
      </c>
      <c r="O374" s="80" t="s">
        <v>37</v>
      </c>
      <c r="P374" s="70">
        <v>150101.0</v>
      </c>
      <c r="Q374" s="54"/>
      <c r="R374" s="84"/>
      <c r="S374" s="84"/>
      <c r="T374" s="54"/>
      <c r="U374" s="86"/>
      <c r="V374" s="54"/>
      <c r="W374" s="86"/>
      <c r="X374" s="54"/>
      <c r="Y374" s="78"/>
      <c r="Z374" s="54"/>
      <c r="AA374" s="70"/>
      <c r="AB374" s="83"/>
      <c r="AC374" s="83"/>
      <c r="AD374" s="83"/>
      <c r="AE374" s="83"/>
      <c r="AF374" s="83" t="s">
        <v>691</v>
      </c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54" t="s">
        <v>5009</v>
      </c>
      <c r="AR374" s="83" t="s">
        <v>5010</v>
      </c>
      <c r="AS374" s="83" t="s">
        <v>5011</v>
      </c>
      <c r="AT374" s="93" t="s">
        <v>5006</v>
      </c>
      <c r="AU374" s="93" t="s">
        <v>5006</v>
      </c>
      <c r="AV374" s="93" t="s">
        <v>5006</v>
      </c>
      <c r="AW374" s="83" t="s">
        <v>5012</v>
      </c>
      <c r="AX374" s="83">
        <v>2.0</v>
      </c>
      <c r="AY374" s="83">
        <v>0.0</v>
      </c>
      <c r="AZ374" s="83" t="s">
        <v>5013</v>
      </c>
      <c r="BA374" s="83" t="s">
        <v>5014</v>
      </c>
      <c r="BB374" s="83" t="s">
        <v>5015</v>
      </c>
      <c r="BC374" s="54" t="s">
        <v>41</v>
      </c>
      <c r="BD374" s="54" t="str">
        <f t="shared" si="1"/>
        <v>Comas</v>
      </c>
      <c r="BE374" s="67" t="s">
        <v>140</v>
      </c>
      <c r="BF374" s="67" t="s">
        <v>144</v>
      </c>
      <c r="BG374" s="67" t="s">
        <v>142</v>
      </c>
      <c r="BH374" s="67"/>
      <c r="BI374" s="67"/>
      <c r="BJ374" s="67"/>
      <c r="BK374" s="67"/>
      <c r="BL374" s="67" t="s">
        <v>145</v>
      </c>
      <c r="BM374" s="67" t="s">
        <v>146</v>
      </c>
      <c r="BN374" s="100">
        <v>170.0</v>
      </c>
      <c r="BO374" s="102" t="s">
        <v>148</v>
      </c>
      <c r="BP374" s="67" t="s">
        <v>144</v>
      </c>
      <c r="BQ374" s="79" t="s">
        <v>141</v>
      </c>
      <c r="BR374" s="67">
        <v>2.0</v>
      </c>
      <c r="BS374" s="102">
        <v>1.0</v>
      </c>
      <c r="BT374" s="106">
        <v>46243.0</v>
      </c>
      <c r="BU374" s="107">
        <v>3.0</v>
      </c>
      <c r="BV374" s="108">
        <f t="shared" si="2"/>
        <v>46238</v>
      </c>
      <c r="BW374" s="108">
        <f t="shared" si="16"/>
        <v>46239</v>
      </c>
      <c r="BX374" s="102" t="str">
        <f t="shared" si="15"/>
        <v>14</v>
      </c>
      <c r="BY374" s="107">
        <f t="shared" si="5"/>
        <v>5</v>
      </c>
      <c r="BZ374" s="107">
        <f t="array" ref="BZ374">IF($A374&lt;&gt;"",INDEX(LISTA!$M$2:$N$27,MATCH($BC374,LISTA!$N$2:$N$27,0),1),"")</f>
        <v>1</v>
      </c>
      <c r="CA374" s="67">
        <f t="shared" si="6"/>
        <v>8</v>
      </c>
      <c r="CB374" s="114">
        <f t="shared" si="7"/>
        <v>8</v>
      </c>
      <c r="CC374" s="67">
        <v>5.8245939E7</v>
      </c>
    </row>
    <row r="375" ht="15.0" customHeight="1">
      <c r="A375" s="59">
        <v>46242.53543</v>
      </c>
      <c r="B375" s="115" t="s">
        <v>105</v>
      </c>
      <c r="C375" s="54" t="s">
        <v>100</v>
      </c>
      <c r="D375" s="56" t="s">
        <v>319</v>
      </c>
      <c r="E375" s="69">
        <v>46244.375</v>
      </c>
      <c r="F375" s="162" t="s">
        <v>5016</v>
      </c>
      <c r="G375" s="60" t="s">
        <v>5017</v>
      </c>
      <c r="H375" s="60" t="s">
        <v>5018</v>
      </c>
      <c r="I375" s="67" t="s">
        <v>378</v>
      </c>
      <c r="J375" s="79" t="s">
        <v>5019</v>
      </c>
      <c r="K375" s="67" t="s">
        <v>109</v>
      </c>
      <c r="L375" s="79" t="s">
        <v>5020</v>
      </c>
      <c r="M375" s="83" t="s">
        <v>5021</v>
      </c>
      <c r="N375" s="78">
        <v>25038.0</v>
      </c>
      <c r="O375" s="80" t="s">
        <v>46</v>
      </c>
      <c r="P375" s="70">
        <v>190601.0</v>
      </c>
      <c r="Q375" s="54"/>
      <c r="R375" s="84"/>
      <c r="S375" s="84"/>
      <c r="T375" s="54"/>
      <c r="U375" s="86"/>
      <c r="V375" s="54"/>
      <c r="W375" s="86"/>
      <c r="X375" s="54"/>
      <c r="Y375" s="78"/>
      <c r="Z375" s="54"/>
      <c r="AA375" s="70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 t="s">
        <v>1232</v>
      </c>
      <c r="AL375" s="83"/>
      <c r="AM375" s="83"/>
      <c r="AN375" s="83"/>
      <c r="AO375" s="83"/>
      <c r="AP375" s="83"/>
      <c r="AQ375" s="54" t="s">
        <v>5022</v>
      </c>
      <c r="AR375" s="83" t="s">
        <v>5023</v>
      </c>
      <c r="AS375" s="83" t="s">
        <v>5024</v>
      </c>
      <c r="AT375" s="93" t="s">
        <v>5019</v>
      </c>
      <c r="AU375" s="93" t="s">
        <v>5025</v>
      </c>
      <c r="AV375" s="93" t="s">
        <v>5019</v>
      </c>
      <c r="AW375" s="83" t="s">
        <v>5026</v>
      </c>
      <c r="AX375" s="83">
        <v>1.0</v>
      </c>
      <c r="AY375" s="83" t="s">
        <v>2739</v>
      </c>
      <c r="AZ375" s="83" t="s">
        <v>5027</v>
      </c>
      <c r="BA375" s="83" t="s">
        <v>5028</v>
      </c>
      <c r="BB375" s="83" t="s">
        <v>5029</v>
      </c>
      <c r="BC375" s="54" t="s">
        <v>46</v>
      </c>
      <c r="BD375" s="54" t="str">
        <f t="shared" si="1"/>
        <v>Sullana</v>
      </c>
      <c r="BE375" s="67" t="s">
        <v>140</v>
      </c>
      <c r="BF375" s="67" t="s">
        <v>144</v>
      </c>
      <c r="BG375" s="67" t="s">
        <v>142</v>
      </c>
      <c r="BH375" s="67"/>
      <c r="BI375" s="67"/>
      <c r="BJ375" s="67"/>
      <c r="BK375" s="67"/>
      <c r="BL375" s="67" t="s">
        <v>147</v>
      </c>
      <c r="BM375" s="67" t="s">
        <v>146</v>
      </c>
      <c r="BN375" s="100">
        <v>89.0</v>
      </c>
      <c r="BO375" s="102" t="s">
        <v>148</v>
      </c>
      <c r="BP375" s="67" t="s">
        <v>141</v>
      </c>
      <c r="BQ375" s="79" t="s">
        <v>141</v>
      </c>
      <c r="BR375" s="67" t="s">
        <v>149</v>
      </c>
      <c r="BS375" s="102">
        <v>1.0</v>
      </c>
      <c r="BT375" s="106">
        <v>46243.0</v>
      </c>
      <c r="BU375" s="107">
        <v>3.0</v>
      </c>
      <c r="BV375" s="108">
        <f t="shared" si="2"/>
        <v>46242</v>
      </c>
      <c r="BW375" s="108">
        <f t="shared" si="16"/>
        <v>46244</v>
      </c>
      <c r="BX375" s="102" t="str">
        <f t="shared" si="15"/>
        <v>09</v>
      </c>
      <c r="BY375" s="107">
        <f t="shared" si="5"/>
        <v>5</v>
      </c>
      <c r="BZ375" s="107">
        <f t="array" ref="BZ375">IF($A375&lt;&gt;"",INDEX(LISTA!$M$2:$N$27,MATCH($BC375,LISTA!$N$2:$N$27,0),1),"")</f>
        <v>21</v>
      </c>
      <c r="CA375" s="67">
        <f t="shared" si="6"/>
        <v>8</v>
      </c>
      <c r="CB375" s="114">
        <f t="shared" si="7"/>
        <v>8</v>
      </c>
      <c r="CC375" s="67">
        <v>5.8277323E7</v>
      </c>
    </row>
    <row r="376" ht="15.0" customHeight="1">
      <c r="A376" s="59">
        <v>46242.448754004625</v>
      </c>
      <c r="B376" s="115" t="s">
        <v>105</v>
      </c>
      <c r="C376" s="54" t="s">
        <v>100</v>
      </c>
      <c r="D376" s="56" t="s">
        <v>319</v>
      </c>
      <c r="E376" s="69">
        <v>46244.375</v>
      </c>
      <c r="F376" s="162"/>
      <c r="G376" s="60" t="s">
        <v>5030</v>
      </c>
      <c r="H376" s="60" t="s">
        <v>5031</v>
      </c>
      <c r="I376" s="67" t="s">
        <v>107</v>
      </c>
      <c r="J376" s="79" t="s">
        <v>5032</v>
      </c>
      <c r="K376" s="67" t="s">
        <v>109</v>
      </c>
      <c r="L376" s="79" t="s">
        <v>5033</v>
      </c>
      <c r="M376" s="83" t="s">
        <v>5034</v>
      </c>
      <c r="N376" s="78">
        <v>33378.0</v>
      </c>
      <c r="O376" s="80" t="s">
        <v>41</v>
      </c>
      <c r="P376" s="70">
        <v>150132.0</v>
      </c>
      <c r="Q376" s="54"/>
      <c r="R376" s="84"/>
      <c r="S376" s="84"/>
      <c r="T376" s="54"/>
      <c r="U376" s="86"/>
      <c r="V376" s="54"/>
      <c r="W376" s="86"/>
      <c r="X376" s="54"/>
      <c r="Y376" s="78"/>
      <c r="Z376" s="54"/>
      <c r="AA376" s="70"/>
      <c r="AB376" s="83"/>
      <c r="AC376" s="83"/>
      <c r="AD376" s="83"/>
      <c r="AE376" s="83"/>
      <c r="AF376" s="83" t="s">
        <v>165</v>
      </c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54" t="s">
        <v>127</v>
      </c>
      <c r="AR376" s="83" t="s">
        <v>125</v>
      </c>
      <c r="AS376" s="83" t="s">
        <v>5035</v>
      </c>
      <c r="AT376" s="93" t="s">
        <v>5032</v>
      </c>
      <c r="AU376" s="93" t="s">
        <v>5032</v>
      </c>
      <c r="AV376" s="93" t="s">
        <v>5032</v>
      </c>
      <c r="AW376" s="83" t="s">
        <v>5036</v>
      </c>
      <c r="AX376" s="83">
        <v>1.0</v>
      </c>
      <c r="AY376" s="83">
        <v>0.0</v>
      </c>
      <c r="AZ376" s="83" t="s">
        <v>5037</v>
      </c>
      <c r="BA376" s="83" t="s">
        <v>5038</v>
      </c>
      <c r="BB376" s="83" t="s">
        <v>5039</v>
      </c>
      <c r="BC376" s="54" t="s">
        <v>41</v>
      </c>
      <c r="BD376" s="54" t="str">
        <f t="shared" si="1"/>
        <v>San Martín de Porres</v>
      </c>
      <c r="BE376" s="67" t="s">
        <v>143</v>
      </c>
      <c r="BF376" s="67" t="s">
        <v>144</v>
      </c>
      <c r="BG376" s="67" t="s">
        <v>142</v>
      </c>
      <c r="BH376" s="67"/>
      <c r="BI376" s="67"/>
      <c r="BJ376" s="67"/>
      <c r="BK376" s="67"/>
      <c r="BL376" s="67" t="s">
        <v>147</v>
      </c>
      <c r="BM376" s="67" t="s">
        <v>1897</v>
      </c>
      <c r="BN376" s="100">
        <v>44.0</v>
      </c>
      <c r="BO376" s="102" t="s">
        <v>1647</v>
      </c>
      <c r="BP376" s="67" t="s">
        <v>141</v>
      </c>
      <c r="BQ376" s="79" t="s">
        <v>141</v>
      </c>
      <c r="BR376" s="67" t="s">
        <v>149</v>
      </c>
      <c r="BS376" s="102" t="s">
        <v>149</v>
      </c>
      <c r="BT376" s="106">
        <v>46244.0</v>
      </c>
      <c r="BU376" s="107">
        <v>1.0</v>
      </c>
      <c r="BV376" s="108">
        <f t="shared" si="2"/>
        <v>46242</v>
      </c>
      <c r="BW376" s="108">
        <f t="shared" si="16"/>
        <v>46244</v>
      </c>
      <c r="BX376" s="102" t="str">
        <f t="shared" si="15"/>
        <v>09</v>
      </c>
      <c r="BY376" s="107">
        <f t="shared" si="5"/>
        <v>5</v>
      </c>
      <c r="BZ376" s="107">
        <f t="array" ref="BZ376">IF($A376&lt;&gt;"",INDEX(LISTA!$M$2:$N$27,MATCH($BC376,LISTA!$N$2:$N$27,0),1),"")</f>
        <v>1</v>
      </c>
      <c r="CA376" s="67">
        <f t="shared" si="6"/>
        <v>8</v>
      </c>
      <c r="CB376" s="114">
        <f t="shared" si="7"/>
        <v>8</v>
      </c>
      <c r="CC376" s="67">
        <v>5.8275412E7</v>
      </c>
    </row>
    <row r="377" ht="15.0" customHeight="1">
      <c r="A377" s="59">
        <v>46242.429964270836</v>
      </c>
      <c r="B377" s="115" t="s">
        <v>105</v>
      </c>
      <c r="C377" s="54" t="s">
        <v>100</v>
      </c>
      <c r="D377" s="56" t="s">
        <v>319</v>
      </c>
      <c r="E377" s="69">
        <v>46244.375</v>
      </c>
      <c r="F377" s="162"/>
      <c r="G377" s="60" t="s">
        <v>5040</v>
      </c>
      <c r="H377" s="60" t="s">
        <v>5041</v>
      </c>
      <c r="I377" s="67" t="s">
        <v>374</v>
      </c>
      <c r="J377" s="79" t="s">
        <v>5042</v>
      </c>
      <c r="K377" s="67" t="s">
        <v>109</v>
      </c>
      <c r="L377" s="79" t="s">
        <v>5043</v>
      </c>
      <c r="M377" s="83" t="s">
        <v>5044</v>
      </c>
      <c r="N377" s="78">
        <v>36723.0</v>
      </c>
      <c r="O377" s="80" t="s">
        <v>46</v>
      </c>
      <c r="P377" s="70">
        <v>200701.0</v>
      </c>
      <c r="Q377" s="54"/>
      <c r="R377" s="84"/>
      <c r="S377" s="84"/>
      <c r="T377" s="54"/>
      <c r="U377" s="86"/>
      <c r="V377" s="54"/>
      <c r="W377" s="86"/>
      <c r="X377" s="54"/>
      <c r="Y377" s="78"/>
      <c r="Z377" s="54"/>
      <c r="AA377" s="70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 t="s">
        <v>199</v>
      </c>
      <c r="AL377" s="83"/>
      <c r="AM377" s="83"/>
      <c r="AN377" s="83"/>
      <c r="AO377" s="83"/>
      <c r="AP377" s="83"/>
      <c r="AQ377" s="54" t="s">
        <v>2146</v>
      </c>
      <c r="AR377" s="83" t="s">
        <v>5045</v>
      </c>
      <c r="AS377" s="83" t="s">
        <v>5046</v>
      </c>
      <c r="AT377" s="93" t="s">
        <v>5042</v>
      </c>
      <c r="AU377" s="93" t="s">
        <v>5042</v>
      </c>
      <c r="AV377" s="93" t="s">
        <v>5042</v>
      </c>
      <c r="AW377" s="83" t="s">
        <v>5047</v>
      </c>
      <c r="AX377" s="83">
        <v>1.0</v>
      </c>
      <c r="AY377" s="83">
        <v>1.0</v>
      </c>
      <c r="AZ377" s="83" t="s">
        <v>5048</v>
      </c>
      <c r="BA377" s="83" t="s">
        <v>5049</v>
      </c>
      <c r="BB377" s="83" t="s">
        <v>5050</v>
      </c>
      <c r="BC377" s="54" t="s">
        <v>46</v>
      </c>
      <c r="BD377" s="54" t="str">
        <f t="shared" si="1"/>
        <v>Piura</v>
      </c>
      <c r="BE377" s="67" t="s">
        <v>140</v>
      </c>
      <c r="BF377" s="67" t="s">
        <v>144</v>
      </c>
      <c r="BG377" s="67" t="s">
        <v>142</v>
      </c>
      <c r="BH377" s="67"/>
      <c r="BI377" s="67"/>
      <c r="BJ377" s="67"/>
      <c r="BK377" s="67"/>
      <c r="BL377" s="67" t="s">
        <v>147</v>
      </c>
      <c r="BM377" s="67" t="s">
        <v>146</v>
      </c>
      <c r="BN377" s="100">
        <v>89.0</v>
      </c>
      <c r="BO377" s="102" t="s">
        <v>148</v>
      </c>
      <c r="BP377" s="67" t="s">
        <v>141</v>
      </c>
      <c r="BQ377" s="79" t="s">
        <v>141</v>
      </c>
      <c r="BR377" s="67" t="s">
        <v>149</v>
      </c>
      <c r="BS377" s="102">
        <v>1.0</v>
      </c>
      <c r="BT377" s="106">
        <v>46244.0</v>
      </c>
      <c r="BU377" s="107">
        <v>2.0</v>
      </c>
      <c r="BV377" s="108">
        <f t="shared" si="2"/>
        <v>46242</v>
      </c>
      <c r="BW377" s="108">
        <f t="shared" si="16"/>
        <v>46244</v>
      </c>
      <c r="BX377" s="102" t="str">
        <f t="shared" si="15"/>
        <v>09</v>
      </c>
      <c r="BY377" s="107">
        <f t="shared" si="5"/>
        <v>5</v>
      </c>
      <c r="BZ377" s="107">
        <f t="array" ref="BZ377">IF($A377&lt;&gt;"",INDEX(LISTA!$M$2:$N$27,MATCH($BC377,LISTA!$N$2:$N$27,0),1),"")</f>
        <v>21</v>
      </c>
      <c r="CA377" s="67">
        <f t="shared" si="6"/>
        <v>8</v>
      </c>
      <c r="CB377" s="114">
        <f t="shared" si="7"/>
        <v>8</v>
      </c>
      <c r="CC377" s="67">
        <v>5.827495E7</v>
      </c>
    </row>
    <row r="378" ht="15.0" customHeight="1">
      <c r="A378" s="59">
        <v>46242.44006386574</v>
      </c>
      <c r="B378" s="115" t="s">
        <v>105</v>
      </c>
      <c r="C378" s="54" t="s">
        <v>100</v>
      </c>
      <c r="D378" s="56" t="s">
        <v>319</v>
      </c>
      <c r="E378" s="69">
        <v>46244.375</v>
      </c>
      <c r="F378" s="162"/>
      <c r="G378" s="60" t="s">
        <v>5051</v>
      </c>
      <c r="H378" s="60" t="s">
        <v>5052</v>
      </c>
      <c r="I378" s="67" t="s">
        <v>350</v>
      </c>
      <c r="J378" s="79" t="s">
        <v>5053</v>
      </c>
      <c r="K378" s="67" t="s">
        <v>109</v>
      </c>
      <c r="L378" s="79" t="s">
        <v>5054</v>
      </c>
      <c r="M378" s="83" t="s">
        <v>5055</v>
      </c>
      <c r="N378" s="78">
        <v>39297.0</v>
      </c>
      <c r="O378" s="80" t="s">
        <v>46</v>
      </c>
      <c r="P378" s="70">
        <v>200101.0</v>
      </c>
      <c r="Q378" s="54"/>
      <c r="R378" s="84"/>
      <c r="S378" s="84"/>
      <c r="T378" s="54"/>
      <c r="U378" s="86"/>
      <c r="V378" s="54"/>
      <c r="W378" s="86"/>
      <c r="X378" s="54"/>
      <c r="Y378" s="78"/>
      <c r="Z378" s="54"/>
      <c r="AA378" s="70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 t="s">
        <v>199</v>
      </c>
      <c r="AL378" s="83"/>
      <c r="AM378" s="83"/>
      <c r="AN378" s="83"/>
      <c r="AO378" s="83"/>
      <c r="AP378" s="83"/>
      <c r="AQ378" s="54" t="s">
        <v>5056</v>
      </c>
      <c r="AR378" s="83" t="s">
        <v>5057</v>
      </c>
      <c r="AS378" s="83" t="s">
        <v>5058</v>
      </c>
      <c r="AT378" s="93" t="s">
        <v>5059</v>
      </c>
      <c r="AU378" s="93" t="s">
        <v>5059</v>
      </c>
      <c r="AV378" s="93" t="s">
        <v>5053</v>
      </c>
      <c r="AW378" s="83" t="s">
        <v>5060</v>
      </c>
      <c r="AX378" s="83">
        <v>3.0</v>
      </c>
      <c r="AY378" s="83">
        <v>0.0</v>
      </c>
      <c r="AZ378" s="83" t="s">
        <v>5061</v>
      </c>
      <c r="BA378" s="83" t="s">
        <v>5062</v>
      </c>
      <c r="BB378" s="83" t="s">
        <v>5063</v>
      </c>
      <c r="BC378" s="54" t="s">
        <v>46</v>
      </c>
      <c r="BD378" s="54" t="str">
        <f t="shared" si="1"/>
        <v>Piura</v>
      </c>
      <c r="BE378" s="67" t="s">
        <v>140</v>
      </c>
      <c r="BF378" s="67" t="s">
        <v>144</v>
      </c>
      <c r="BG378" s="67" t="s">
        <v>142</v>
      </c>
      <c r="BH378" s="67"/>
      <c r="BI378" s="67"/>
      <c r="BJ378" s="67"/>
      <c r="BK378" s="67"/>
      <c r="BL378" s="67" t="s">
        <v>147</v>
      </c>
      <c r="BM378" s="67" t="s">
        <v>146</v>
      </c>
      <c r="BN378" s="100">
        <v>89.0</v>
      </c>
      <c r="BO378" s="102" t="s">
        <v>148</v>
      </c>
      <c r="BP378" s="67" t="s">
        <v>141</v>
      </c>
      <c r="BQ378" s="79" t="s">
        <v>141</v>
      </c>
      <c r="BR378" s="67" t="s">
        <v>149</v>
      </c>
      <c r="BS378" s="102">
        <v>1.0</v>
      </c>
      <c r="BT378" s="106">
        <v>46244.0</v>
      </c>
      <c r="BU378" s="107">
        <v>3.0</v>
      </c>
      <c r="BV378" s="108">
        <f t="shared" si="2"/>
        <v>46242</v>
      </c>
      <c r="BW378" s="108">
        <f t="shared" si="16"/>
        <v>46244</v>
      </c>
      <c r="BX378" s="102" t="str">
        <f t="shared" si="15"/>
        <v>09</v>
      </c>
      <c r="BY378" s="107">
        <f t="shared" si="5"/>
        <v>5</v>
      </c>
      <c r="BZ378" s="107">
        <f t="array" ref="BZ378">IF($A378&lt;&gt;"",INDEX(LISTA!$M$2:$N$27,MATCH($BC378,LISTA!$N$2:$N$27,0),1),"")</f>
        <v>21</v>
      </c>
      <c r="CA378" s="67">
        <f t="shared" si="6"/>
        <v>8</v>
      </c>
      <c r="CB378" s="114">
        <f t="shared" si="7"/>
        <v>8</v>
      </c>
      <c r="CC378" s="67">
        <v>5.8275714E7</v>
      </c>
    </row>
    <row r="379" ht="15.0" customHeight="1">
      <c r="A379" s="59">
        <v>46244.39061456019</v>
      </c>
      <c r="B379" s="115" t="s">
        <v>105</v>
      </c>
      <c r="C379" s="54" t="s">
        <v>100</v>
      </c>
      <c r="D379" s="56" t="s">
        <v>319</v>
      </c>
      <c r="E379" s="69">
        <v>46244.583333333336</v>
      </c>
      <c r="F379" s="162"/>
      <c r="G379" s="60" t="s">
        <v>5064</v>
      </c>
      <c r="H379" s="60" t="s">
        <v>5065</v>
      </c>
      <c r="I379" s="67" t="s">
        <v>384</v>
      </c>
      <c r="J379" s="79" t="s">
        <v>5066</v>
      </c>
      <c r="K379" s="67" t="s">
        <v>1151</v>
      </c>
      <c r="L379" s="79" t="s">
        <v>5067</v>
      </c>
      <c r="M379" s="83" t="s">
        <v>5068</v>
      </c>
      <c r="N379" s="78">
        <v>28826.0</v>
      </c>
      <c r="O379" s="80" t="s">
        <v>36</v>
      </c>
      <c r="P379" s="70">
        <v>110108.0</v>
      </c>
      <c r="Q379" s="54"/>
      <c r="R379" s="84"/>
      <c r="S379" s="84"/>
      <c r="T379" s="54"/>
      <c r="U379" s="86"/>
      <c r="V379" s="54"/>
      <c r="W379" s="86"/>
      <c r="X379" s="54"/>
      <c r="Y379" s="78"/>
      <c r="Z379" s="54"/>
      <c r="AA379" s="70"/>
      <c r="AB379" s="83" t="s">
        <v>766</v>
      </c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54" t="s">
        <v>2697</v>
      </c>
      <c r="AR379" s="83" t="s">
        <v>5069</v>
      </c>
      <c r="AS379" s="83" t="s">
        <v>5070</v>
      </c>
      <c r="AT379" s="93" t="s">
        <v>5066</v>
      </c>
      <c r="AU379" s="93" t="s">
        <v>5066</v>
      </c>
      <c r="AV379" s="93" t="s">
        <v>5066</v>
      </c>
      <c r="AW379" s="83" t="s">
        <v>5071</v>
      </c>
      <c r="AX379" s="83">
        <v>3.0</v>
      </c>
      <c r="AY379" s="83">
        <v>301.0</v>
      </c>
      <c r="AZ379" s="83" t="s">
        <v>5072</v>
      </c>
      <c r="BA379" s="83" t="s">
        <v>5073</v>
      </c>
      <c r="BB379" s="83" t="s">
        <v>5074</v>
      </c>
      <c r="BC379" s="54" t="s">
        <v>36</v>
      </c>
      <c r="BD379" s="54" t="str">
        <f t="shared" si="1"/>
        <v>Huancayo</v>
      </c>
      <c r="BE379" s="67" t="s">
        <v>140</v>
      </c>
      <c r="BF379" s="67" t="s">
        <v>141</v>
      </c>
      <c r="BG379" s="67" t="s">
        <v>142</v>
      </c>
      <c r="BH379" s="67"/>
      <c r="BI379" s="67"/>
      <c r="BJ379" s="67"/>
      <c r="BK379" s="67"/>
      <c r="BL379" s="67" t="s">
        <v>145</v>
      </c>
      <c r="BM379" s="67" t="s">
        <v>146</v>
      </c>
      <c r="BN379" s="100">
        <v>170.0</v>
      </c>
      <c r="BO379" s="102" t="s">
        <v>148</v>
      </c>
      <c r="BP379" s="67" t="s">
        <v>144</v>
      </c>
      <c r="BQ379" s="79" t="s">
        <v>141</v>
      </c>
      <c r="BR379" s="67">
        <v>2.0</v>
      </c>
      <c r="BS379" s="102">
        <v>1.0</v>
      </c>
      <c r="BT379" s="106">
        <v>46244.0</v>
      </c>
      <c r="BU379" s="107">
        <v>4.0</v>
      </c>
      <c r="BV379" s="108">
        <f t="shared" si="2"/>
        <v>46244</v>
      </c>
      <c r="BW379" s="108">
        <f t="shared" si="16"/>
        <v>46244</v>
      </c>
      <c r="BX379" s="102" t="str">
        <f t="shared" si="15"/>
        <v>14</v>
      </c>
      <c r="BY379" s="107">
        <f t="shared" si="5"/>
        <v>5</v>
      </c>
      <c r="BZ379" s="107">
        <f t="array" ref="BZ379">IF($A379&lt;&gt;"",INDEX(LISTA!$M$2:$N$27,MATCH($BC379,LISTA!$N$2:$N$27,0),1),"")</f>
        <v>14</v>
      </c>
      <c r="CA379" s="67">
        <f t="shared" si="6"/>
        <v>8</v>
      </c>
      <c r="CB379" s="114">
        <f t="shared" si="7"/>
        <v>8</v>
      </c>
      <c r="CC379" s="67">
        <v>5.8283879E7</v>
      </c>
    </row>
    <row r="380" ht="15.0" customHeight="1">
      <c r="A380" s="59">
        <v>46239.77609013889</v>
      </c>
      <c r="B380" s="115" t="s">
        <v>105</v>
      </c>
      <c r="C380" s="54" t="s">
        <v>100</v>
      </c>
      <c r="D380" s="56" t="s">
        <v>319</v>
      </c>
      <c r="E380" s="69">
        <v>46244.583333333336</v>
      </c>
      <c r="F380" s="162"/>
      <c r="G380" s="60" t="s">
        <v>5075</v>
      </c>
      <c r="H380" s="60" t="s">
        <v>5076</v>
      </c>
      <c r="I380" s="67" t="s">
        <v>374</v>
      </c>
      <c r="J380" s="79" t="s">
        <v>5077</v>
      </c>
      <c r="K380" s="67" t="s">
        <v>109</v>
      </c>
      <c r="L380" s="79" t="s">
        <v>5078</v>
      </c>
      <c r="M380" s="83" t="s">
        <v>5079</v>
      </c>
      <c r="N380" s="78">
        <v>32237.0</v>
      </c>
      <c r="O380" s="80" t="s">
        <v>37</v>
      </c>
      <c r="P380" s="70">
        <v>110101.0</v>
      </c>
      <c r="Q380" s="54"/>
      <c r="R380" s="84"/>
      <c r="S380" s="84"/>
      <c r="T380" s="54"/>
      <c r="U380" s="86"/>
      <c r="V380" s="54"/>
      <c r="W380" s="86"/>
      <c r="X380" s="54"/>
      <c r="Y380" s="78"/>
      <c r="Z380" s="54"/>
      <c r="AA380" s="70"/>
      <c r="AB380" s="83"/>
      <c r="AC380" s="83"/>
      <c r="AD380" s="83"/>
      <c r="AE380" s="83"/>
      <c r="AF380" s="83" t="s">
        <v>123</v>
      </c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54" t="s">
        <v>4835</v>
      </c>
      <c r="AR380" s="83" t="s">
        <v>5080</v>
      </c>
      <c r="AS380" s="83" t="s">
        <v>5081</v>
      </c>
      <c r="AT380" s="93" t="s">
        <v>5077</v>
      </c>
      <c r="AU380" s="93" t="s">
        <v>5077</v>
      </c>
      <c r="AV380" s="93" t="s">
        <v>5077</v>
      </c>
      <c r="AW380" s="83" t="s">
        <v>5082</v>
      </c>
      <c r="AX380" s="83">
        <v>15.0</v>
      </c>
      <c r="AY380" s="83">
        <v>1509.0</v>
      </c>
      <c r="AZ380" s="83" t="s">
        <v>5083</v>
      </c>
      <c r="BA380" s="83" t="s">
        <v>1767</v>
      </c>
      <c r="BB380" s="83" t="s">
        <v>5084</v>
      </c>
      <c r="BC380" s="54" t="s">
        <v>41</v>
      </c>
      <c r="BD380" s="54" t="str">
        <f t="shared" si="1"/>
        <v>Santiago de Surco</v>
      </c>
      <c r="BE380" s="67" t="s">
        <v>140</v>
      </c>
      <c r="BF380" s="67" t="s">
        <v>141</v>
      </c>
      <c r="BG380" s="67" t="s">
        <v>142</v>
      </c>
      <c r="BH380" s="67"/>
      <c r="BI380" s="67"/>
      <c r="BJ380" s="67"/>
      <c r="BK380" s="67"/>
      <c r="BL380" s="67" t="s">
        <v>147</v>
      </c>
      <c r="BM380" s="67" t="s">
        <v>146</v>
      </c>
      <c r="BN380" s="100">
        <v>89.0</v>
      </c>
      <c r="BO380" s="102" t="s">
        <v>148</v>
      </c>
      <c r="BP380" s="67" t="s">
        <v>141</v>
      </c>
      <c r="BQ380" s="79" t="s">
        <v>141</v>
      </c>
      <c r="BR380" s="67" t="s">
        <v>149</v>
      </c>
      <c r="BS380" s="102">
        <v>1.0</v>
      </c>
      <c r="BT380" s="106">
        <v>46244.0</v>
      </c>
      <c r="BU380" s="107">
        <v>5.0</v>
      </c>
      <c r="BV380" s="108">
        <f t="shared" si="2"/>
        <v>46239</v>
      </c>
      <c r="BW380" s="108">
        <f t="shared" si="16"/>
        <v>46244</v>
      </c>
      <c r="BX380" s="102" t="str">
        <f t="shared" si="15"/>
        <v>14</v>
      </c>
      <c r="BY380" s="107">
        <f t="shared" si="5"/>
        <v>5</v>
      </c>
      <c r="BZ380" s="107">
        <f t="array" ref="BZ380">IF($A380&lt;&gt;"",INDEX(LISTA!$M$2:$N$27,MATCH($BC380,LISTA!$N$2:$N$27,0),1),"")</f>
        <v>1</v>
      </c>
      <c r="CA380" s="67">
        <f t="shared" si="6"/>
        <v>8</v>
      </c>
      <c r="CB380" s="114">
        <f t="shared" si="7"/>
        <v>8</v>
      </c>
      <c r="CC380" s="67">
        <v>5.8279588E7</v>
      </c>
    </row>
    <row r="381" ht="15.0" customHeight="1">
      <c r="A381" s="59">
        <v>46244.51024063658</v>
      </c>
      <c r="B381" s="115" t="s">
        <v>105</v>
      </c>
      <c r="C381" s="54" t="s">
        <v>100</v>
      </c>
      <c r="D381" s="56" t="s">
        <v>319</v>
      </c>
      <c r="E381" s="69">
        <v>46244.583333333336</v>
      </c>
      <c r="F381" s="162"/>
      <c r="G381" s="60" t="s">
        <v>5085</v>
      </c>
      <c r="H381" s="60" t="s">
        <v>5086</v>
      </c>
      <c r="I381" s="67" t="s">
        <v>384</v>
      </c>
      <c r="J381" s="79" t="s">
        <v>5087</v>
      </c>
      <c r="K381" s="67" t="s">
        <v>109</v>
      </c>
      <c r="L381" s="79" t="s">
        <v>5088</v>
      </c>
      <c r="M381" s="83" t="s">
        <v>5089</v>
      </c>
      <c r="N381" s="78">
        <v>31366.0</v>
      </c>
      <c r="O381" s="80" t="s">
        <v>46</v>
      </c>
      <c r="P381" s="70">
        <v>200101.0</v>
      </c>
      <c r="Q381" s="54"/>
      <c r="R381" s="84"/>
      <c r="S381" s="84"/>
      <c r="T381" s="54"/>
      <c r="U381" s="86"/>
      <c r="V381" s="54"/>
      <c r="W381" s="86"/>
      <c r="X381" s="54"/>
      <c r="Y381" s="78"/>
      <c r="Z381" s="54"/>
      <c r="AA381" s="70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 t="s">
        <v>199</v>
      </c>
      <c r="AL381" s="83"/>
      <c r="AM381" s="83"/>
      <c r="AN381" s="83"/>
      <c r="AO381" s="83"/>
      <c r="AP381" s="83"/>
      <c r="AQ381" s="54" t="s">
        <v>5090</v>
      </c>
      <c r="AR381" s="83" t="s">
        <v>2575</v>
      </c>
      <c r="AS381" s="83" t="s">
        <v>5091</v>
      </c>
      <c r="AT381" s="93" t="s">
        <v>5092</v>
      </c>
      <c r="AU381" s="93" t="s">
        <v>5092</v>
      </c>
      <c r="AV381" s="93" t="s">
        <v>5093</v>
      </c>
      <c r="AW381" s="83" t="s">
        <v>5094</v>
      </c>
      <c r="AX381" s="83">
        <v>2.0</v>
      </c>
      <c r="AY381" s="83" t="s">
        <v>2519</v>
      </c>
      <c r="AZ381" s="83" t="s">
        <v>5095</v>
      </c>
      <c r="BA381" s="83" t="s">
        <v>2519</v>
      </c>
      <c r="BB381" s="83" t="s">
        <v>5096</v>
      </c>
      <c r="BC381" s="54" t="s">
        <v>46</v>
      </c>
      <c r="BD381" s="54" t="str">
        <f t="shared" si="1"/>
        <v>Piura</v>
      </c>
      <c r="BE381" s="67" t="s">
        <v>140</v>
      </c>
      <c r="BF381" s="67" t="s">
        <v>144</v>
      </c>
      <c r="BG381" s="67" t="s">
        <v>142</v>
      </c>
      <c r="BH381" s="67"/>
      <c r="BI381" s="67"/>
      <c r="BJ381" s="67"/>
      <c r="BK381" s="67"/>
      <c r="BL381" s="67" t="s">
        <v>145</v>
      </c>
      <c r="BM381" s="67" t="s">
        <v>146</v>
      </c>
      <c r="BN381" s="100">
        <v>160.0</v>
      </c>
      <c r="BO381" s="102" t="s">
        <v>2305</v>
      </c>
      <c r="BP381" s="67" t="s">
        <v>144</v>
      </c>
      <c r="BQ381" s="79" t="s">
        <v>141</v>
      </c>
      <c r="BR381" s="67">
        <v>2.0</v>
      </c>
      <c r="BS381" s="102">
        <v>1.0</v>
      </c>
      <c r="BT381" s="106">
        <v>46244.0</v>
      </c>
      <c r="BU381" s="107">
        <v>6.0</v>
      </c>
      <c r="BV381" s="108">
        <f t="shared" si="2"/>
        <v>46244</v>
      </c>
      <c r="BW381" s="108">
        <f t="shared" si="16"/>
        <v>46244</v>
      </c>
      <c r="BX381" s="102" t="str">
        <f t="shared" si="15"/>
        <v>14</v>
      </c>
      <c r="BY381" s="107">
        <f t="shared" si="5"/>
        <v>5</v>
      </c>
      <c r="BZ381" s="107">
        <f t="array" ref="BZ381">IF($A381&lt;&gt;"",INDEX(LISTA!$M$2:$N$27,MATCH($BC381,LISTA!$N$2:$N$27,0),1),"")</f>
        <v>21</v>
      </c>
      <c r="CA381" s="67">
        <f t="shared" si="6"/>
        <v>8</v>
      </c>
      <c r="CB381" s="114">
        <f t="shared" si="7"/>
        <v>8</v>
      </c>
      <c r="CC381" s="67">
        <v>5.8285899E7</v>
      </c>
    </row>
    <row r="382" ht="15.0" customHeight="1">
      <c r="A382" s="59">
        <v>46242.74979349537</v>
      </c>
      <c r="B382" s="115" t="s">
        <v>105</v>
      </c>
      <c r="C382" s="54" t="s">
        <v>100</v>
      </c>
      <c r="D382" s="56" t="s">
        <v>319</v>
      </c>
      <c r="E382" s="69">
        <v>46244.583333333336</v>
      </c>
      <c r="F382" s="162"/>
      <c r="G382" s="60" t="s">
        <v>5097</v>
      </c>
      <c r="H382" s="60" t="s">
        <v>5098</v>
      </c>
      <c r="I382" s="67" t="s">
        <v>350</v>
      </c>
      <c r="J382" s="79" t="s">
        <v>5099</v>
      </c>
      <c r="K382" s="67" t="s">
        <v>109</v>
      </c>
      <c r="L382" s="79" t="s">
        <v>5100</v>
      </c>
      <c r="M382" s="83" t="s">
        <v>5101</v>
      </c>
      <c r="N382" s="78">
        <v>31810.0</v>
      </c>
      <c r="O382" s="80" t="s">
        <v>37</v>
      </c>
      <c r="P382" s="70">
        <v>1404.0</v>
      </c>
      <c r="Q382" s="54"/>
      <c r="R382" s="84"/>
      <c r="S382" s="84"/>
      <c r="T382" s="54"/>
      <c r="U382" s="86"/>
      <c r="V382" s="54"/>
      <c r="W382" s="86"/>
      <c r="X382" s="54"/>
      <c r="Y382" s="78"/>
      <c r="Z382" s="54"/>
      <c r="AA382" s="70"/>
      <c r="AB382" s="83"/>
      <c r="AC382" s="83"/>
      <c r="AD382" s="83"/>
      <c r="AE382" s="83"/>
      <c r="AF382" s="83" t="s">
        <v>691</v>
      </c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54" t="s">
        <v>2173</v>
      </c>
      <c r="AR382" s="83" t="s">
        <v>5102</v>
      </c>
      <c r="AS382" s="83" t="s">
        <v>5103</v>
      </c>
      <c r="AT382" s="93" t="s">
        <v>5099</v>
      </c>
      <c r="AU382" s="93" t="s">
        <v>5099</v>
      </c>
      <c r="AV382" s="93" t="s">
        <v>5099</v>
      </c>
      <c r="AW382" s="83" t="s">
        <v>5104</v>
      </c>
      <c r="AX382" s="83">
        <v>12.0</v>
      </c>
      <c r="AY382" s="83">
        <v>1201.0</v>
      </c>
      <c r="AZ382" s="83" t="s">
        <v>5105</v>
      </c>
      <c r="BA382" s="83" t="s">
        <v>5106</v>
      </c>
      <c r="BB382" s="83" t="s">
        <v>5107</v>
      </c>
      <c r="BC382" s="54" t="s">
        <v>41</v>
      </c>
      <c r="BD382" s="54" t="str">
        <f t="shared" si="1"/>
        <v>Comas</v>
      </c>
      <c r="BE382" s="67" t="s">
        <v>143</v>
      </c>
      <c r="BF382" s="67" t="s">
        <v>144</v>
      </c>
      <c r="BG382" s="67" t="s">
        <v>142</v>
      </c>
      <c r="BH382" s="67"/>
      <c r="BI382" s="67"/>
      <c r="BJ382" s="67"/>
      <c r="BK382" s="67"/>
      <c r="BL382" s="67" t="s">
        <v>147</v>
      </c>
      <c r="BM382" s="67" t="s">
        <v>146</v>
      </c>
      <c r="BN382" s="100">
        <v>89.0</v>
      </c>
      <c r="BO382" s="102" t="s">
        <v>148</v>
      </c>
      <c r="BP382" s="67" t="s">
        <v>141</v>
      </c>
      <c r="BQ382" s="79" t="s">
        <v>141</v>
      </c>
      <c r="BR382" s="67" t="s">
        <v>149</v>
      </c>
      <c r="BS382" s="102" t="s">
        <v>149</v>
      </c>
      <c r="BT382" s="106">
        <v>46244.0</v>
      </c>
      <c r="BU382" s="107">
        <v>7.0</v>
      </c>
      <c r="BV382" s="108">
        <f t="shared" si="2"/>
        <v>46242</v>
      </c>
      <c r="BW382" s="108">
        <f t="shared" si="16"/>
        <v>46244</v>
      </c>
      <c r="BX382" s="102" t="str">
        <f t="shared" si="15"/>
        <v>14</v>
      </c>
      <c r="BY382" s="107">
        <f t="shared" si="5"/>
        <v>5</v>
      </c>
      <c r="BZ382" s="107">
        <f t="array" ref="BZ382">IF($A382&lt;&gt;"",INDEX(LISTA!$M$2:$N$27,MATCH($BC382,LISTA!$N$2:$N$27,0),1),"")</f>
        <v>1</v>
      </c>
      <c r="CA382" s="67">
        <f t="shared" si="6"/>
        <v>8</v>
      </c>
      <c r="CB382" s="114">
        <f t="shared" si="7"/>
        <v>8</v>
      </c>
      <c r="CC382" s="67">
        <v>5.8279287E7</v>
      </c>
    </row>
    <row r="383" ht="15.0" customHeight="1">
      <c r="A383" s="59">
        <v>46244.48616032407</v>
      </c>
      <c r="B383" s="62" t="s">
        <v>105</v>
      </c>
      <c r="C383" s="54" t="s">
        <v>100</v>
      </c>
      <c r="D383" s="56" t="s">
        <v>319</v>
      </c>
      <c r="E383" s="69">
        <v>46245.375</v>
      </c>
      <c r="F383" s="162"/>
      <c r="G383" s="60" t="s">
        <v>5108</v>
      </c>
      <c r="H383" s="60" t="s">
        <v>5109</v>
      </c>
      <c r="I383" s="67" t="s">
        <v>350</v>
      </c>
      <c r="J383" s="79" t="s">
        <v>5110</v>
      </c>
      <c r="K383" s="67" t="s">
        <v>109</v>
      </c>
      <c r="L383" s="79" t="s">
        <v>5111</v>
      </c>
      <c r="M383" s="83" t="s">
        <v>5112</v>
      </c>
      <c r="N383" s="78">
        <v>34042.0</v>
      </c>
      <c r="O383" s="80" t="s">
        <v>39</v>
      </c>
      <c r="P383" s="70">
        <v>130105.0</v>
      </c>
      <c r="Q383" s="54"/>
      <c r="R383" s="84"/>
      <c r="S383" s="84"/>
      <c r="T383" s="54"/>
      <c r="U383" s="86"/>
      <c r="V383" s="54"/>
      <c r="W383" s="86" t="s">
        <v>5113</v>
      </c>
      <c r="X383" s="54"/>
      <c r="Y383" s="78"/>
      <c r="Z383" s="54"/>
      <c r="AA383" s="70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54" t="s">
        <v>127</v>
      </c>
      <c r="AR383" s="83" t="s">
        <v>4836</v>
      </c>
      <c r="AS383" s="83" t="s">
        <v>5114</v>
      </c>
      <c r="AT383" s="93" t="s">
        <v>5110</v>
      </c>
      <c r="AU383" s="93" t="s">
        <v>5110</v>
      </c>
      <c r="AV383" s="93" t="s">
        <v>5110</v>
      </c>
      <c r="AW383" s="83" t="s">
        <v>5115</v>
      </c>
      <c r="AX383" s="83">
        <v>7.0</v>
      </c>
      <c r="AY383" s="83">
        <v>703.0</v>
      </c>
      <c r="AZ383" s="83" t="s">
        <v>5116</v>
      </c>
      <c r="BA383" s="83" t="s">
        <v>5117</v>
      </c>
      <c r="BB383" s="83" t="s">
        <v>5118</v>
      </c>
      <c r="BC383" s="54" t="s">
        <v>30</v>
      </c>
      <c r="BD383" s="54" t="str">
        <f t="shared" si="1"/>
        <v>Bellavista</v>
      </c>
      <c r="BE383" s="67" t="s">
        <v>143</v>
      </c>
      <c r="BF383" s="67" t="s">
        <v>141</v>
      </c>
      <c r="BG383" s="67" t="s">
        <v>142</v>
      </c>
      <c r="BH383" s="67"/>
      <c r="BI383" s="67"/>
      <c r="BJ383" s="67"/>
      <c r="BK383" s="67"/>
      <c r="BL383" s="67" t="s">
        <v>145</v>
      </c>
      <c r="BM383" s="67" t="s">
        <v>146</v>
      </c>
      <c r="BN383" s="100">
        <v>150.0</v>
      </c>
      <c r="BO383" s="102" t="s">
        <v>615</v>
      </c>
      <c r="BP383" s="67" t="s">
        <v>141</v>
      </c>
      <c r="BQ383" s="79" t="s">
        <v>141</v>
      </c>
      <c r="BR383" s="67">
        <v>2.0</v>
      </c>
      <c r="BS383" s="102" t="s">
        <v>149</v>
      </c>
      <c r="BT383" s="106">
        <v>46245.0</v>
      </c>
      <c r="BU383" s="107">
        <v>1.0</v>
      </c>
      <c r="BV383" s="108">
        <f t="shared" si="2"/>
        <v>46244</v>
      </c>
      <c r="BW383" s="108">
        <f t="shared" si="16"/>
        <v>46245</v>
      </c>
      <c r="BX383" s="102" t="str">
        <f t="shared" si="15"/>
        <v>09</v>
      </c>
      <c r="BY383" s="107">
        <f t="shared" si="5"/>
        <v>5</v>
      </c>
      <c r="BZ383" s="107">
        <f t="array" ref="BZ383">IF($A383&lt;&gt;"",INDEX(LISTA!$M$2:$N$27,MATCH($BC383,LISTA!$N$2:$N$27,0),1),"")</f>
        <v>2</v>
      </c>
      <c r="CA383" s="67">
        <f t="shared" si="6"/>
        <v>8</v>
      </c>
      <c r="CB383" s="114">
        <f t="shared" si="7"/>
        <v>8</v>
      </c>
      <c r="CC383" s="67">
        <v>5.8285427E7</v>
      </c>
    </row>
    <row r="384" ht="15.0" customHeight="1">
      <c r="A384" s="59">
        <v>46245.36706348379</v>
      </c>
      <c r="B384" s="62" t="s">
        <v>105</v>
      </c>
      <c r="C384" s="54" t="s">
        <v>100</v>
      </c>
      <c r="D384" s="56" t="s">
        <v>101</v>
      </c>
      <c r="E384" s="69">
        <v>46245.583333333336</v>
      </c>
      <c r="F384" s="162"/>
      <c r="G384" s="60" t="s">
        <v>5119</v>
      </c>
      <c r="H384" s="60" t="s">
        <v>5120</v>
      </c>
      <c r="I384" s="67" t="s">
        <v>350</v>
      </c>
      <c r="J384" s="79" t="s">
        <v>5121</v>
      </c>
      <c r="K384" s="67" t="s">
        <v>109</v>
      </c>
      <c r="L384" s="79" t="s">
        <v>5122</v>
      </c>
      <c r="M384" s="83" t="s">
        <v>5123</v>
      </c>
      <c r="N384" s="78">
        <v>29979.0</v>
      </c>
      <c r="O384" s="80" t="s">
        <v>44</v>
      </c>
      <c r="P384" s="70">
        <v>180101.0</v>
      </c>
      <c r="Q384" s="54"/>
      <c r="R384" s="84"/>
      <c r="S384" s="84"/>
      <c r="T384" s="54"/>
      <c r="U384" s="86"/>
      <c r="V384" s="54"/>
      <c r="W384" s="86"/>
      <c r="X384" s="54"/>
      <c r="Y384" s="78"/>
      <c r="Z384" s="54"/>
      <c r="AA384" s="70"/>
      <c r="AB384" s="83"/>
      <c r="AC384" s="83" t="s">
        <v>5124</v>
      </c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54" t="s">
        <v>4770</v>
      </c>
      <c r="AR384" s="83" t="s">
        <v>125</v>
      </c>
      <c r="AS384" s="83" t="s">
        <v>5125</v>
      </c>
      <c r="AT384" s="93" t="s">
        <v>5121</v>
      </c>
      <c r="AU384" s="93" t="s">
        <v>5121</v>
      </c>
      <c r="AV384" s="93" t="s">
        <v>5121</v>
      </c>
      <c r="AW384" s="83" t="s">
        <v>5126</v>
      </c>
      <c r="AX384" s="83">
        <v>1.0</v>
      </c>
      <c r="AY384" s="83">
        <v>0.0</v>
      </c>
      <c r="AZ384" s="83" t="s">
        <v>5127</v>
      </c>
      <c r="BA384" s="83" t="s">
        <v>5128</v>
      </c>
      <c r="BB384" s="83" t="s">
        <v>5129</v>
      </c>
      <c r="BC384" s="54" t="s">
        <v>39</v>
      </c>
      <c r="BD384" s="54" t="str">
        <f t="shared" si="1"/>
        <v>Pacasmayo</v>
      </c>
      <c r="BE384" s="67" t="s">
        <v>140</v>
      </c>
      <c r="BF384" s="67" t="s">
        <v>141</v>
      </c>
      <c r="BG384" s="67" t="s">
        <v>142</v>
      </c>
      <c r="BH384" s="67"/>
      <c r="BI384" s="67"/>
      <c r="BJ384" s="67"/>
      <c r="BK384" s="67"/>
      <c r="BL384" s="67" t="s">
        <v>145</v>
      </c>
      <c r="BM384" s="67" t="s">
        <v>146</v>
      </c>
      <c r="BN384" s="100">
        <v>150.0</v>
      </c>
      <c r="BO384" s="102" t="s">
        <v>615</v>
      </c>
      <c r="BP384" s="67" t="s">
        <v>141</v>
      </c>
      <c r="BQ384" s="79" t="s">
        <v>141</v>
      </c>
      <c r="BR384" s="67">
        <v>2.0</v>
      </c>
      <c r="BS384" s="102" t="s">
        <v>149</v>
      </c>
      <c r="BT384" s="106">
        <v>46245.0</v>
      </c>
      <c r="BU384" s="107">
        <v>2.0</v>
      </c>
      <c r="BV384" s="108">
        <f t="shared" si="2"/>
        <v>46245</v>
      </c>
      <c r="BW384" s="108">
        <f t="shared" si="16"/>
        <v>46245</v>
      </c>
      <c r="BX384" s="102" t="str">
        <f t="shared" si="15"/>
        <v>14</v>
      </c>
      <c r="BY384" s="107">
        <f t="shared" si="5"/>
        <v>5</v>
      </c>
      <c r="BZ384" s="107">
        <f t="array" ref="BZ384">IF($A384&lt;&gt;"",INDEX(LISTA!$M$2:$N$27,MATCH($BC384,LISTA!$N$2:$N$27,0),1),"")</f>
        <v>15</v>
      </c>
      <c r="CA384" s="67">
        <f t="shared" si="6"/>
        <v>8</v>
      </c>
      <c r="CB384" s="114">
        <f t="shared" si="7"/>
        <v>8</v>
      </c>
      <c r="CC384" s="67">
        <v>5.8292032E7</v>
      </c>
    </row>
    <row r="385" ht="15.0" customHeight="1">
      <c r="A385" s="59">
        <v>46242.629525462966</v>
      </c>
      <c r="B385" s="62" t="s">
        <v>105</v>
      </c>
      <c r="C385" s="54" t="s">
        <v>100</v>
      </c>
      <c r="D385" s="56" t="s">
        <v>101</v>
      </c>
      <c r="E385" s="69">
        <v>46245.583333333336</v>
      </c>
      <c r="F385" s="162"/>
      <c r="G385" s="60" t="s">
        <v>5130</v>
      </c>
      <c r="H385" s="60" t="s">
        <v>5131</v>
      </c>
      <c r="I385" s="67" t="s">
        <v>403</v>
      </c>
      <c r="J385" s="79" t="s">
        <v>5132</v>
      </c>
      <c r="K385" s="67" t="s">
        <v>1151</v>
      </c>
      <c r="L385" s="79" t="s">
        <v>5133</v>
      </c>
      <c r="M385" s="83" t="s">
        <v>5134</v>
      </c>
      <c r="N385" s="78">
        <v>32281.0</v>
      </c>
      <c r="O385" s="80" t="s">
        <v>39</v>
      </c>
      <c r="P385" s="70">
        <v>120103.0</v>
      </c>
      <c r="Q385" s="54"/>
      <c r="R385" s="84"/>
      <c r="S385" s="84"/>
      <c r="T385" s="54"/>
      <c r="U385" s="86"/>
      <c r="V385" s="54"/>
      <c r="W385" s="86"/>
      <c r="X385" s="54"/>
      <c r="Y385" s="78"/>
      <c r="Z385" s="54"/>
      <c r="AA385" s="70"/>
      <c r="AB385" s="83"/>
      <c r="AC385" s="83" t="s">
        <v>1690</v>
      </c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54" t="s">
        <v>2834</v>
      </c>
      <c r="AR385" s="83" t="s">
        <v>125</v>
      </c>
      <c r="AS385" s="83" t="s">
        <v>5135</v>
      </c>
      <c r="AT385" s="93" t="s">
        <v>5132</v>
      </c>
      <c r="AU385" s="93" t="s">
        <v>5136</v>
      </c>
      <c r="AV385" s="93" t="s">
        <v>5136</v>
      </c>
      <c r="AW385" s="83" t="s">
        <v>5137</v>
      </c>
      <c r="AX385" s="83">
        <v>1.0</v>
      </c>
      <c r="AY385" s="83" t="s">
        <v>1767</v>
      </c>
      <c r="AZ385" s="83" t="s">
        <v>5138</v>
      </c>
      <c r="BA385" s="83" t="s">
        <v>1767</v>
      </c>
      <c r="BB385" s="83" t="s">
        <v>5139</v>
      </c>
      <c r="BC385" s="54" t="s">
        <v>39</v>
      </c>
      <c r="BD385" s="54" t="str">
        <f t="shared" si="1"/>
        <v>Trujillo</v>
      </c>
      <c r="BE385" s="67" t="s">
        <v>140</v>
      </c>
      <c r="BF385" s="67" t="s">
        <v>141</v>
      </c>
      <c r="BG385" s="67" t="s">
        <v>142</v>
      </c>
      <c r="BH385" s="67"/>
      <c r="BI385" s="67"/>
      <c r="BJ385" s="67"/>
      <c r="BK385" s="67"/>
      <c r="BL385" s="67" t="s">
        <v>145</v>
      </c>
      <c r="BM385" s="67" t="s">
        <v>146</v>
      </c>
      <c r="BN385" s="100">
        <v>150.0</v>
      </c>
      <c r="BO385" s="102" t="s">
        <v>615</v>
      </c>
      <c r="BP385" s="67" t="s">
        <v>141</v>
      </c>
      <c r="BQ385" s="79" t="s">
        <v>141</v>
      </c>
      <c r="BR385" s="67">
        <v>2.0</v>
      </c>
      <c r="BS385" s="102" t="s">
        <v>149</v>
      </c>
      <c r="BT385" s="106">
        <v>46245.0</v>
      </c>
      <c r="BU385" s="107">
        <v>3.0</v>
      </c>
      <c r="BV385" s="108">
        <f t="shared" si="2"/>
        <v>46242</v>
      </c>
      <c r="BW385" s="108">
        <f t="shared" si="16"/>
        <v>46245</v>
      </c>
      <c r="BX385" s="102" t="str">
        <f t="shared" si="15"/>
        <v>14</v>
      </c>
      <c r="BY385" s="107">
        <f t="shared" si="5"/>
        <v>5</v>
      </c>
      <c r="BZ385" s="107">
        <f t="array" ref="BZ385">IF($A385&lt;&gt;"",INDEX(LISTA!$M$2:$N$27,MATCH($BC385,LISTA!$N$2:$N$27,0),1),"")</f>
        <v>15</v>
      </c>
      <c r="CA385" s="67">
        <f t="shared" si="6"/>
        <v>8</v>
      </c>
      <c r="CB385" s="114">
        <f t="shared" si="7"/>
        <v>8</v>
      </c>
      <c r="CC385" s="67">
        <v>5.8278243E7</v>
      </c>
    </row>
    <row r="386" ht="15.0" customHeight="1">
      <c r="A386" s="59">
        <v>46245.51316650463</v>
      </c>
      <c r="B386" s="62" t="s">
        <v>105</v>
      </c>
      <c r="C386" s="54" t="s">
        <v>100</v>
      </c>
      <c r="D386" s="56" t="s">
        <v>319</v>
      </c>
      <c r="E386" s="69">
        <v>46246.375</v>
      </c>
      <c r="F386" s="162"/>
      <c r="G386" s="60" t="s">
        <v>5140</v>
      </c>
      <c r="H386" s="60" t="s">
        <v>5141</v>
      </c>
      <c r="I386" s="67" t="s">
        <v>384</v>
      </c>
      <c r="J386" s="79" t="s">
        <v>5142</v>
      </c>
      <c r="K386" s="67" t="s">
        <v>109</v>
      </c>
      <c r="L386" s="79" t="s">
        <v>5143</v>
      </c>
      <c r="M386" s="83" t="s">
        <v>5144</v>
      </c>
      <c r="N386" s="78">
        <v>32407.0</v>
      </c>
      <c r="O386" s="80" t="s">
        <v>52</v>
      </c>
      <c r="P386" s="70">
        <v>140106.0</v>
      </c>
      <c r="Q386" s="54"/>
      <c r="R386" s="84"/>
      <c r="S386" s="84"/>
      <c r="T386" s="54"/>
      <c r="U386" s="86"/>
      <c r="V386" s="54"/>
      <c r="W386" s="86"/>
      <c r="X386" s="54"/>
      <c r="Y386" s="78"/>
      <c r="Z386" s="54"/>
      <c r="AA386" s="70"/>
      <c r="AB386" s="83"/>
      <c r="AC386" s="83"/>
      <c r="AD386" s="83"/>
      <c r="AE386" s="83"/>
      <c r="AF386" s="83" t="s">
        <v>691</v>
      </c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54" t="s">
        <v>4423</v>
      </c>
      <c r="AR386" s="83" t="s">
        <v>5145</v>
      </c>
      <c r="AS386" s="83" t="s">
        <v>5146</v>
      </c>
      <c r="AT386" s="93" t="s">
        <v>5142</v>
      </c>
      <c r="AU386" s="93" t="s">
        <v>5142</v>
      </c>
      <c r="AV386" s="93" t="s">
        <v>5147</v>
      </c>
      <c r="AW386" s="83" t="s">
        <v>5148</v>
      </c>
      <c r="AX386" s="83">
        <v>1.0</v>
      </c>
      <c r="AY386" s="83" t="s">
        <v>2519</v>
      </c>
      <c r="AZ386" s="83" t="s">
        <v>5149</v>
      </c>
      <c r="BA386" s="83" t="s">
        <v>2519</v>
      </c>
      <c r="BB386" s="83" t="s">
        <v>5150</v>
      </c>
      <c r="BC386" s="54" t="s">
        <v>41</v>
      </c>
      <c r="BD386" s="54" t="str">
        <f t="shared" si="1"/>
        <v>Comas</v>
      </c>
      <c r="BE386" s="67" t="s">
        <v>140</v>
      </c>
      <c r="BF386" s="67" t="s">
        <v>141</v>
      </c>
      <c r="BG386" s="67" t="s">
        <v>142</v>
      </c>
      <c r="BH386" s="67"/>
      <c r="BI386" s="67"/>
      <c r="BJ386" s="67"/>
      <c r="BK386" s="67"/>
      <c r="BL386" s="67" t="s">
        <v>147</v>
      </c>
      <c r="BM386" s="67" t="s">
        <v>146</v>
      </c>
      <c r="BN386" s="100">
        <v>69.0</v>
      </c>
      <c r="BO386" s="102" t="s">
        <v>615</v>
      </c>
      <c r="BP386" s="67" t="s">
        <v>141</v>
      </c>
      <c r="BQ386" s="79" t="s">
        <v>141</v>
      </c>
      <c r="BR386" s="67" t="s">
        <v>149</v>
      </c>
      <c r="BS386" s="102" t="s">
        <v>149</v>
      </c>
      <c r="BT386" s="106">
        <v>46246.0</v>
      </c>
      <c r="BU386" s="107">
        <v>1.0</v>
      </c>
      <c r="BV386" s="108">
        <f t="shared" si="2"/>
        <v>46245</v>
      </c>
      <c r="BW386" s="108">
        <f t="shared" si="16"/>
        <v>46246</v>
      </c>
      <c r="BX386" s="102" t="str">
        <f t="shared" si="15"/>
        <v>09</v>
      </c>
      <c r="BY386" s="107">
        <f t="shared" si="5"/>
        <v>5</v>
      </c>
      <c r="BZ386" s="107">
        <f t="array" ref="BZ386">IF($A386&lt;&gt;"",INDEX(LISTA!$M$2:$N$27,MATCH($BC386,LISTA!$N$2:$N$27,0),1),"")</f>
        <v>1</v>
      </c>
      <c r="CA386" s="67">
        <f t="shared" si="6"/>
        <v>8</v>
      </c>
      <c r="CB386" s="114">
        <f t="shared" si="7"/>
        <v>8</v>
      </c>
      <c r="CC386" s="160">
        <v>5.8294748E7</v>
      </c>
    </row>
    <row r="387" ht="15.0" customHeight="1">
      <c r="A387" s="59">
        <v>46245.75659606481</v>
      </c>
      <c r="B387" s="115" t="s">
        <v>105</v>
      </c>
      <c r="C387" s="54" t="s">
        <v>100</v>
      </c>
      <c r="D387" s="56" t="s">
        <v>319</v>
      </c>
      <c r="E387" s="69">
        <v>46247.375</v>
      </c>
      <c r="F387" s="162"/>
      <c r="G387" s="60" t="s">
        <v>5151</v>
      </c>
      <c r="H387" s="60" t="s">
        <v>5152</v>
      </c>
      <c r="I387" s="67" t="s">
        <v>107</v>
      </c>
      <c r="J387" s="79" t="s">
        <v>5153</v>
      </c>
      <c r="K387" s="67" t="s">
        <v>109</v>
      </c>
      <c r="L387" s="79" t="s">
        <v>5154</v>
      </c>
      <c r="M387" s="83" t="s">
        <v>5155</v>
      </c>
      <c r="N387" s="78">
        <v>33055.0</v>
      </c>
      <c r="O387" s="80" t="s">
        <v>34</v>
      </c>
      <c r="P387" s="70">
        <v>110101.0</v>
      </c>
      <c r="Q387" s="54"/>
      <c r="R387" s="84"/>
      <c r="S387" s="84"/>
      <c r="T387" s="54"/>
      <c r="U387" s="86"/>
      <c r="V387" s="54"/>
      <c r="W387" s="86"/>
      <c r="X387" s="54"/>
      <c r="Y387" s="78"/>
      <c r="Z387" s="54"/>
      <c r="AA387" s="70"/>
      <c r="AB387" s="83"/>
      <c r="AC387" s="83"/>
      <c r="AD387" s="83"/>
      <c r="AE387" s="83" t="s">
        <v>2060</v>
      </c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54" t="s">
        <v>1416</v>
      </c>
      <c r="AR387" s="83" t="s">
        <v>4903</v>
      </c>
      <c r="AS387" s="83" t="s">
        <v>5156</v>
      </c>
      <c r="AT387" s="93" t="s">
        <v>5153</v>
      </c>
      <c r="AU387" s="93" t="s">
        <v>5153</v>
      </c>
      <c r="AV387" s="93" t="s">
        <v>5153</v>
      </c>
      <c r="AW387" s="83" t="s">
        <v>5157</v>
      </c>
      <c r="AX387" s="83">
        <v>1.0</v>
      </c>
      <c r="AY387" s="83">
        <v>1.0</v>
      </c>
      <c r="AZ387" s="83" t="s">
        <v>5158</v>
      </c>
      <c r="BA387" s="83" t="s">
        <v>5159</v>
      </c>
      <c r="BB387" s="83" t="s">
        <v>5160</v>
      </c>
      <c r="BC387" s="54" t="s">
        <v>37</v>
      </c>
      <c r="BD387" s="54" t="str">
        <f t="shared" si="1"/>
        <v>Huaral</v>
      </c>
      <c r="BE387" s="67" t="s">
        <v>140</v>
      </c>
      <c r="BF387" s="67" t="s">
        <v>141</v>
      </c>
      <c r="BG387" s="67" t="s">
        <v>142</v>
      </c>
      <c r="BH387" s="67"/>
      <c r="BI387" s="67"/>
      <c r="BJ387" s="67"/>
      <c r="BK387" s="67"/>
      <c r="BL387" s="67" t="s">
        <v>145</v>
      </c>
      <c r="BM387" s="67" t="s">
        <v>146</v>
      </c>
      <c r="BN387" s="100">
        <v>150.0</v>
      </c>
      <c r="BO387" s="102" t="s">
        <v>615</v>
      </c>
      <c r="BP387" s="67" t="s">
        <v>144</v>
      </c>
      <c r="BQ387" s="79" t="s">
        <v>141</v>
      </c>
      <c r="BR387" s="67">
        <v>1.0</v>
      </c>
      <c r="BS387" s="102" t="s">
        <v>149</v>
      </c>
      <c r="BT387" s="106">
        <v>46246.0</v>
      </c>
      <c r="BU387" s="107">
        <v>2.0</v>
      </c>
      <c r="BV387" s="108">
        <f t="shared" si="2"/>
        <v>46245</v>
      </c>
      <c r="BW387" s="108">
        <f t="shared" si="16"/>
        <v>46247</v>
      </c>
      <c r="BX387" s="102" t="str">
        <f t="shared" si="15"/>
        <v>09</v>
      </c>
      <c r="BY387" s="107">
        <f t="shared" si="5"/>
        <v>5</v>
      </c>
      <c r="BZ387" s="107">
        <f t="array" ref="BZ387">IF($A387&lt;&gt;"",INDEX(LISTA!$M$2:$N$27,MATCH($BC387,LISTA!$N$2:$N$27,0),1),"")</f>
        <v>3</v>
      </c>
      <c r="CA387" s="67">
        <f t="shared" si="6"/>
        <v>8</v>
      </c>
      <c r="CB387" s="114">
        <f t="shared" si="7"/>
        <v>8</v>
      </c>
      <c r="CC387" s="160">
        <v>5.8299041E7</v>
      </c>
    </row>
    <row r="388" ht="15.0" customHeight="1">
      <c r="A388" s="59">
        <v>46239.771175752314</v>
      </c>
      <c r="B388" s="62" t="s">
        <v>105</v>
      </c>
      <c r="C388" s="54" t="s">
        <v>100</v>
      </c>
      <c r="D388" s="56" t="s">
        <v>319</v>
      </c>
      <c r="E388" s="69">
        <v>46247.375</v>
      </c>
      <c r="F388" s="162" t="s">
        <v>4036</v>
      </c>
      <c r="G388" s="60" t="s">
        <v>5161</v>
      </c>
      <c r="H388" s="60" t="s">
        <v>5162</v>
      </c>
      <c r="I388" s="67" t="s">
        <v>350</v>
      </c>
      <c r="J388" s="79" t="s">
        <v>5163</v>
      </c>
      <c r="K388" s="67" t="s">
        <v>109</v>
      </c>
      <c r="L388" s="79" t="s">
        <v>5164</v>
      </c>
      <c r="M388" s="83" t="s">
        <v>5165</v>
      </c>
      <c r="N388" s="78">
        <v>19396.0</v>
      </c>
      <c r="O388" s="80" t="s">
        <v>41</v>
      </c>
      <c r="P388" s="70">
        <v>150105.0</v>
      </c>
      <c r="Q388" s="54"/>
      <c r="R388" s="84"/>
      <c r="S388" s="84"/>
      <c r="T388" s="54"/>
      <c r="U388" s="86"/>
      <c r="V388" s="54"/>
      <c r="W388" s="86"/>
      <c r="X388" s="54"/>
      <c r="Y388" s="78"/>
      <c r="Z388" s="54"/>
      <c r="AA388" s="70"/>
      <c r="AB388" s="83"/>
      <c r="AC388" s="83"/>
      <c r="AD388" s="83"/>
      <c r="AE388" s="83"/>
      <c r="AF388" s="83" t="s">
        <v>165</v>
      </c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54" t="s">
        <v>4915</v>
      </c>
      <c r="AR388" s="83" t="s">
        <v>1944</v>
      </c>
      <c r="AS388" s="83" t="s">
        <v>5166</v>
      </c>
      <c r="AT388" s="93" t="s">
        <v>5163</v>
      </c>
      <c r="AU388" s="93" t="s">
        <v>5163</v>
      </c>
      <c r="AV388" s="93" t="s">
        <v>5163</v>
      </c>
      <c r="AW388" s="83" t="s">
        <v>5167</v>
      </c>
      <c r="AX388" s="83">
        <v>2.0</v>
      </c>
      <c r="AY388" s="83">
        <v>0.0</v>
      </c>
      <c r="AZ388" s="83" t="s">
        <v>5168</v>
      </c>
      <c r="BA388" s="83" t="s">
        <v>5169</v>
      </c>
      <c r="BB388" s="83" t="s">
        <v>5170</v>
      </c>
      <c r="BC388" s="54" t="s">
        <v>41</v>
      </c>
      <c r="BD388" s="54" t="str">
        <f t="shared" si="1"/>
        <v>San Martín de Porres</v>
      </c>
      <c r="BE388" s="67" t="s">
        <v>140</v>
      </c>
      <c r="BF388" s="67" t="s">
        <v>144</v>
      </c>
      <c r="BG388" s="67" t="s">
        <v>142</v>
      </c>
      <c r="BH388" s="67"/>
      <c r="BI388" s="67"/>
      <c r="BJ388" s="67"/>
      <c r="BK388" s="67"/>
      <c r="BL388" s="67" t="s">
        <v>145</v>
      </c>
      <c r="BM388" s="67" t="s">
        <v>146</v>
      </c>
      <c r="BN388" s="100">
        <v>150.0</v>
      </c>
      <c r="BO388" s="102" t="s">
        <v>615</v>
      </c>
      <c r="BP388" s="67" t="s">
        <v>141</v>
      </c>
      <c r="BQ388" s="79" t="s">
        <v>141</v>
      </c>
      <c r="BR388" s="67">
        <v>2.0</v>
      </c>
      <c r="BS388" s="102" t="s">
        <v>149</v>
      </c>
      <c r="BT388" s="106">
        <v>46246.0</v>
      </c>
      <c r="BU388" s="107">
        <v>3.0</v>
      </c>
      <c r="BV388" s="108">
        <f t="shared" si="2"/>
        <v>46239</v>
      </c>
      <c r="BW388" s="108">
        <f t="shared" si="16"/>
        <v>46247</v>
      </c>
      <c r="BX388" s="102" t="str">
        <f t="shared" si="15"/>
        <v>09</v>
      </c>
      <c r="BY388" s="107">
        <f t="shared" si="5"/>
        <v>5</v>
      </c>
      <c r="BZ388" s="107">
        <f t="array" ref="BZ388">IF($A388&lt;&gt;"",INDEX(LISTA!$M$2:$N$27,MATCH($BC388,LISTA!$N$2:$N$27,0),1),"")</f>
        <v>1</v>
      </c>
      <c r="CA388" s="67">
        <f t="shared" si="6"/>
        <v>8</v>
      </c>
      <c r="CB388" s="114">
        <f t="shared" si="7"/>
        <v>8</v>
      </c>
      <c r="CC388" s="160">
        <v>5.8287368E7</v>
      </c>
    </row>
    <row r="389" ht="15.0" customHeight="1">
      <c r="A389" s="59">
        <v>46241.760919583336</v>
      </c>
      <c r="B389" s="62" t="s">
        <v>105</v>
      </c>
      <c r="C389" s="54" t="s">
        <v>100</v>
      </c>
      <c r="D389" s="56" t="s">
        <v>101</v>
      </c>
      <c r="E389" s="69">
        <v>46246.375</v>
      </c>
      <c r="F389" s="162" t="s">
        <v>5171</v>
      </c>
      <c r="G389" s="60" t="s">
        <v>5172</v>
      </c>
      <c r="H389" s="60" t="s">
        <v>5173</v>
      </c>
      <c r="I389" s="67" t="s">
        <v>374</v>
      </c>
      <c r="J389" s="79" t="s">
        <v>5174</v>
      </c>
      <c r="K389" s="67" t="s">
        <v>109</v>
      </c>
      <c r="L389" s="79" t="s">
        <v>5175</v>
      </c>
      <c r="M389" s="83" t="s">
        <v>5176</v>
      </c>
      <c r="N389" s="78">
        <v>33788.0</v>
      </c>
      <c r="O389" s="80" t="s">
        <v>39</v>
      </c>
      <c r="P389" s="70">
        <v>130101.0</v>
      </c>
      <c r="Q389" s="54"/>
      <c r="R389" s="84"/>
      <c r="S389" s="84"/>
      <c r="T389" s="54"/>
      <c r="U389" s="86"/>
      <c r="V389" s="54"/>
      <c r="W389" s="86"/>
      <c r="X389" s="54"/>
      <c r="Y389" s="78"/>
      <c r="Z389" s="54"/>
      <c r="AA389" s="70"/>
      <c r="AB389" s="83"/>
      <c r="AC389" s="83" t="s">
        <v>1690</v>
      </c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54" t="s">
        <v>2419</v>
      </c>
      <c r="AR389" s="83" t="s">
        <v>4653</v>
      </c>
      <c r="AS389" s="83" t="s">
        <v>5177</v>
      </c>
      <c r="AT389" s="93" t="s">
        <v>5174</v>
      </c>
      <c r="AU389" s="93" t="s">
        <v>5174</v>
      </c>
      <c r="AV389" s="93" t="s">
        <v>5174</v>
      </c>
      <c r="AW389" s="83" t="s">
        <v>5178</v>
      </c>
      <c r="AX389" s="83">
        <v>7.0</v>
      </c>
      <c r="AY389" s="83">
        <v>1.0</v>
      </c>
      <c r="AZ389" s="83" t="s">
        <v>5179</v>
      </c>
      <c r="BA389" s="83" t="s">
        <v>1767</v>
      </c>
      <c r="BB389" s="83" t="s">
        <v>5180</v>
      </c>
      <c r="BC389" s="54" t="s">
        <v>39</v>
      </c>
      <c r="BD389" s="54" t="str">
        <f t="shared" si="1"/>
        <v>Trujillo</v>
      </c>
      <c r="BE389" s="67" t="s">
        <v>140</v>
      </c>
      <c r="BF389" s="67" t="s">
        <v>141</v>
      </c>
      <c r="BG389" s="67" t="s">
        <v>142</v>
      </c>
      <c r="BH389" s="67"/>
      <c r="BI389" s="67"/>
      <c r="BJ389" s="67"/>
      <c r="BK389" s="67"/>
      <c r="BL389" s="67" t="s">
        <v>213</v>
      </c>
      <c r="BM389" s="67" t="s">
        <v>146</v>
      </c>
      <c r="BN389" s="100">
        <v>110.0</v>
      </c>
      <c r="BO389" s="102" t="s">
        <v>182</v>
      </c>
      <c r="BP389" s="67" t="s">
        <v>144</v>
      </c>
      <c r="BQ389" s="79" t="s">
        <v>141</v>
      </c>
      <c r="BR389" s="67" t="s">
        <v>149</v>
      </c>
      <c r="BS389" s="102">
        <v>1.0</v>
      </c>
      <c r="BT389" s="106">
        <v>46246.0</v>
      </c>
      <c r="BU389" s="107">
        <v>4.0</v>
      </c>
      <c r="BV389" s="108">
        <f t="shared" si="2"/>
        <v>46241</v>
      </c>
      <c r="BW389" s="108">
        <f t="shared" si="16"/>
        <v>46246</v>
      </c>
      <c r="BX389" s="102" t="str">
        <f t="shared" si="15"/>
        <v>09</v>
      </c>
      <c r="BY389" s="107">
        <f t="shared" si="5"/>
        <v>5</v>
      </c>
      <c r="BZ389" s="107">
        <f t="array" ref="BZ389">IF($A389&lt;&gt;"",INDEX(LISTA!$M$2:$N$27,MATCH($BC389,LISTA!$N$2:$N$27,0),1),"")</f>
        <v>15</v>
      </c>
      <c r="CA389" s="67">
        <f t="shared" si="6"/>
        <v>8</v>
      </c>
      <c r="CB389" s="114">
        <f t="shared" si="7"/>
        <v>8</v>
      </c>
      <c r="CC389" s="160">
        <v>5.827261E7</v>
      </c>
    </row>
    <row r="390" ht="15.0" customHeight="1">
      <c r="A390" s="59">
        <v>46246.5446237963</v>
      </c>
      <c r="B390" s="115" t="s">
        <v>105</v>
      </c>
      <c r="C390" s="54" t="s">
        <v>100</v>
      </c>
      <c r="D390" s="56" t="s">
        <v>319</v>
      </c>
      <c r="E390" s="69">
        <v>46247.375</v>
      </c>
      <c r="F390" s="162"/>
      <c r="G390" s="60" t="s">
        <v>5181</v>
      </c>
      <c r="H390" s="60" t="s">
        <v>5182</v>
      </c>
      <c r="I390" s="67" t="s">
        <v>403</v>
      </c>
      <c r="J390" s="79" t="s">
        <v>5183</v>
      </c>
      <c r="K390" s="67" t="s">
        <v>109</v>
      </c>
      <c r="L390" s="79" t="s">
        <v>5184</v>
      </c>
      <c r="M390" s="83" t="s">
        <v>5185</v>
      </c>
      <c r="N390" s="78">
        <v>24474.0</v>
      </c>
      <c r="O390" s="80" t="s">
        <v>39</v>
      </c>
      <c r="P390" s="70">
        <v>130101.0</v>
      </c>
      <c r="Q390" s="54"/>
      <c r="R390" s="84"/>
      <c r="S390" s="84"/>
      <c r="T390" s="54"/>
      <c r="U390" s="86"/>
      <c r="V390" s="54"/>
      <c r="W390" s="86"/>
      <c r="X390" s="54"/>
      <c r="Y390" s="78"/>
      <c r="Z390" s="54"/>
      <c r="AA390" s="70"/>
      <c r="AB390" s="83"/>
      <c r="AC390" s="83"/>
      <c r="AD390" s="83"/>
      <c r="AE390" s="83"/>
      <c r="AF390" s="83" t="s">
        <v>5186</v>
      </c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54" t="s">
        <v>2133</v>
      </c>
      <c r="AR390" s="83" t="s">
        <v>236</v>
      </c>
      <c r="AS390" s="83" t="s">
        <v>5187</v>
      </c>
      <c r="AT390" s="93" t="s">
        <v>5188</v>
      </c>
      <c r="AU390" s="93" t="s">
        <v>5188</v>
      </c>
      <c r="AV390" s="93" t="s">
        <v>5183</v>
      </c>
      <c r="AW390" s="83" t="s">
        <v>5189</v>
      </c>
      <c r="AX390" s="83">
        <v>1.0</v>
      </c>
      <c r="AY390" s="83">
        <v>0.0</v>
      </c>
      <c r="AZ390" s="83" t="s">
        <v>5190</v>
      </c>
      <c r="BA390" s="83" t="s">
        <v>5191</v>
      </c>
      <c r="BB390" s="83" t="s">
        <v>5192</v>
      </c>
      <c r="BC390" s="54" t="s">
        <v>41</v>
      </c>
      <c r="BD390" s="54" t="str">
        <f t="shared" si="1"/>
        <v>Lurín</v>
      </c>
      <c r="BE390" s="67" t="s">
        <v>140</v>
      </c>
      <c r="BF390" s="67" t="s">
        <v>141</v>
      </c>
      <c r="BG390" s="67" t="s">
        <v>142</v>
      </c>
      <c r="BH390" s="67"/>
      <c r="BI390" s="67"/>
      <c r="BJ390" s="67"/>
      <c r="BK390" s="67"/>
      <c r="BL390" s="67" t="s">
        <v>147</v>
      </c>
      <c r="BM390" s="67" t="s">
        <v>1172</v>
      </c>
      <c r="BN390" s="100">
        <v>69.0</v>
      </c>
      <c r="BO390" s="102" t="s">
        <v>615</v>
      </c>
      <c r="BP390" s="67" t="s">
        <v>141</v>
      </c>
      <c r="BQ390" s="79" t="s">
        <v>141</v>
      </c>
      <c r="BR390" s="67" t="s">
        <v>149</v>
      </c>
      <c r="BS390" s="102" t="s">
        <v>149</v>
      </c>
      <c r="BT390" s="106">
        <v>46246.0</v>
      </c>
      <c r="BU390" s="107">
        <v>5.0</v>
      </c>
      <c r="BV390" s="108">
        <f t="shared" si="2"/>
        <v>46246</v>
      </c>
      <c r="BW390" s="108">
        <f t="shared" si="16"/>
        <v>46247</v>
      </c>
      <c r="BX390" s="102" t="str">
        <f t="shared" si="15"/>
        <v>09</v>
      </c>
      <c r="BY390" s="107">
        <f t="shared" si="5"/>
        <v>5</v>
      </c>
      <c r="BZ390" s="107">
        <f t="array" ref="BZ390">IF($A390&lt;&gt;"",INDEX(LISTA!$M$2:$N$27,MATCH($BC390,LISTA!$N$2:$N$27,0),1),"")</f>
        <v>1</v>
      </c>
      <c r="CA390" s="67">
        <f t="shared" si="6"/>
        <v>8</v>
      </c>
      <c r="CB390" s="114">
        <f t="shared" si="7"/>
        <v>8</v>
      </c>
      <c r="CC390" s="160">
        <v>5.8303738E7</v>
      </c>
    </row>
    <row r="391" ht="15.0" customHeight="1">
      <c r="A391" s="59">
        <v>46244.673431585645</v>
      </c>
      <c r="B391" s="62" t="s">
        <v>105</v>
      </c>
      <c r="C391" s="54" t="s">
        <v>100</v>
      </c>
      <c r="D391" s="56" t="s">
        <v>319</v>
      </c>
      <c r="E391" s="69">
        <v>46246.583333333336</v>
      </c>
      <c r="F391" s="162"/>
      <c r="G391" s="60" t="s">
        <v>5193</v>
      </c>
      <c r="H391" s="60" t="s">
        <v>5194</v>
      </c>
      <c r="I391" s="67" t="s">
        <v>374</v>
      </c>
      <c r="J391" s="79" t="s">
        <v>5195</v>
      </c>
      <c r="K391" s="67" t="s">
        <v>109</v>
      </c>
      <c r="L391" s="79" t="s">
        <v>5196</v>
      </c>
      <c r="M391" s="83" t="s">
        <v>5197</v>
      </c>
      <c r="N391" s="78">
        <v>30756.0</v>
      </c>
      <c r="O391" s="80" t="s">
        <v>41</v>
      </c>
      <c r="P391" s="70">
        <v>150113.0</v>
      </c>
      <c r="Q391" s="54"/>
      <c r="R391" s="84"/>
      <c r="S391" s="84"/>
      <c r="T391" s="54"/>
      <c r="U391" s="86"/>
      <c r="V391" s="54"/>
      <c r="W391" s="86"/>
      <c r="X391" s="54"/>
      <c r="Y391" s="78"/>
      <c r="Z391" s="54"/>
      <c r="AA391" s="70"/>
      <c r="AB391" s="83"/>
      <c r="AC391" s="83"/>
      <c r="AD391" s="83"/>
      <c r="AE391" s="83"/>
      <c r="AF391" s="83" t="s">
        <v>2197</v>
      </c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54" t="s">
        <v>1640</v>
      </c>
      <c r="AR391" s="83" t="s">
        <v>2671</v>
      </c>
      <c r="AS391" s="83" t="s">
        <v>5198</v>
      </c>
      <c r="AT391" s="93" t="s">
        <v>5195</v>
      </c>
      <c r="AU391" s="93" t="s">
        <v>5195</v>
      </c>
      <c r="AV391" s="93" t="s">
        <v>5195</v>
      </c>
      <c r="AW391" s="83" t="s">
        <v>5199</v>
      </c>
      <c r="AX391" s="83">
        <v>2.0</v>
      </c>
      <c r="AY391" s="83">
        <v>202.0</v>
      </c>
      <c r="AZ391" s="83" t="s">
        <v>5200</v>
      </c>
      <c r="BA391" s="83" t="s">
        <v>5201</v>
      </c>
      <c r="BB391" s="83" t="s">
        <v>5202</v>
      </c>
      <c r="BC391" s="54" t="s">
        <v>41</v>
      </c>
      <c r="BD391" s="54" t="str">
        <f t="shared" si="1"/>
        <v>El Agustino</v>
      </c>
      <c r="BE391" s="67" t="s">
        <v>140</v>
      </c>
      <c r="BF391" s="67" t="s">
        <v>144</v>
      </c>
      <c r="BG391" s="67" t="s">
        <v>142</v>
      </c>
      <c r="BH391" s="67"/>
      <c r="BI391" s="67"/>
      <c r="BJ391" s="67"/>
      <c r="BK391" s="67"/>
      <c r="BL391" s="67" t="s">
        <v>147</v>
      </c>
      <c r="BM391" s="67" t="s">
        <v>146</v>
      </c>
      <c r="BN391" s="100">
        <v>89.0</v>
      </c>
      <c r="BO391" s="102" t="s">
        <v>148</v>
      </c>
      <c r="BP391" s="67" t="s">
        <v>141</v>
      </c>
      <c r="BQ391" s="79" t="s">
        <v>141</v>
      </c>
      <c r="BR391" s="67" t="s">
        <v>149</v>
      </c>
      <c r="BS391" s="102">
        <v>1.0</v>
      </c>
      <c r="BT391" s="106">
        <v>46246.0</v>
      </c>
      <c r="BU391" s="107">
        <v>6.0</v>
      </c>
      <c r="BV391" s="108">
        <f t="shared" si="2"/>
        <v>46244</v>
      </c>
      <c r="BW391" s="108">
        <f t="shared" si="16"/>
        <v>46246</v>
      </c>
      <c r="BX391" s="102" t="str">
        <f t="shared" si="15"/>
        <v>14</v>
      </c>
      <c r="BY391" s="107">
        <f t="shared" si="5"/>
        <v>5</v>
      </c>
      <c r="BZ391" s="107">
        <f t="array" ref="BZ391">IF($A391&lt;&gt;"",INDEX(LISTA!$M$2:$N$27,MATCH($BC391,LISTA!$N$2:$N$27,0),1),"")</f>
        <v>1</v>
      </c>
      <c r="CA391" s="67">
        <f t="shared" si="6"/>
        <v>8</v>
      </c>
      <c r="CB391" s="114">
        <f t="shared" si="7"/>
        <v>8</v>
      </c>
      <c r="CC391" s="160">
        <v>5.8289001E7</v>
      </c>
    </row>
    <row r="392" ht="15.0" customHeight="1">
      <c r="A392" s="59">
        <v>46245.55599121528</v>
      </c>
      <c r="B392" s="62" t="s">
        <v>105</v>
      </c>
      <c r="C392" s="54" t="s">
        <v>100</v>
      </c>
      <c r="D392" s="56" t="s">
        <v>319</v>
      </c>
      <c r="E392" s="69">
        <v>46246.666666666664</v>
      </c>
      <c r="F392" s="162"/>
      <c r="G392" s="60" t="s">
        <v>5203</v>
      </c>
      <c r="H392" s="60" t="s">
        <v>5204</v>
      </c>
      <c r="I392" s="67" t="s">
        <v>382</v>
      </c>
      <c r="J392" s="79" t="s">
        <v>5205</v>
      </c>
      <c r="K392" s="67" t="s">
        <v>109</v>
      </c>
      <c r="L392" s="79" t="s">
        <v>5206</v>
      </c>
      <c r="M392" s="83" t="s">
        <v>5207</v>
      </c>
      <c r="N392" s="78">
        <v>37082.0</v>
      </c>
      <c r="O392" s="80" t="s">
        <v>49</v>
      </c>
      <c r="P392" s="70">
        <v>220901.0</v>
      </c>
      <c r="Q392" s="54"/>
      <c r="R392" s="84"/>
      <c r="S392" s="84"/>
      <c r="T392" s="54"/>
      <c r="U392" s="86"/>
      <c r="V392" s="54"/>
      <c r="W392" s="86"/>
      <c r="X392" s="54"/>
      <c r="Y392" s="78"/>
      <c r="Z392" s="54"/>
      <c r="AA392" s="70"/>
      <c r="AB392" s="83"/>
      <c r="AC392" s="83"/>
      <c r="AD392" s="83"/>
      <c r="AE392" s="83"/>
      <c r="AF392" s="83" t="s">
        <v>1159</v>
      </c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54" t="s">
        <v>5208</v>
      </c>
      <c r="AR392" s="83" t="s">
        <v>5209</v>
      </c>
      <c r="AS392" s="83" t="s">
        <v>5210</v>
      </c>
      <c r="AT392" s="93" t="s">
        <v>5211</v>
      </c>
      <c r="AU392" s="93" t="s">
        <v>5212</v>
      </c>
      <c r="AV392" s="93" t="s">
        <v>5212</v>
      </c>
      <c r="AW392" s="83" t="s">
        <v>5213</v>
      </c>
      <c r="AX392" s="83">
        <v>3.0</v>
      </c>
      <c r="AY392" s="83">
        <v>0.0</v>
      </c>
      <c r="AZ392" s="83" t="s">
        <v>5214</v>
      </c>
      <c r="BA392" s="83" t="s">
        <v>5215</v>
      </c>
      <c r="BB392" s="83" t="s">
        <v>5216</v>
      </c>
      <c r="BC392" s="54" t="s">
        <v>41</v>
      </c>
      <c r="BD392" s="54" t="str">
        <f t="shared" si="1"/>
        <v>Cercado de Lima</v>
      </c>
      <c r="BE392" s="67" t="s">
        <v>140</v>
      </c>
      <c r="BF392" s="67" t="s">
        <v>141</v>
      </c>
      <c r="BG392" s="67" t="s">
        <v>142</v>
      </c>
      <c r="BH392" s="67"/>
      <c r="BI392" s="67"/>
      <c r="BJ392" s="67"/>
      <c r="BK392" s="67"/>
      <c r="BL392" s="67" t="s">
        <v>145</v>
      </c>
      <c r="BM392" s="67" t="s">
        <v>146</v>
      </c>
      <c r="BN392" s="100">
        <v>170.0</v>
      </c>
      <c r="BO392" s="102" t="s">
        <v>148</v>
      </c>
      <c r="BP392" s="67" t="s">
        <v>144</v>
      </c>
      <c r="BQ392" s="79" t="s">
        <v>141</v>
      </c>
      <c r="BR392" s="67">
        <v>2.0</v>
      </c>
      <c r="BS392" s="102">
        <v>1.0</v>
      </c>
      <c r="BT392" s="106">
        <v>46246.0</v>
      </c>
      <c r="BU392" s="107">
        <v>7.0</v>
      </c>
      <c r="BV392" s="108">
        <f t="shared" si="2"/>
        <v>46245</v>
      </c>
      <c r="BW392" s="108">
        <f t="shared" si="16"/>
        <v>46246</v>
      </c>
      <c r="BX392" s="102" t="str">
        <f t="shared" si="15"/>
        <v>16</v>
      </c>
      <c r="BY392" s="107">
        <f t="shared" si="5"/>
        <v>5</v>
      </c>
      <c r="BZ392" s="107">
        <f t="array" ref="BZ392">IF($A392&lt;&gt;"",INDEX(LISTA!$M$2:$N$27,MATCH($BC392,LISTA!$N$2:$N$27,0),1),"")</f>
        <v>1</v>
      </c>
      <c r="CA392" s="67">
        <f t="shared" si="6"/>
        <v>8</v>
      </c>
      <c r="CB392" s="114">
        <f t="shared" si="7"/>
        <v>8</v>
      </c>
      <c r="CC392" s="160">
        <v>5.8294999E7</v>
      </c>
    </row>
    <row r="393" ht="15.0" customHeight="1">
      <c r="A393" s="59">
        <v>46245.45886211806</v>
      </c>
      <c r="B393" s="62" t="s">
        <v>105</v>
      </c>
      <c r="C393" s="54" t="s">
        <v>100</v>
      </c>
      <c r="D393" s="56" t="s">
        <v>319</v>
      </c>
      <c r="E393" s="69">
        <v>46247.375</v>
      </c>
      <c r="F393" s="162" t="s">
        <v>5217</v>
      </c>
      <c r="G393" s="60" t="s">
        <v>5218</v>
      </c>
      <c r="H393" s="60" t="s">
        <v>5219</v>
      </c>
      <c r="I393" s="67" t="s">
        <v>382</v>
      </c>
      <c r="J393" s="79" t="s">
        <v>5220</v>
      </c>
      <c r="K393" s="67" t="s">
        <v>1151</v>
      </c>
      <c r="L393" s="79" t="s">
        <v>5221</v>
      </c>
      <c r="M393" s="83" t="s">
        <v>5222</v>
      </c>
      <c r="N393" s="78">
        <v>31452.0</v>
      </c>
      <c r="O393" s="80" t="s">
        <v>41</v>
      </c>
      <c r="P393" s="70">
        <v>150101.0</v>
      </c>
      <c r="Q393" s="54"/>
      <c r="R393" s="84"/>
      <c r="S393" s="84"/>
      <c r="T393" s="54"/>
      <c r="U393" s="86"/>
      <c r="V393" s="54"/>
      <c r="W393" s="86"/>
      <c r="X393" s="54"/>
      <c r="Y393" s="78"/>
      <c r="Z393" s="54"/>
      <c r="AA393" s="70"/>
      <c r="AB393" s="83"/>
      <c r="AC393" s="83"/>
      <c r="AD393" s="83"/>
      <c r="AE393" s="83"/>
      <c r="AF393" s="83" t="s">
        <v>577</v>
      </c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54" t="s">
        <v>716</v>
      </c>
      <c r="AR393" s="83" t="s">
        <v>768</v>
      </c>
      <c r="AS393" s="83" t="s">
        <v>5223</v>
      </c>
      <c r="AT393" s="93" t="s">
        <v>5220</v>
      </c>
      <c r="AU393" s="93" t="s">
        <v>5220</v>
      </c>
      <c r="AV393" s="93" t="s">
        <v>5220</v>
      </c>
      <c r="AW393" s="83" t="s">
        <v>5224</v>
      </c>
      <c r="AX393" s="83">
        <v>10.0</v>
      </c>
      <c r="AY393" s="83">
        <v>0.0</v>
      </c>
      <c r="AZ393" s="83" t="s">
        <v>5225</v>
      </c>
      <c r="BA393" s="83" t="s">
        <v>5226</v>
      </c>
      <c r="BB393" s="83" t="s">
        <v>5227</v>
      </c>
      <c r="BC393" s="54" t="s">
        <v>41</v>
      </c>
      <c r="BD393" s="54" t="str">
        <f t="shared" si="1"/>
        <v>Rimac</v>
      </c>
      <c r="BE393" s="67" t="s">
        <v>140</v>
      </c>
      <c r="BF393" s="67" t="s">
        <v>141</v>
      </c>
      <c r="BG393" s="67" t="s">
        <v>142</v>
      </c>
      <c r="BH393" s="67"/>
      <c r="BI393" s="67"/>
      <c r="BJ393" s="67"/>
      <c r="BK393" s="67"/>
      <c r="BL393" s="67" t="s">
        <v>147</v>
      </c>
      <c r="BM393" s="67" t="s">
        <v>146</v>
      </c>
      <c r="BN393" s="100">
        <v>89.0</v>
      </c>
      <c r="BO393" s="102" t="s">
        <v>148</v>
      </c>
      <c r="BP393" s="67" t="s">
        <v>141</v>
      </c>
      <c r="BQ393" s="79" t="s">
        <v>141</v>
      </c>
      <c r="BR393" s="67" t="s">
        <v>149</v>
      </c>
      <c r="BS393" s="102">
        <v>1.0</v>
      </c>
      <c r="BT393" s="106">
        <v>46247.0</v>
      </c>
      <c r="BU393" s="107">
        <v>1.0</v>
      </c>
      <c r="BV393" s="108">
        <f t="shared" si="2"/>
        <v>46245</v>
      </c>
      <c r="BW393" s="108">
        <f t="shared" si="16"/>
        <v>46247</v>
      </c>
      <c r="BX393" s="102" t="str">
        <f t="shared" si="15"/>
        <v>09</v>
      </c>
      <c r="BY393" s="107">
        <f t="shared" si="5"/>
        <v>5</v>
      </c>
      <c r="BZ393" s="107">
        <f t="array" ref="BZ393">IF($A393&lt;&gt;"",INDEX(LISTA!$M$2:$N$27,MATCH($BC393,LISTA!$N$2:$N$27,0),1),"")</f>
        <v>1</v>
      </c>
      <c r="CA393" s="67">
        <f t="shared" si="6"/>
        <v>8</v>
      </c>
      <c r="CB393" s="114">
        <f t="shared" si="7"/>
        <v>8</v>
      </c>
      <c r="CC393" s="160">
        <v>5.8296317E7</v>
      </c>
    </row>
    <row r="394" ht="15.0" customHeight="1">
      <c r="A394" s="59">
        <v>46241.71731890047</v>
      </c>
      <c r="B394" s="62" t="s">
        <v>105</v>
      </c>
      <c r="C394" s="54" t="s">
        <v>100</v>
      </c>
      <c r="D394" s="56" t="s">
        <v>101</v>
      </c>
      <c r="E394" s="69">
        <v>46247.375</v>
      </c>
      <c r="F394" s="162" t="s">
        <v>5228</v>
      </c>
      <c r="G394" s="164" t="s">
        <v>5229</v>
      </c>
      <c r="H394" s="164" t="s">
        <v>5230</v>
      </c>
      <c r="I394" s="67" t="s">
        <v>374</v>
      </c>
      <c r="J394" s="79" t="s">
        <v>5231</v>
      </c>
      <c r="K394" s="67" t="s">
        <v>109</v>
      </c>
      <c r="L394" s="79" t="s">
        <v>5232</v>
      </c>
      <c r="M394" s="83" t="s">
        <v>5233</v>
      </c>
      <c r="N394" s="78">
        <v>34693.0</v>
      </c>
      <c r="O394" s="80" t="s">
        <v>37</v>
      </c>
      <c r="P394" s="70">
        <v>150121.0</v>
      </c>
      <c r="Q394" s="54"/>
      <c r="R394" s="84"/>
      <c r="S394" s="84"/>
      <c r="T394" s="54"/>
      <c r="U394" s="86"/>
      <c r="V394" s="54"/>
      <c r="W394" s="86"/>
      <c r="X394" s="54"/>
      <c r="Y394" s="78"/>
      <c r="Z394" s="54"/>
      <c r="AA394" s="70"/>
      <c r="AB394" s="83"/>
      <c r="AC394" s="83"/>
      <c r="AD394" s="83"/>
      <c r="AE394" s="83"/>
      <c r="AF394" s="83" t="s">
        <v>1458</v>
      </c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54" t="s">
        <v>5234</v>
      </c>
      <c r="AR394" s="83" t="s">
        <v>755</v>
      </c>
      <c r="AS394" s="83" t="s">
        <v>5235</v>
      </c>
      <c r="AT394" s="93" t="s">
        <v>5231</v>
      </c>
      <c r="AU394" s="93" t="s">
        <v>5231</v>
      </c>
      <c r="AV394" s="93" t="s">
        <v>5231</v>
      </c>
      <c r="AW394" s="83" t="s">
        <v>5236</v>
      </c>
      <c r="AX394" s="83">
        <v>3.0</v>
      </c>
      <c r="AY394" s="83">
        <v>1.0</v>
      </c>
      <c r="AZ394" s="83" t="s">
        <v>5237</v>
      </c>
      <c r="BA394" s="83" t="s">
        <v>2677</v>
      </c>
      <c r="BB394" s="83" t="s">
        <v>5238</v>
      </c>
      <c r="BC394" s="54" t="s">
        <v>41</v>
      </c>
      <c r="BD394" s="54" t="str">
        <f t="shared" si="1"/>
        <v>Pueblo Libre</v>
      </c>
      <c r="BE394" s="67" t="s">
        <v>140</v>
      </c>
      <c r="BF394" s="67" t="s">
        <v>144</v>
      </c>
      <c r="BG394" s="67" t="s">
        <v>142</v>
      </c>
      <c r="BH394" s="67"/>
      <c r="BI394" s="67"/>
      <c r="BJ394" s="67"/>
      <c r="BK394" s="67"/>
      <c r="BL394" s="67" t="s">
        <v>145</v>
      </c>
      <c r="BM394" s="67" t="s">
        <v>146</v>
      </c>
      <c r="BN394" s="100">
        <v>150.0</v>
      </c>
      <c r="BO394" s="102" t="s">
        <v>615</v>
      </c>
      <c r="BP394" s="67" t="s">
        <v>144</v>
      </c>
      <c r="BQ394" s="79" t="s">
        <v>141</v>
      </c>
      <c r="BR394" s="67">
        <v>2.0</v>
      </c>
      <c r="BS394" s="102" t="s">
        <v>149</v>
      </c>
      <c r="BT394" s="106">
        <v>46247.0</v>
      </c>
      <c r="BU394" s="107">
        <v>2.0</v>
      </c>
      <c r="BV394" s="108">
        <f t="shared" si="2"/>
        <v>46241</v>
      </c>
      <c r="BW394" s="108">
        <f t="shared" si="16"/>
        <v>46247</v>
      </c>
      <c r="BX394" s="102" t="str">
        <f t="shared" si="15"/>
        <v>09</v>
      </c>
      <c r="BY394" s="107">
        <f t="shared" si="5"/>
        <v>5</v>
      </c>
      <c r="BZ394" s="107">
        <f t="array" ref="BZ394">IF($A394&lt;&gt;"",INDEX(LISTA!$M$2:$N$27,MATCH($BC394,LISTA!$N$2:$N$27,0),1),"")</f>
        <v>1</v>
      </c>
      <c r="CA394" s="67">
        <f t="shared" si="6"/>
        <v>8</v>
      </c>
      <c r="CB394" s="114">
        <f t="shared" si="7"/>
        <v>8</v>
      </c>
      <c r="CC394" s="160">
        <v>5.8296393E7</v>
      </c>
    </row>
    <row r="395" ht="15.0" customHeight="1">
      <c r="A395" s="59">
        <v>46246.38480890046</v>
      </c>
      <c r="B395" s="62" t="s">
        <v>105</v>
      </c>
      <c r="C395" s="54" t="s">
        <v>100</v>
      </c>
      <c r="D395" s="56" t="s">
        <v>101</v>
      </c>
      <c r="E395" s="69">
        <v>46247.375</v>
      </c>
      <c r="F395" s="162"/>
      <c r="G395" s="60" t="s">
        <v>5239</v>
      </c>
      <c r="H395" s="60" t="s">
        <v>5240</v>
      </c>
      <c r="I395" s="67" t="s">
        <v>350</v>
      </c>
      <c r="J395" s="79" t="s">
        <v>5241</v>
      </c>
      <c r="K395" s="67" t="s">
        <v>109</v>
      </c>
      <c r="L395" s="79" t="s">
        <v>5242</v>
      </c>
      <c r="M395" s="83" t="s">
        <v>5243</v>
      </c>
      <c r="N395" s="78">
        <v>23685.0</v>
      </c>
      <c r="O395" s="80" t="s">
        <v>24</v>
      </c>
      <c r="P395" s="70">
        <v>20101.0</v>
      </c>
      <c r="Q395" s="54"/>
      <c r="R395" s="84"/>
      <c r="S395" s="84"/>
      <c r="T395" s="54"/>
      <c r="U395" s="86"/>
      <c r="V395" s="54"/>
      <c r="W395" s="86"/>
      <c r="X395" s="54"/>
      <c r="Y395" s="78"/>
      <c r="Z395" s="54"/>
      <c r="AA395" s="70"/>
      <c r="AB395" s="83"/>
      <c r="AC395" s="83"/>
      <c r="AD395" s="83"/>
      <c r="AE395" s="83"/>
      <c r="AF395" s="83" t="s">
        <v>165</v>
      </c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54" t="s">
        <v>5244</v>
      </c>
      <c r="AR395" s="83" t="s">
        <v>5245</v>
      </c>
      <c r="AS395" s="83" t="s">
        <v>5246</v>
      </c>
      <c r="AT395" s="93" t="s">
        <v>5241</v>
      </c>
      <c r="AU395" s="93" t="s">
        <v>5241</v>
      </c>
      <c r="AV395" s="93" t="s">
        <v>5241</v>
      </c>
      <c r="AW395" s="83" t="s">
        <v>5247</v>
      </c>
      <c r="AX395" s="83">
        <v>2.0</v>
      </c>
      <c r="AY395" s="83">
        <v>0.0</v>
      </c>
      <c r="AZ395" s="83" t="s">
        <v>5248</v>
      </c>
      <c r="BA395" s="83" t="s">
        <v>5249</v>
      </c>
      <c r="BB395" s="83" t="s">
        <v>5250</v>
      </c>
      <c r="BC395" s="54" t="s">
        <v>41</v>
      </c>
      <c r="BD395" s="54" t="str">
        <f t="shared" si="1"/>
        <v>San Martín de Porres</v>
      </c>
      <c r="BE395" s="67" t="s">
        <v>140</v>
      </c>
      <c r="BF395" s="67" t="s">
        <v>141</v>
      </c>
      <c r="BG395" s="67" t="s">
        <v>142</v>
      </c>
      <c r="BH395" s="67"/>
      <c r="BI395" s="67"/>
      <c r="BJ395" s="67"/>
      <c r="BK395" s="67"/>
      <c r="BL395" s="67" t="s">
        <v>147</v>
      </c>
      <c r="BM395" s="67" t="s">
        <v>146</v>
      </c>
      <c r="BN395" s="100">
        <v>110.0</v>
      </c>
      <c r="BO395" s="102" t="s">
        <v>182</v>
      </c>
      <c r="BP395" s="67" t="s">
        <v>144</v>
      </c>
      <c r="BQ395" s="79" t="s">
        <v>141</v>
      </c>
      <c r="BR395" s="67" t="s">
        <v>149</v>
      </c>
      <c r="BS395" s="102">
        <v>1.0</v>
      </c>
      <c r="BT395" s="106">
        <v>46247.0</v>
      </c>
      <c r="BU395" s="107">
        <v>3.0</v>
      </c>
      <c r="BV395" s="108">
        <f t="shared" si="2"/>
        <v>46246</v>
      </c>
      <c r="BW395" s="108">
        <f t="shared" si="16"/>
        <v>46247</v>
      </c>
      <c r="BX395" s="102" t="str">
        <f t="shared" si="15"/>
        <v>09</v>
      </c>
      <c r="BY395" s="107">
        <f t="shared" si="5"/>
        <v>5</v>
      </c>
      <c r="BZ395" s="107">
        <f t="array" ref="BZ395">IF($A395&lt;&gt;"",INDEX(LISTA!$M$2:$N$27,MATCH($BC395,LISTA!$N$2:$N$27,0),1),"")</f>
        <v>1</v>
      </c>
      <c r="CA395" s="67">
        <f t="shared" si="6"/>
        <v>8</v>
      </c>
      <c r="CB395" s="114">
        <f t="shared" si="7"/>
        <v>8</v>
      </c>
      <c r="CC395" s="160">
        <v>5.8300671E7</v>
      </c>
    </row>
    <row r="396" ht="15.0" customHeight="1">
      <c r="A396" s="59">
        <v>46241.46414575231</v>
      </c>
      <c r="B396" s="62" t="s">
        <v>105</v>
      </c>
      <c r="C396" s="54" t="s">
        <v>100</v>
      </c>
      <c r="D396" s="56" t="s">
        <v>101</v>
      </c>
      <c r="E396" s="69">
        <v>46248.375</v>
      </c>
      <c r="F396" s="162" t="s">
        <v>4036</v>
      </c>
      <c r="G396" s="60" t="s">
        <v>5251</v>
      </c>
      <c r="H396" s="60" t="s">
        <v>5252</v>
      </c>
      <c r="I396" s="67" t="s">
        <v>386</v>
      </c>
      <c r="J396" s="79" t="s">
        <v>5253</v>
      </c>
      <c r="K396" s="67" t="s">
        <v>109</v>
      </c>
      <c r="L396" s="79" t="s">
        <v>5254</v>
      </c>
      <c r="M396" s="83" t="s">
        <v>5255</v>
      </c>
      <c r="N396" s="78">
        <v>32832.0</v>
      </c>
      <c r="O396" s="80" t="s">
        <v>37</v>
      </c>
      <c r="P396" s="70">
        <v>150801.0</v>
      </c>
      <c r="Q396" s="54"/>
      <c r="R396" s="84"/>
      <c r="S396" s="84"/>
      <c r="T396" s="54"/>
      <c r="U396" s="86"/>
      <c r="V396" s="54"/>
      <c r="W396" s="86"/>
      <c r="X396" s="54"/>
      <c r="Y396" s="78"/>
      <c r="Z396" s="54"/>
      <c r="AA396" s="70"/>
      <c r="AB396" s="83"/>
      <c r="AC396" s="83"/>
      <c r="AD396" s="83"/>
      <c r="AE396" s="83" t="s">
        <v>230</v>
      </c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54" t="s">
        <v>5256</v>
      </c>
      <c r="AR396" s="83" t="s">
        <v>5257</v>
      </c>
      <c r="AS396" s="83" t="s">
        <v>5258</v>
      </c>
      <c r="AT396" s="93" t="s">
        <v>5259</v>
      </c>
      <c r="AU396" s="93" t="s">
        <v>5259</v>
      </c>
      <c r="AV396" s="93" t="s">
        <v>5259</v>
      </c>
      <c r="AW396" s="83" t="s">
        <v>5260</v>
      </c>
      <c r="AX396" s="83">
        <v>1.0</v>
      </c>
      <c r="AY396" s="83" t="s">
        <v>1657</v>
      </c>
      <c r="AZ396" s="83" t="s">
        <v>5261</v>
      </c>
      <c r="BA396" s="83" t="s">
        <v>1657</v>
      </c>
      <c r="BB396" s="83" t="s">
        <v>5262</v>
      </c>
      <c r="BC396" s="54" t="s">
        <v>37</v>
      </c>
      <c r="BD396" s="54" t="str">
        <f t="shared" si="1"/>
        <v>Huaura</v>
      </c>
      <c r="BE396" s="67" t="s">
        <v>143</v>
      </c>
      <c r="BF396" s="67" t="s">
        <v>144</v>
      </c>
      <c r="BG396" s="67" t="s">
        <v>142</v>
      </c>
      <c r="BH396" s="67"/>
      <c r="BI396" s="67"/>
      <c r="BJ396" s="67"/>
      <c r="BK396" s="67"/>
      <c r="BL396" s="67" t="s">
        <v>147</v>
      </c>
      <c r="BM396" s="67" t="s">
        <v>146</v>
      </c>
      <c r="BN396" s="100">
        <v>89.0</v>
      </c>
      <c r="BO396" s="102" t="s">
        <v>148</v>
      </c>
      <c r="BP396" s="67" t="s">
        <v>141</v>
      </c>
      <c r="BQ396" s="79" t="s">
        <v>141</v>
      </c>
      <c r="BR396" s="67" t="s">
        <v>149</v>
      </c>
      <c r="BS396" s="102" t="s">
        <v>149</v>
      </c>
      <c r="BT396" s="106">
        <v>46247.0</v>
      </c>
      <c r="BU396" s="107">
        <v>4.0</v>
      </c>
      <c r="BV396" s="108">
        <f t="shared" si="2"/>
        <v>46241</v>
      </c>
      <c r="BW396" s="108">
        <f t="shared" si="16"/>
        <v>46248</v>
      </c>
      <c r="BX396" s="102" t="str">
        <f t="shared" si="15"/>
        <v>09</v>
      </c>
      <c r="BY396" s="107">
        <f t="shared" si="5"/>
        <v>5</v>
      </c>
      <c r="BZ396" s="107">
        <f t="array" ref="BZ396">IF($A396&lt;&gt;"",INDEX(LISTA!$M$2:$N$27,MATCH($BC396,LISTA!$N$2:$N$27,0),1),"")</f>
        <v>3</v>
      </c>
      <c r="CA396" s="67">
        <f t="shared" si="6"/>
        <v>8</v>
      </c>
      <c r="CB396" s="114">
        <f t="shared" si="7"/>
        <v>8</v>
      </c>
      <c r="CC396" s="160">
        <v>5.8304121E7</v>
      </c>
    </row>
    <row r="397" ht="15.0" customHeight="1">
      <c r="A397" s="59">
        <v>46246.40843952546</v>
      </c>
      <c r="B397" s="62" t="s">
        <v>105</v>
      </c>
      <c r="C397" s="54" t="s">
        <v>100</v>
      </c>
      <c r="D397" s="56" t="s">
        <v>319</v>
      </c>
      <c r="E397" s="69">
        <v>46247.375</v>
      </c>
      <c r="F397" s="162"/>
      <c r="G397" s="60" t="s">
        <v>5263</v>
      </c>
      <c r="H397" s="60" t="s">
        <v>5264</v>
      </c>
      <c r="I397" s="67" t="s">
        <v>378</v>
      </c>
      <c r="J397" s="79" t="s">
        <v>5265</v>
      </c>
      <c r="K397" s="67" t="s">
        <v>109</v>
      </c>
      <c r="L397" s="79" t="s">
        <v>5266</v>
      </c>
      <c r="M397" s="83" t="s">
        <v>5267</v>
      </c>
      <c r="N397" s="78">
        <v>27342.0</v>
      </c>
      <c r="O397" s="80" t="s">
        <v>23</v>
      </c>
      <c r="P397" s="156" t="s">
        <v>5268</v>
      </c>
      <c r="Q397" s="54"/>
      <c r="R397" s="84"/>
      <c r="S397" s="84"/>
      <c r="T397" s="54"/>
      <c r="U397" s="86"/>
      <c r="V397" s="54"/>
      <c r="W397" s="86"/>
      <c r="X397" s="54"/>
      <c r="Y397" s="78"/>
      <c r="Z397" s="54"/>
      <c r="AA397" s="70"/>
      <c r="AB397" s="83"/>
      <c r="AC397" s="83"/>
      <c r="AD397" s="83"/>
      <c r="AE397" s="83"/>
      <c r="AF397" s="83" t="s">
        <v>2735</v>
      </c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54" t="s">
        <v>5269</v>
      </c>
      <c r="AR397" s="83" t="s">
        <v>5270</v>
      </c>
      <c r="AS397" s="83" t="s">
        <v>5271</v>
      </c>
      <c r="AT397" s="93" t="s">
        <v>5272</v>
      </c>
      <c r="AU397" s="93" t="s">
        <v>5272</v>
      </c>
      <c r="AV397" s="93" t="s">
        <v>5272</v>
      </c>
      <c r="AW397" s="83" t="s">
        <v>5273</v>
      </c>
      <c r="AX397" s="83">
        <v>3.0</v>
      </c>
      <c r="AY397" s="83">
        <v>0.0</v>
      </c>
      <c r="AZ397" s="83" t="s">
        <v>5274</v>
      </c>
      <c r="BA397" s="83" t="s">
        <v>5275</v>
      </c>
      <c r="BB397" s="83" t="s">
        <v>5276</v>
      </c>
      <c r="BC397" s="54" t="s">
        <v>41</v>
      </c>
      <c r="BD397" s="54" t="str">
        <f t="shared" si="1"/>
        <v>San Miguel</v>
      </c>
      <c r="BE397" s="67" t="s">
        <v>140</v>
      </c>
      <c r="BF397" s="67" t="s">
        <v>141</v>
      </c>
      <c r="BG397" s="67" t="s">
        <v>142</v>
      </c>
      <c r="BH397" s="67"/>
      <c r="BI397" s="67"/>
      <c r="BJ397" s="67"/>
      <c r="BK397" s="67"/>
      <c r="BL397" s="67" t="s">
        <v>147</v>
      </c>
      <c r="BM397" s="67" t="s">
        <v>146</v>
      </c>
      <c r="BN397" s="100">
        <v>89.0</v>
      </c>
      <c r="BO397" s="102" t="s">
        <v>148</v>
      </c>
      <c r="BP397" s="67" t="s">
        <v>141</v>
      </c>
      <c r="BQ397" s="79" t="s">
        <v>141</v>
      </c>
      <c r="BR397" s="67" t="s">
        <v>149</v>
      </c>
      <c r="BS397" s="102">
        <v>1.0</v>
      </c>
      <c r="BT397" s="106">
        <v>46247.0</v>
      </c>
      <c r="BU397" s="107">
        <v>5.0</v>
      </c>
      <c r="BV397" s="108">
        <f t="shared" si="2"/>
        <v>46246</v>
      </c>
      <c r="BW397" s="108">
        <f t="shared" si="16"/>
        <v>46247</v>
      </c>
      <c r="BX397" s="102" t="str">
        <f t="shared" si="15"/>
        <v>09</v>
      </c>
      <c r="BY397" s="107">
        <f t="shared" si="5"/>
        <v>5</v>
      </c>
      <c r="BZ397" s="107">
        <f t="array" ref="BZ397">IF($A397&lt;&gt;"",INDEX(LISTA!$M$2:$N$27,MATCH($BC397,LISTA!$N$2:$N$27,0),1),"")</f>
        <v>1</v>
      </c>
      <c r="CA397" s="67">
        <f t="shared" si="6"/>
        <v>8</v>
      </c>
      <c r="CB397" s="114">
        <f t="shared" si="7"/>
        <v>8</v>
      </c>
      <c r="CC397" s="160">
        <v>5.8301584E7</v>
      </c>
    </row>
    <row r="398" ht="15.0" customHeight="1">
      <c r="A398" s="59">
        <v>46247.67731142361</v>
      </c>
      <c r="B398" s="62" t="s">
        <v>105</v>
      </c>
      <c r="C398" s="54" t="s">
        <v>100</v>
      </c>
      <c r="D398" s="56" t="s">
        <v>319</v>
      </c>
      <c r="E398" s="69">
        <v>46248.375</v>
      </c>
      <c r="F398" s="162"/>
      <c r="G398" s="60" t="s">
        <v>5277</v>
      </c>
      <c r="H398" s="60" t="s">
        <v>5278</v>
      </c>
      <c r="I398" s="67" t="s">
        <v>107</v>
      </c>
      <c r="J398" s="79" t="s">
        <v>5279</v>
      </c>
      <c r="K398" s="67" t="s">
        <v>109</v>
      </c>
      <c r="L398" s="79" t="s">
        <v>5280</v>
      </c>
      <c r="M398" s="83" t="s">
        <v>5281</v>
      </c>
      <c r="N398" s="78">
        <v>18078.0</v>
      </c>
      <c r="O398" s="80" t="s">
        <v>46</v>
      </c>
      <c r="P398" s="70">
        <v>190601.0</v>
      </c>
      <c r="Q398" s="54"/>
      <c r="R398" s="84"/>
      <c r="S398" s="84"/>
      <c r="T398" s="54"/>
      <c r="U398" s="86"/>
      <c r="V398" s="54"/>
      <c r="W398" s="86"/>
      <c r="X398" s="54"/>
      <c r="Y398" s="78"/>
      <c r="Z398" s="54"/>
      <c r="AA398" s="70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 t="s">
        <v>1232</v>
      </c>
      <c r="AL398" s="83"/>
      <c r="AM398" s="83"/>
      <c r="AN398" s="83"/>
      <c r="AO398" s="83"/>
      <c r="AP398" s="83"/>
      <c r="AQ398" s="54" t="s">
        <v>2146</v>
      </c>
      <c r="AR398" s="83" t="s">
        <v>5282</v>
      </c>
      <c r="AS398" s="83" t="s">
        <v>5283</v>
      </c>
      <c r="AT398" s="93" t="s">
        <v>5279</v>
      </c>
      <c r="AU398" s="93" t="s">
        <v>5284</v>
      </c>
      <c r="AV398" s="93" t="s">
        <v>5279</v>
      </c>
      <c r="AW398" s="83" t="s">
        <v>5285</v>
      </c>
      <c r="AX398" s="83">
        <v>1.0</v>
      </c>
      <c r="AY398" s="83">
        <v>1.0</v>
      </c>
      <c r="AZ398" s="83" t="s">
        <v>5286</v>
      </c>
      <c r="BA398" s="83" t="s">
        <v>5287</v>
      </c>
      <c r="BB398" s="83" t="s">
        <v>5288</v>
      </c>
      <c r="BC398" s="54" t="s">
        <v>46</v>
      </c>
      <c r="BD398" s="54" t="str">
        <f t="shared" si="1"/>
        <v>Sullana</v>
      </c>
      <c r="BE398" s="67" t="s">
        <v>140</v>
      </c>
      <c r="BF398" s="67" t="s">
        <v>141</v>
      </c>
      <c r="BG398" s="67" t="s">
        <v>142</v>
      </c>
      <c r="BH398" s="67"/>
      <c r="BI398" s="67"/>
      <c r="BJ398" s="67"/>
      <c r="BK398" s="67"/>
      <c r="BL398" s="67" t="s">
        <v>145</v>
      </c>
      <c r="BM398" s="67" t="s">
        <v>146</v>
      </c>
      <c r="BN398" s="100">
        <v>170.0</v>
      </c>
      <c r="BO398" s="102" t="s">
        <v>148</v>
      </c>
      <c r="BP398" s="67"/>
      <c r="BQ398" s="79" t="s">
        <v>144</v>
      </c>
      <c r="BR398" s="67">
        <v>2.0</v>
      </c>
      <c r="BS398" s="102">
        <v>1.0</v>
      </c>
      <c r="BT398" s="106">
        <v>46248.0</v>
      </c>
      <c r="BU398" s="107">
        <v>1.0</v>
      </c>
      <c r="BV398" s="108">
        <f t="shared" si="2"/>
        <v>46247</v>
      </c>
      <c r="BW398" s="108">
        <f t="shared" si="16"/>
        <v>46248</v>
      </c>
      <c r="BX398" s="102" t="str">
        <f t="shared" si="15"/>
        <v>09</v>
      </c>
      <c r="BY398" s="107">
        <f t="shared" si="5"/>
        <v>5</v>
      </c>
      <c r="BZ398" s="107">
        <f t="array" ref="BZ398">IF($A398&lt;&gt;"",INDEX(LISTA!$M$2:$N$27,MATCH($BC398,LISTA!$N$2:$N$27,0),1),"")</f>
        <v>21</v>
      </c>
      <c r="CA398" s="67">
        <f t="shared" si="6"/>
        <v>8</v>
      </c>
      <c r="CB398" s="114">
        <f t="shared" si="7"/>
        <v>8</v>
      </c>
      <c r="CC398" s="160">
        <v>5.8314894E7</v>
      </c>
    </row>
    <row r="399" ht="15.0" customHeight="1">
      <c r="A399" s="59">
        <v>46247.55154195602</v>
      </c>
      <c r="B399" s="62" t="s">
        <v>105</v>
      </c>
      <c r="C399" s="54" t="s">
        <v>100</v>
      </c>
      <c r="D399" s="56" t="s">
        <v>319</v>
      </c>
      <c r="E399" s="69">
        <v>46248.583333333336</v>
      </c>
      <c r="F399" s="162"/>
      <c r="G399" s="60" t="s">
        <v>5289</v>
      </c>
      <c r="H399" s="60" t="s">
        <v>5290</v>
      </c>
      <c r="I399" s="67" t="s">
        <v>382</v>
      </c>
      <c r="J399" s="79" t="s">
        <v>5291</v>
      </c>
      <c r="K399" s="67" t="s">
        <v>109</v>
      </c>
      <c r="L399" s="79" t="s">
        <v>5292</v>
      </c>
      <c r="M399" s="83" t="s">
        <v>5293</v>
      </c>
      <c r="N399" s="78">
        <v>27590.0</v>
      </c>
      <c r="O399" s="80" t="s">
        <v>39</v>
      </c>
      <c r="P399" s="70">
        <v>131007.0</v>
      </c>
      <c r="Q399" s="54"/>
      <c r="R399" s="84"/>
      <c r="S399" s="84"/>
      <c r="T399" s="54"/>
      <c r="U399" s="86"/>
      <c r="V399" s="54"/>
      <c r="W399" s="86"/>
      <c r="X399" s="54"/>
      <c r="Y399" s="78"/>
      <c r="Z399" s="54"/>
      <c r="AA399" s="70"/>
      <c r="AB399" s="83"/>
      <c r="AC399" s="83" t="s">
        <v>1690</v>
      </c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54" t="s">
        <v>5294</v>
      </c>
      <c r="AR399" s="83" t="s">
        <v>5295</v>
      </c>
      <c r="AS399" s="83" t="s">
        <v>5296</v>
      </c>
      <c r="AT399" s="93" t="s">
        <v>5291</v>
      </c>
      <c r="AU399" s="93" t="s">
        <v>5297</v>
      </c>
      <c r="AV399" s="93" t="s">
        <v>5297</v>
      </c>
      <c r="AW399" s="83" t="s">
        <v>5298</v>
      </c>
      <c r="AX399" s="83">
        <v>3.0</v>
      </c>
      <c r="AY399" s="83">
        <v>0.0</v>
      </c>
      <c r="AZ399" s="83" t="s">
        <v>5299</v>
      </c>
      <c r="BA399" s="83" t="s">
        <v>5300</v>
      </c>
      <c r="BB399" s="83" t="s">
        <v>5301</v>
      </c>
      <c r="BC399" s="54" t="s">
        <v>39</v>
      </c>
      <c r="BD399" s="54" t="str">
        <f t="shared" si="1"/>
        <v>Trujillo</v>
      </c>
      <c r="BE399" s="67" t="s">
        <v>140</v>
      </c>
      <c r="BF399" s="67" t="s">
        <v>144</v>
      </c>
      <c r="BG399" s="67" t="s">
        <v>142</v>
      </c>
      <c r="BH399" s="67"/>
      <c r="BI399" s="67"/>
      <c r="BJ399" s="67"/>
      <c r="BK399" s="67"/>
      <c r="BL399" s="67" t="s">
        <v>147</v>
      </c>
      <c r="BM399" s="67" t="s">
        <v>146</v>
      </c>
      <c r="BN399" s="100">
        <v>89.0</v>
      </c>
      <c r="BO399" s="102" t="s">
        <v>148</v>
      </c>
      <c r="BP399" s="67" t="s">
        <v>141</v>
      </c>
      <c r="BQ399" s="79" t="s">
        <v>141</v>
      </c>
      <c r="BR399" s="67" t="s">
        <v>149</v>
      </c>
      <c r="BS399" s="102">
        <v>1.0</v>
      </c>
      <c r="BT399" s="106">
        <v>46248.0</v>
      </c>
      <c r="BU399" s="107">
        <v>2.0</v>
      </c>
      <c r="BV399" s="108">
        <f t="shared" si="2"/>
        <v>46247</v>
      </c>
      <c r="BW399" s="108">
        <f t="shared" si="16"/>
        <v>46248</v>
      </c>
      <c r="BX399" s="102" t="str">
        <f t="shared" si="15"/>
        <v>14</v>
      </c>
      <c r="BY399" s="107">
        <f t="shared" si="5"/>
        <v>5</v>
      </c>
      <c r="BZ399" s="107">
        <f t="array" ref="BZ399">IF($A399&lt;&gt;"",INDEX(LISTA!$M$2:$N$27,MATCH($BC399,LISTA!$N$2:$N$27,0),1),"")</f>
        <v>15</v>
      </c>
      <c r="CA399" s="67">
        <f t="shared" si="6"/>
        <v>8</v>
      </c>
      <c r="CB399" s="114">
        <f t="shared" si="7"/>
        <v>8</v>
      </c>
      <c r="CC399" s="160">
        <v>5.831278E7</v>
      </c>
    </row>
    <row r="400" ht="15.0" customHeight="1">
      <c r="A400" s="59">
        <v>46246.72912549769</v>
      </c>
      <c r="B400" s="62" t="s">
        <v>105</v>
      </c>
      <c r="C400" s="54" t="s">
        <v>100</v>
      </c>
      <c r="D400" s="56" t="s">
        <v>319</v>
      </c>
      <c r="E400" s="69">
        <v>46248.375</v>
      </c>
      <c r="F400" s="162"/>
      <c r="G400" s="60" t="s">
        <v>5302</v>
      </c>
      <c r="H400" s="60" t="s">
        <v>5303</v>
      </c>
      <c r="I400" s="67" t="s">
        <v>350</v>
      </c>
      <c r="J400" s="79" t="s">
        <v>5304</v>
      </c>
      <c r="K400" s="67" t="s">
        <v>109</v>
      </c>
      <c r="L400" s="79" t="s">
        <v>5305</v>
      </c>
      <c r="M400" s="83" t="s">
        <v>5306</v>
      </c>
      <c r="N400" s="78">
        <v>32684.0</v>
      </c>
      <c r="O400" s="80" t="s">
        <v>41</v>
      </c>
      <c r="P400" s="70">
        <v>150113.0</v>
      </c>
      <c r="Q400" s="54"/>
      <c r="R400" s="84"/>
      <c r="S400" s="84"/>
      <c r="T400" s="54"/>
      <c r="U400" s="86"/>
      <c r="V400" s="54"/>
      <c r="W400" s="86"/>
      <c r="X400" s="54"/>
      <c r="Y400" s="78"/>
      <c r="Z400" s="54"/>
      <c r="AA400" s="70"/>
      <c r="AB400" s="83"/>
      <c r="AC400" s="83"/>
      <c r="AD400" s="83"/>
      <c r="AE400" s="83"/>
      <c r="AF400" s="83" t="s">
        <v>972</v>
      </c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54" t="s">
        <v>5307</v>
      </c>
      <c r="AR400" s="83" t="s">
        <v>5282</v>
      </c>
      <c r="AS400" s="83" t="s">
        <v>5308</v>
      </c>
      <c r="AT400" s="93" t="s">
        <v>5304</v>
      </c>
      <c r="AU400" s="93" t="s">
        <v>5304</v>
      </c>
      <c r="AV400" s="93" t="s">
        <v>5304</v>
      </c>
      <c r="AW400" s="83" t="s">
        <v>5309</v>
      </c>
      <c r="AX400" s="83">
        <v>2.0</v>
      </c>
      <c r="AY400" s="83">
        <v>0.0</v>
      </c>
      <c r="AZ400" s="83" t="s">
        <v>5308</v>
      </c>
      <c r="BA400" s="83" t="s">
        <v>5310</v>
      </c>
      <c r="BB400" s="83" t="s">
        <v>5311</v>
      </c>
      <c r="BC400" s="54" t="s">
        <v>41</v>
      </c>
      <c r="BD400" s="54" t="str">
        <f t="shared" si="1"/>
        <v>San Juan de Lurigancho</v>
      </c>
      <c r="BE400" s="67" t="s">
        <v>140</v>
      </c>
      <c r="BF400" s="67" t="s">
        <v>141</v>
      </c>
      <c r="BG400" s="67" t="s">
        <v>142</v>
      </c>
      <c r="BH400" s="67"/>
      <c r="BI400" s="67"/>
      <c r="BJ400" s="67"/>
      <c r="BK400" s="67"/>
      <c r="BL400" s="67" t="s">
        <v>727</v>
      </c>
      <c r="BM400" s="67" t="s">
        <v>146</v>
      </c>
      <c r="BN400" s="100">
        <v>175.0</v>
      </c>
      <c r="BO400" s="102" t="s">
        <v>148</v>
      </c>
      <c r="BP400" s="67" t="s">
        <v>141</v>
      </c>
      <c r="BQ400" s="79" t="s">
        <v>141</v>
      </c>
      <c r="BR400" s="67">
        <v>2.0</v>
      </c>
      <c r="BS400" s="102">
        <v>1.0</v>
      </c>
      <c r="BT400" s="106">
        <v>46248.0</v>
      </c>
      <c r="BU400" s="107">
        <v>3.0</v>
      </c>
      <c r="BV400" s="108">
        <f t="shared" si="2"/>
        <v>46246</v>
      </c>
      <c r="BW400" s="108">
        <f t="shared" si="16"/>
        <v>46248</v>
      </c>
      <c r="BX400" s="102" t="str">
        <f t="shared" si="15"/>
        <v>09</v>
      </c>
      <c r="BY400" s="107">
        <f t="shared" si="5"/>
        <v>5</v>
      </c>
      <c r="BZ400" s="107">
        <f t="array" ref="BZ400">IF($A400&lt;&gt;"",INDEX(LISTA!$M$2:$N$27,MATCH($BC400,LISTA!$N$2:$N$27,0),1),"")</f>
        <v>1</v>
      </c>
      <c r="CA400" s="67">
        <f t="shared" si="6"/>
        <v>8</v>
      </c>
      <c r="CB400" s="114">
        <f t="shared" si="7"/>
        <v>8</v>
      </c>
      <c r="CC400" s="160">
        <v>5.8307554E7</v>
      </c>
    </row>
    <row r="401" ht="15.0" customHeight="1">
      <c r="A401" s="59">
        <v>46248.40359120371</v>
      </c>
      <c r="B401" s="62" t="s">
        <v>105</v>
      </c>
      <c r="C401" s="54" t="s">
        <v>100</v>
      </c>
      <c r="D401" s="154" t="s">
        <v>319</v>
      </c>
      <c r="E401" s="69">
        <v>46249.583333333336</v>
      </c>
      <c r="F401" s="162"/>
      <c r="G401" s="60" t="s">
        <v>5312</v>
      </c>
      <c r="H401" s="60" t="s">
        <v>5313</v>
      </c>
      <c r="I401" s="67" t="s">
        <v>405</v>
      </c>
      <c r="J401" s="79" t="s">
        <v>5314</v>
      </c>
      <c r="K401" s="67" t="s">
        <v>109</v>
      </c>
      <c r="L401" s="79" t="s">
        <v>5315</v>
      </c>
      <c r="M401" s="83" t="s">
        <v>5316</v>
      </c>
      <c r="N401" s="78">
        <v>30730.0</v>
      </c>
      <c r="O401" s="80" t="s">
        <v>36</v>
      </c>
      <c r="P401" s="70">
        <v>110508.0</v>
      </c>
      <c r="Q401" s="54"/>
      <c r="R401" s="84"/>
      <c r="S401" s="84"/>
      <c r="T401" s="54"/>
      <c r="U401" s="86"/>
      <c r="V401" s="54"/>
      <c r="W401" s="86"/>
      <c r="X401" s="54"/>
      <c r="Y401" s="78"/>
      <c r="Z401" s="54"/>
      <c r="AA401" s="70"/>
      <c r="AB401" s="83" t="s">
        <v>5317</v>
      </c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54" t="s">
        <v>3102</v>
      </c>
      <c r="AR401" s="83" t="s">
        <v>5318</v>
      </c>
      <c r="AS401" s="83" t="s">
        <v>5319</v>
      </c>
      <c r="AT401" s="93" t="s">
        <v>5314</v>
      </c>
      <c r="AU401" s="93" t="s">
        <v>5314</v>
      </c>
      <c r="AV401" s="93" t="s">
        <v>5314</v>
      </c>
      <c r="AW401" s="83" t="s">
        <v>5320</v>
      </c>
      <c r="AX401" s="83">
        <v>1.0</v>
      </c>
      <c r="AY401" s="83" t="s">
        <v>2519</v>
      </c>
      <c r="AZ401" s="83" t="s">
        <v>5321</v>
      </c>
      <c r="BA401" s="83" t="s">
        <v>5322</v>
      </c>
      <c r="BB401" s="83" t="s">
        <v>5323</v>
      </c>
      <c r="BC401" s="54" t="s">
        <v>36</v>
      </c>
      <c r="BD401" s="54" t="str">
        <f t="shared" si="1"/>
        <v>Yauli</v>
      </c>
      <c r="BE401" s="67" t="s">
        <v>140</v>
      </c>
      <c r="BF401" s="67" t="s">
        <v>144</v>
      </c>
      <c r="BG401" s="67" t="s">
        <v>142</v>
      </c>
      <c r="BH401" s="67"/>
      <c r="BI401" s="67"/>
      <c r="BJ401" s="67"/>
      <c r="BK401" s="67"/>
      <c r="BL401" s="67" t="s">
        <v>147</v>
      </c>
      <c r="BM401" s="67" t="s">
        <v>146</v>
      </c>
      <c r="BN401" s="100">
        <v>89.0</v>
      </c>
      <c r="BO401" s="102" t="s">
        <v>148</v>
      </c>
      <c r="BP401" s="67" t="s">
        <v>141</v>
      </c>
      <c r="BQ401" s="79" t="s">
        <v>141</v>
      </c>
      <c r="BR401" s="67" t="s">
        <v>149</v>
      </c>
      <c r="BS401" s="102">
        <v>1.0</v>
      </c>
      <c r="BT401" s="106">
        <v>46249.0</v>
      </c>
      <c r="BU401" s="107">
        <v>1.0</v>
      </c>
      <c r="BV401" s="108">
        <f t="shared" si="2"/>
        <v>46248</v>
      </c>
      <c r="BW401" s="108">
        <f t="shared" si="16"/>
        <v>46249</v>
      </c>
      <c r="BX401" s="102" t="str">
        <f t="shared" si="15"/>
        <v>14</v>
      </c>
      <c r="BY401" s="107">
        <f t="shared" si="5"/>
        <v>5</v>
      </c>
      <c r="BZ401" s="107">
        <f t="array" ref="BZ401">IF($A401&lt;&gt;"",INDEX(LISTA!$M$2:$N$27,MATCH($BC401,LISTA!$N$2:$N$27,0),1),"")</f>
        <v>14</v>
      </c>
      <c r="CA401" s="67">
        <f t="shared" si="6"/>
        <v>8</v>
      </c>
      <c r="CB401" s="114">
        <f t="shared" si="7"/>
        <v>8</v>
      </c>
      <c r="CC401" s="160">
        <v>5.831788E7</v>
      </c>
    </row>
    <row r="402" ht="15.0" customHeight="1">
      <c r="A402" s="59">
        <v>46242.53726403935</v>
      </c>
      <c r="B402" s="62" t="s">
        <v>105</v>
      </c>
      <c r="C402" s="54" t="s">
        <v>100</v>
      </c>
      <c r="D402" s="56" t="s">
        <v>319</v>
      </c>
      <c r="E402" s="69">
        <v>46249.583333333336</v>
      </c>
      <c r="F402" s="162" t="s">
        <v>5324</v>
      </c>
      <c r="G402" s="60" t="s">
        <v>5325</v>
      </c>
      <c r="H402" s="60" t="s">
        <v>5326</v>
      </c>
      <c r="I402" s="67" t="s">
        <v>378</v>
      </c>
      <c r="J402" s="79" t="s">
        <v>5327</v>
      </c>
      <c r="K402" s="67" t="s">
        <v>109</v>
      </c>
      <c r="L402" s="79" t="s">
        <v>5328</v>
      </c>
      <c r="M402" s="83" t="s">
        <v>5329</v>
      </c>
      <c r="N402" s="78">
        <v>30013.0</v>
      </c>
      <c r="O402" s="80" t="s">
        <v>37</v>
      </c>
      <c r="P402" s="70">
        <v>140101.0</v>
      </c>
      <c r="Q402" s="54"/>
      <c r="R402" s="84"/>
      <c r="S402" s="84"/>
      <c r="T402" s="54"/>
      <c r="U402" s="86"/>
      <c r="V402" s="54"/>
      <c r="W402" s="86"/>
      <c r="X402" s="54"/>
      <c r="Y402" s="78"/>
      <c r="Z402" s="54"/>
      <c r="AA402" s="70"/>
      <c r="AB402" s="83"/>
      <c r="AC402" s="83"/>
      <c r="AD402" s="83"/>
      <c r="AE402" s="83"/>
      <c r="AF402" s="83" t="s">
        <v>300</v>
      </c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54" t="s">
        <v>2893</v>
      </c>
      <c r="AR402" s="83" t="s">
        <v>755</v>
      </c>
      <c r="AS402" s="83" t="s">
        <v>5330</v>
      </c>
      <c r="AT402" s="93" t="s">
        <v>5327</v>
      </c>
      <c r="AU402" s="93" t="s">
        <v>5327</v>
      </c>
      <c r="AV402" s="93" t="s">
        <v>5327</v>
      </c>
      <c r="AW402" s="83" t="s">
        <v>5331</v>
      </c>
      <c r="AX402" s="83">
        <v>2.0</v>
      </c>
      <c r="AY402" s="83">
        <v>202.0</v>
      </c>
      <c r="AZ402" s="83" t="s">
        <v>5332</v>
      </c>
      <c r="BA402" s="83" t="s">
        <v>5333</v>
      </c>
      <c r="BB402" s="83" t="s">
        <v>5334</v>
      </c>
      <c r="BC402" s="54" t="s">
        <v>41</v>
      </c>
      <c r="BD402" s="54" t="str">
        <f t="shared" si="1"/>
        <v>Ate</v>
      </c>
      <c r="BE402" s="67" t="s">
        <v>140</v>
      </c>
      <c r="BF402" s="67" t="s">
        <v>144</v>
      </c>
      <c r="BG402" s="67" t="s">
        <v>142</v>
      </c>
      <c r="BH402" s="67"/>
      <c r="BI402" s="67"/>
      <c r="BJ402" s="67"/>
      <c r="BK402" s="67"/>
      <c r="BL402" s="67" t="s">
        <v>147</v>
      </c>
      <c r="BM402" s="67" t="s">
        <v>146</v>
      </c>
      <c r="BN402" s="100">
        <v>89.0</v>
      </c>
      <c r="BO402" s="102" t="s">
        <v>148</v>
      </c>
      <c r="BP402" s="67" t="s">
        <v>141</v>
      </c>
      <c r="BQ402" s="79" t="s">
        <v>141</v>
      </c>
      <c r="BR402" s="67" t="s">
        <v>149</v>
      </c>
      <c r="BS402" s="102">
        <v>1.0</v>
      </c>
      <c r="BT402" s="106">
        <v>46249.0</v>
      </c>
      <c r="BU402" s="107">
        <v>2.0</v>
      </c>
      <c r="BV402" s="108">
        <f t="shared" si="2"/>
        <v>46242</v>
      </c>
      <c r="BW402" s="108">
        <f t="shared" si="16"/>
        <v>46249</v>
      </c>
      <c r="BX402" s="102" t="str">
        <f t="shared" si="15"/>
        <v>14</v>
      </c>
      <c r="BY402" s="107">
        <f t="shared" si="5"/>
        <v>5</v>
      </c>
      <c r="BZ402" s="107">
        <f t="array" ref="BZ402">IF($A402&lt;&gt;"",INDEX(LISTA!$M$2:$N$27,MATCH($BC402,LISTA!$N$2:$N$27,0),1),"")</f>
        <v>1</v>
      </c>
      <c r="CA402" s="67">
        <f t="shared" si="6"/>
        <v>8</v>
      </c>
      <c r="CB402" s="114">
        <f t="shared" si="7"/>
        <v>8</v>
      </c>
      <c r="CC402" s="160">
        <v>5.8277058E7</v>
      </c>
    </row>
    <row r="403" ht="15.0" customHeight="1">
      <c r="A403" s="59">
        <v>46248.45797163194</v>
      </c>
      <c r="B403" s="62" t="s">
        <v>105</v>
      </c>
      <c r="C403" s="54" t="s">
        <v>100</v>
      </c>
      <c r="D403" s="56" t="s">
        <v>319</v>
      </c>
      <c r="E403" s="69">
        <v>46249.583333333336</v>
      </c>
      <c r="F403" s="162"/>
      <c r="G403" s="60" t="s">
        <v>5335</v>
      </c>
      <c r="H403" s="60" t="s">
        <v>5336</v>
      </c>
      <c r="I403" s="67" t="s">
        <v>384</v>
      </c>
      <c r="J403" s="79" t="s">
        <v>5337</v>
      </c>
      <c r="K403" s="67" t="s">
        <v>109</v>
      </c>
      <c r="L403" s="79" t="s">
        <v>5338</v>
      </c>
      <c r="M403" s="83" t="s">
        <v>5339</v>
      </c>
      <c r="N403" s="78">
        <v>28628.0</v>
      </c>
      <c r="O403" s="80" t="s">
        <v>37</v>
      </c>
      <c r="P403" s="70">
        <v>140406.0</v>
      </c>
      <c r="Q403" s="54"/>
      <c r="R403" s="84"/>
      <c r="S403" s="84"/>
      <c r="T403" s="54"/>
      <c r="U403" s="86"/>
      <c r="V403" s="54"/>
      <c r="W403" s="86"/>
      <c r="X403" s="54"/>
      <c r="Y403" s="78"/>
      <c r="Z403" s="54"/>
      <c r="AA403" s="70"/>
      <c r="AB403" s="83"/>
      <c r="AC403" s="83"/>
      <c r="AD403" s="83"/>
      <c r="AE403" s="83"/>
      <c r="AF403" s="83" t="s">
        <v>1433</v>
      </c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54" t="s">
        <v>5340</v>
      </c>
      <c r="AR403" s="83" t="s">
        <v>1165</v>
      </c>
      <c r="AS403" s="83" t="s">
        <v>5341</v>
      </c>
      <c r="AT403" s="93" t="s">
        <v>5337</v>
      </c>
      <c r="AU403" s="93" t="s">
        <v>5337</v>
      </c>
      <c r="AV403" s="93" t="s">
        <v>5337</v>
      </c>
      <c r="AW403" s="83" t="s">
        <v>5342</v>
      </c>
      <c r="AX403" s="83">
        <v>1.0</v>
      </c>
      <c r="AY403" s="83" t="s">
        <v>2519</v>
      </c>
      <c r="AZ403" s="83" t="s">
        <v>5343</v>
      </c>
      <c r="BA403" s="83" t="s">
        <v>2519</v>
      </c>
      <c r="BB403" s="83" t="s">
        <v>5344</v>
      </c>
      <c r="BC403" s="54" t="s">
        <v>41</v>
      </c>
      <c r="BD403" s="54" t="str">
        <f t="shared" si="1"/>
        <v>Independencia</v>
      </c>
      <c r="BE403" s="67" t="s">
        <v>140</v>
      </c>
      <c r="BF403" s="67" t="s">
        <v>144</v>
      </c>
      <c r="BG403" s="67" t="s">
        <v>142</v>
      </c>
      <c r="BH403" s="67"/>
      <c r="BI403" s="67"/>
      <c r="BJ403" s="67"/>
      <c r="BK403" s="67"/>
      <c r="BL403" s="67" t="s">
        <v>147</v>
      </c>
      <c r="BM403" s="67" t="s">
        <v>1172</v>
      </c>
      <c r="BN403" s="100">
        <v>69.0</v>
      </c>
      <c r="BO403" s="102" t="s">
        <v>615</v>
      </c>
      <c r="BP403" s="67" t="s">
        <v>141</v>
      </c>
      <c r="BQ403" s="79" t="s">
        <v>141</v>
      </c>
      <c r="BR403" s="67" t="s">
        <v>149</v>
      </c>
      <c r="BS403" s="102" t="s">
        <v>149</v>
      </c>
      <c r="BT403" s="106">
        <v>46249.0</v>
      </c>
      <c r="BU403" s="107">
        <v>3.0</v>
      </c>
      <c r="BV403" s="108">
        <f t="shared" si="2"/>
        <v>46248</v>
      </c>
      <c r="BW403" s="108">
        <f t="shared" si="16"/>
        <v>46249</v>
      </c>
      <c r="BX403" s="102" t="str">
        <f t="shared" si="15"/>
        <v>14</v>
      </c>
      <c r="BY403" s="107">
        <f t="shared" si="5"/>
        <v>5</v>
      </c>
      <c r="BZ403" s="107">
        <f t="array" ref="BZ403">IF($A403&lt;&gt;"",INDEX(LISTA!$M$2:$N$27,MATCH($BC403,LISTA!$N$2:$N$27,0),1),"")</f>
        <v>1</v>
      </c>
      <c r="CA403" s="67">
        <f t="shared" si="6"/>
        <v>8</v>
      </c>
      <c r="CB403" s="114">
        <f t="shared" si="7"/>
        <v>8</v>
      </c>
      <c r="CC403" s="160">
        <v>5.8318766E7</v>
      </c>
    </row>
    <row r="404" ht="15.0" customHeight="1">
      <c r="A404" s="59">
        <v>46248.79911289352</v>
      </c>
      <c r="B404" s="115" t="s">
        <v>105</v>
      </c>
      <c r="C404" s="54" t="s">
        <v>100</v>
      </c>
      <c r="D404" s="56" t="s">
        <v>319</v>
      </c>
      <c r="E404" s="69">
        <v>46249.583333333336</v>
      </c>
      <c r="F404" s="162" t="s">
        <v>5345</v>
      </c>
      <c r="G404" s="60" t="s">
        <v>5346</v>
      </c>
      <c r="H404" s="60" t="s">
        <v>5347</v>
      </c>
      <c r="I404" s="67" t="s">
        <v>374</v>
      </c>
      <c r="J404" s="79" t="s">
        <v>5348</v>
      </c>
      <c r="K404" s="67" t="s">
        <v>109</v>
      </c>
      <c r="L404" s="79" t="s">
        <v>5349</v>
      </c>
      <c r="M404" s="83" t="s">
        <v>5350</v>
      </c>
      <c r="N404" s="78">
        <v>28648.0</v>
      </c>
      <c r="O404" s="80" t="s">
        <v>41</v>
      </c>
      <c r="P404" s="70">
        <v>150122.0</v>
      </c>
      <c r="Q404" s="54"/>
      <c r="R404" s="84"/>
      <c r="S404" s="84"/>
      <c r="T404" s="54"/>
      <c r="U404" s="86"/>
      <c r="V404" s="54"/>
      <c r="W404" s="86"/>
      <c r="X404" s="54"/>
      <c r="Y404" s="78"/>
      <c r="Z404" s="54"/>
      <c r="AA404" s="70"/>
      <c r="AB404" s="83"/>
      <c r="AC404" s="83"/>
      <c r="AD404" s="83"/>
      <c r="AE404" s="83"/>
      <c r="AF404" s="83" t="s">
        <v>467</v>
      </c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54" t="s">
        <v>1640</v>
      </c>
      <c r="AR404" s="83" t="s">
        <v>5351</v>
      </c>
      <c r="AS404" s="83" t="s">
        <v>5352</v>
      </c>
      <c r="AT404" s="93" t="s">
        <v>5348</v>
      </c>
      <c r="AU404" s="93" t="s">
        <v>5348</v>
      </c>
      <c r="AV404" s="93" t="s">
        <v>5348</v>
      </c>
      <c r="AW404" s="83" t="s">
        <v>5353</v>
      </c>
      <c r="AX404" s="83">
        <v>2.0</v>
      </c>
      <c r="AY404" s="83" t="s">
        <v>1767</v>
      </c>
      <c r="AZ404" s="83" t="s">
        <v>5354</v>
      </c>
      <c r="BA404" s="83" t="s">
        <v>1767</v>
      </c>
      <c r="BB404" s="83" t="s">
        <v>5355</v>
      </c>
      <c r="BC404" s="54" t="s">
        <v>41</v>
      </c>
      <c r="BD404" s="54" t="str">
        <f t="shared" si="1"/>
        <v>Surquillo</v>
      </c>
      <c r="BE404" s="67" t="s">
        <v>140</v>
      </c>
      <c r="BF404" s="67" t="s">
        <v>141</v>
      </c>
      <c r="BG404" s="67" t="s">
        <v>142</v>
      </c>
      <c r="BH404" s="67"/>
      <c r="BI404" s="67"/>
      <c r="BJ404" s="67"/>
      <c r="BK404" s="67"/>
      <c r="BL404" s="67" t="s">
        <v>147</v>
      </c>
      <c r="BM404" s="67" t="s">
        <v>146</v>
      </c>
      <c r="BN404" s="100">
        <v>170.0</v>
      </c>
      <c r="BO404" s="102" t="s">
        <v>148</v>
      </c>
      <c r="BP404" s="67" t="s">
        <v>141</v>
      </c>
      <c r="BQ404" s="79" t="s">
        <v>141</v>
      </c>
      <c r="BR404" s="67">
        <v>2.0</v>
      </c>
      <c r="BS404" s="102">
        <v>1.0</v>
      </c>
      <c r="BT404" s="106">
        <v>46249.0</v>
      </c>
      <c r="BU404" s="107">
        <v>4.0</v>
      </c>
      <c r="BV404" s="108">
        <f t="shared" si="2"/>
        <v>46248</v>
      </c>
      <c r="BW404" s="108">
        <f t="shared" si="16"/>
        <v>46249</v>
      </c>
      <c r="BX404" s="102" t="str">
        <f t="shared" si="15"/>
        <v>14</v>
      </c>
      <c r="BY404" s="107">
        <f t="shared" si="5"/>
        <v>5</v>
      </c>
      <c r="BZ404" s="107">
        <f t="array" ref="BZ404">IF($A404&lt;&gt;"",INDEX(LISTA!$M$2:$N$27,MATCH($BC404,LISTA!$N$2:$N$27,0),1),"")</f>
        <v>1</v>
      </c>
      <c r="CA404" s="67">
        <f t="shared" si="6"/>
        <v>8</v>
      </c>
      <c r="CB404" s="114">
        <f t="shared" si="7"/>
        <v>8</v>
      </c>
      <c r="CC404" s="160">
        <v>5.8324266E7</v>
      </c>
    </row>
    <row r="405" ht="15.0" customHeight="1">
      <c r="A405" s="59">
        <v>46248.52773761574</v>
      </c>
      <c r="B405" s="115" t="s">
        <v>105</v>
      </c>
      <c r="C405" s="54" t="s">
        <v>100</v>
      </c>
      <c r="D405" s="56" t="s">
        <v>319</v>
      </c>
      <c r="E405" s="69">
        <v>46249.583333333336</v>
      </c>
      <c r="F405" s="162"/>
      <c r="G405" s="60" t="s">
        <v>5356</v>
      </c>
      <c r="H405" s="60" t="s">
        <v>5357</v>
      </c>
      <c r="I405" s="67" t="s">
        <v>382</v>
      </c>
      <c r="J405" s="79" t="s">
        <v>5358</v>
      </c>
      <c r="K405" s="67" t="s">
        <v>109</v>
      </c>
      <c r="L405" s="79" t="s">
        <v>5359</v>
      </c>
      <c r="M405" s="83" t="s">
        <v>5360</v>
      </c>
      <c r="N405" s="78">
        <v>22893.0</v>
      </c>
      <c r="O405" s="80" t="s">
        <v>41</v>
      </c>
      <c r="P405" s="70">
        <v>150121.0</v>
      </c>
      <c r="Q405" s="54"/>
      <c r="R405" s="84"/>
      <c r="S405" s="84"/>
      <c r="T405" s="54"/>
      <c r="U405" s="86"/>
      <c r="V405" s="54"/>
      <c r="W405" s="86"/>
      <c r="X405" s="54"/>
      <c r="Y405" s="78"/>
      <c r="Z405" s="54"/>
      <c r="AA405" s="70"/>
      <c r="AB405" s="83"/>
      <c r="AC405" s="83"/>
      <c r="AD405" s="83"/>
      <c r="AE405" s="83"/>
      <c r="AF405" s="83" t="s">
        <v>1458</v>
      </c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54" t="s">
        <v>5361</v>
      </c>
      <c r="AR405" s="83" t="s">
        <v>5362</v>
      </c>
      <c r="AS405" s="83" t="s">
        <v>5363</v>
      </c>
      <c r="AT405" s="93" t="s">
        <v>5358</v>
      </c>
      <c r="AU405" s="93" t="s">
        <v>5358</v>
      </c>
      <c r="AV405" s="93" t="s">
        <v>5358</v>
      </c>
      <c r="AW405" s="83" t="s">
        <v>5364</v>
      </c>
      <c r="AX405" s="83">
        <v>3.0</v>
      </c>
      <c r="AY405" s="83">
        <v>0.0</v>
      </c>
      <c r="AZ405" s="83" t="s">
        <v>5365</v>
      </c>
      <c r="BA405" s="83" t="s">
        <v>5366</v>
      </c>
      <c r="BB405" s="83" t="s">
        <v>5367</v>
      </c>
      <c r="BC405" s="54" t="s">
        <v>41</v>
      </c>
      <c r="BD405" s="54" t="str">
        <f t="shared" si="1"/>
        <v>Pueblo Libre</v>
      </c>
      <c r="BE405" s="67" t="s">
        <v>140</v>
      </c>
      <c r="BF405" s="67" t="s">
        <v>144</v>
      </c>
      <c r="BG405" s="67" t="s">
        <v>142</v>
      </c>
      <c r="BH405" s="67"/>
      <c r="BI405" s="67"/>
      <c r="BJ405" s="67"/>
      <c r="BK405" s="67"/>
      <c r="BL405" s="67" t="s">
        <v>147</v>
      </c>
      <c r="BM405" s="67" t="s">
        <v>146</v>
      </c>
      <c r="BN405" s="100">
        <v>89.0</v>
      </c>
      <c r="BO405" s="102" t="s">
        <v>148</v>
      </c>
      <c r="BP405" s="67" t="s">
        <v>141</v>
      </c>
      <c r="BQ405" s="79" t="s">
        <v>141</v>
      </c>
      <c r="BR405" s="67" t="s">
        <v>149</v>
      </c>
      <c r="BS405" s="102">
        <v>1.0</v>
      </c>
      <c r="BT405" s="106">
        <v>46249.0</v>
      </c>
      <c r="BU405" s="107">
        <v>5.0</v>
      </c>
      <c r="BV405" s="108">
        <f t="shared" si="2"/>
        <v>46248</v>
      </c>
      <c r="BW405" s="108">
        <f t="shared" si="16"/>
        <v>46249</v>
      </c>
      <c r="BX405" s="102" t="str">
        <f t="shared" si="15"/>
        <v>14</v>
      </c>
      <c r="BY405" s="107">
        <f t="shared" si="5"/>
        <v>5</v>
      </c>
      <c r="BZ405" s="107">
        <f t="array" ref="BZ405">IF($A405&lt;&gt;"",INDEX(LISTA!$M$2:$N$27,MATCH($BC405,LISTA!$N$2:$N$27,0),1),"")</f>
        <v>1</v>
      </c>
      <c r="CA405" s="67">
        <f t="shared" si="6"/>
        <v>8</v>
      </c>
      <c r="CB405" s="114">
        <f t="shared" si="7"/>
        <v>8</v>
      </c>
      <c r="CC405" s="160">
        <v>5.8319876E7</v>
      </c>
    </row>
    <row r="406" ht="15.0" customHeight="1">
      <c r="A406" s="59">
        <v>46248.788839155095</v>
      </c>
      <c r="B406" s="115" t="s">
        <v>105</v>
      </c>
      <c r="C406" s="54" t="s">
        <v>100</v>
      </c>
      <c r="D406" s="56" t="s">
        <v>319</v>
      </c>
      <c r="E406" s="69">
        <v>46251.583333333336</v>
      </c>
      <c r="F406" s="162"/>
      <c r="G406" s="60" t="s">
        <v>5368</v>
      </c>
      <c r="H406" s="60" t="s">
        <v>5369</v>
      </c>
      <c r="I406" s="67" t="s">
        <v>107</v>
      </c>
      <c r="J406" s="79" t="s">
        <v>5370</v>
      </c>
      <c r="K406" s="67" t="s">
        <v>109</v>
      </c>
      <c r="L406" s="79" t="s">
        <v>5371</v>
      </c>
      <c r="M406" s="83" t="s">
        <v>5372</v>
      </c>
      <c r="N406" s="78">
        <v>22915.0</v>
      </c>
      <c r="O406" s="80" t="s">
        <v>37</v>
      </c>
      <c r="P406" s="70">
        <v>140408.0</v>
      </c>
      <c r="Q406" s="54"/>
      <c r="R406" s="84"/>
      <c r="S406" s="84"/>
      <c r="T406" s="54"/>
      <c r="U406" s="86"/>
      <c r="V406" s="54"/>
      <c r="W406" s="86"/>
      <c r="X406" s="54"/>
      <c r="Y406" s="78"/>
      <c r="Z406" s="54"/>
      <c r="AA406" s="70"/>
      <c r="AB406" s="83"/>
      <c r="AC406" s="83"/>
      <c r="AD406" s="83"/>
      <c r="AE406" s="83" t="s">
        <v>5373</v>
      </c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54" t="s">
        <v>5374</v>
      </c>
      <c r="AR406" s="83" t="s">
        <v>2736</v>
      </c>
      <c r="AS406" s="83" t="s">
        <v>5375</v>
      </c>
      <c r="AT406" s="93" t="s">
        <v>5376</v>
      </c>
      <c r="AU406" s="93" t="s">
        <v>5376</v>
      </c>
      <c r="AV406" s="93" t="s">
        <v>5376</v>
      </c>
      <c r="AW406" s="83" t="s">
        <v>5377</v>
      </c>
      <c r="AX406" s="83">
        <v>1.0</v>
      </c>
      <c r="AY406" s="83">
        <v>1.0</v>
      </c>
      <c r="AZ406" s="83" t="s">
        <v>5378</v>
      </c>
      <c r="BA406" s="83" t="s">
        <v>5379</v>
      </c>
      <c r="BB406" s="83" t="s">
        <v>5380</v>
      </c>
      <c r="BC406" s="54" t="s">
        <v>37</v>
      </c>
      <c r="BD406" s="54" t="str">
        <f t="shared" si="1"/>
        <v>Cañete</v>
      </c>
      <c r="BE406" s="67" t="s">
        <v>140</v>
      </c>
      <c r="BF406" s="67" t="s">
        <v>141</v>
      </c>
      <c r="BG406" s="67" t="s">
        <v>142</v>
      </c>
      <c r="BH406" s="67"/>
      <c r="BI406" s="67"/>
      <c r="BJ406" s="67"/>
      <c r="BK406" s="67"/>
      <c r="BL406" s="67" t="s">
        <v>145</v>
      </c>
      <c r="BM406" s="67" t="s">
        <v>146</v>
      </c>
      <c r="BN406" s="100">
        <v>170.0</v>
      </c>
      <c r="BO406" s="102" t="s">
        <v>148</v>
      </c>
      <c r="BP406" s="67" t="s">
        <v>144</v>
      </c>
      <c r="BQ406" s="79" t="s">
        <v>141</v>
      </c>
      <c r="BR406" s="67">
        <v>2.0</v>
      </c>
      <c r="BS406" s="102">
        <v>1.0</v>
      </c>
      <c r="BT406" s="106">
        <v>46249.0</v>
      </c>
      <c r="BU406" s="107">
        <v>6.0</v>
      </c>
      <c r="BV406" s="108">
        <f t="shared" si="2"/>
        <v>46248</v>
      </c>
      <c r="BW406" s="108">
        <f t="shared" si="16"/>
        <v>46251</v>
      </c>
      <c r="BX406" s="102" t="str">
        <f t="shared" si="15"/>
        <v>14</v>
      </c>
      <c r="BY406" s="107">
        <f t="shared" si="5"/>
        <v>5</v>
      </c>
      <c r="BZ406" s="107">
        <f t="array" ref="BZ406">IF($A406&lt;&gt;"",INDEX(LISTA!$M$2:$N$27,MATCH($BC406,LISTA!$N$2:$N$27,0),1),"")</f>
        <v>3</v>
      </c>
      <c r="CA406" s="67">
        <f t="shared" si="6"/>
        <v>8</v>
      </c>
      <c r="CB406" s="114">
        <f t="shared" si="7"/>
        <v>8</v>
      </c>
      <c r="CC406" s="160">
        <v>5.8324156E7</v>
      </c>
    </row>
    <row r="407" ht="15.0" customHeight="1">
      <c r="A407" s="59">
        <v>46245.72892113426</v>
      </c>
      <c r="B407" s="62" t="s">
        <v>105</v>
      </c>
      <c r="C407" s="54" t="s">
        <v>100</v>
      </c>
      <c r="D407" s="56" t="s">
        <v>319</v>
      </c>
      <c r="E407" s="69">
        <v>46250.583333333336</v>
      </c>
      <c r="F407" s="162"/>
      <c r="G407" s="60" t="s">
        <v>5381</v>
      </c>
      <c r="H407" s="60" t="s">
        <v>5382</v>
      </c>
      <c r="I407" s="67" t="s">
        <v>374</v>
      </c>
      <c r="J407" s="79" t="s">
        <v>5383</v>
      </c>
      <c r="K407" s="67" t="s">
        <v>5384</v>
      </c>
      <c r="L407" s="79" t="s">
        <v>5385</v>
      </c>
      <c r="M407" s="83" t="s">
        <v>5386</v>
      </c>
      <c r="N407" s="78">
        <v>29523.0</v>
      </c>
      <c r="O407" s="80" t="s">
        <v>37</v>
      </c>
      <c r="P407" s="70">
        <v>150101.0</v>
      </c>
      <c r="Q407" s="54"/>
      <c r="R407" s="84"/>
      <c r="S407" s="84"/>
      <c r="T407" s="54"/>
      <c r="U407" s="86"/>
      <c r="V407" s="54"/>
      <c r="W407" s="86"/>
      <c r="X407" s="54"/>
      <c r="Y407" s="78"/>
      <c r="Z407" s="54"/>
      <c r="AA407" s="70"/>
      <c r="AB407" s="83"/>
      <c r="AC407" s="83"/>
      <c r="AD407" s="83"/>
      <c r="AE407" s="83"/>
      <c r="AF407" s="83" t="s">
        <v>300</v>
      </c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54" t="s">
        <v>5387</v>
      </c>
      <c r="AR407" s="83" t="s">
        <v>5388</v>
      </c>
      <c r="AS407" s="83" t="s">
        <v>5389</v>
      </c>
      <c r="AT407" s="93" t="s">
        <v>5383</v>
      </c>
      <c r="AU407" s="93" t="s">
        <v>5383</v>
      </c>
      <c r="AV407" s="93" t="s">
        <v>5383</v>
      </c>
      <c r="AW407" s="83" t="s">
        <v>5390</v>
      </c>
      <c r="AX407" s="83">
        <v>4.0</v>
      </c>
      <c r="AY407" s="83" t="s">
        <v>1767</v>
      </c>
      <c r="AZ407" s="83" t="s">
        <v>5391</v>
      </c>
      <c r="BA407" s="83" t="s">
        <v>1767</v>
      </c>
      <c r="BB407" s="83" t="s">
        <v>5392</v>
      </c>
      <c r="BC407" s="54" t="s">
        <v>41</v>
      </c>
      <c r="BD407" s="54" t="str">
        <f t="shared" si="1"/>
        <v>Ate</v>
      </c>
      <c r="BE407" s="67" t="s">
        <v>140</v>
      </c>
      <c r="BF407" s="67" t="s">
        <v>144</v>
      </c>
      <c r="BG407" s="67" t="s">
        <v>142</v>
      </c>
      <c r="BH407" s="67"/>
      <c r="BI407" s="67"/>
      <c r="BJ407" s="67"/>
      <c r="BK407" s="67"/>
      <c r="BL407" s="67" t="s">
        <v>147</v>
      </c>
      <c r="BM407" s="67" t="s">
        <v>146</v>
      </c>
      <c r="BN407" s="100">
        <v>89.0</v>
      </c>
      <c r="BO407" s="102" t="s">
        <v>148</v>
      </c>
      <c r="BP407" s="67"/>
      <c r="BQ407" s="79" t="s">
        <v>141</v>
      </c>
      <c r="BR407" s="67" t="s">
        <v>149</v>
      </c>
      <c r="BS407" s="102">
        <v>1.0</v>
      </c>
      <c r="BT407" s="106">
        <v>46250.0</v>
      </c>
      <c r="BU407" s="107">
        <v>1.0</v>
      </c>
      <c r="BV407" s="108">
        <f t="shared" si="2"/>
        <v>46245</v>
      </c>
      <c r="BW407" s="108">
        <f t="shared" si="16"/>
        <v>46250</v>
      </c>
      <c r="BX407" s="102" t="str">
        <f t="shared" si="15"/>
        <v>14</v>
      </c>
      <c r="BY407" s="107">
        <f t="shared" si="5"/>
        <v>5</v>
      </c>
      <c r="BZ407" s="107">
        <f t="array" ref="BZ407">IF($A407&lt;&gt;"",INDEX(LISTA!$M$2:$N$27,MATCH($BC407,LISTA!$N$2:$N$27,0),1),"")</f>
        <v>1</v>
      </c>
      <c r="CA407" s="67">
        <f t="shared" si="6"/>
        <v>8</v>
      </c>
      <c r="CB407" s="114">
        <f t="shared" si="7"/>
        <v>8</v>
      </c>
      <c r="CC407" s="160">
        <v>5.8299295E7</v>
      </c>
    </row>
    <row r="408" ht="15.0" customHeight="1">
      <c r="A408" s="59">
        <v>46245.363657106485</v>
      </c>
      <c r="B408" s="62" t="s">
        <v>105</v>
      </c>
      <c r="C408" s="54" t="s">
        <v>100</v>
      </c>
      <c r="D408" s="154" t="s">
        <v>101</v>
      </c>
      <c r="E408" s="69">
        <v>46250.375</v>
      </c>
      <c r="F408" s="162"/>
      <c r="G408" s="60" t="s">
        <v>5393</v>
      </c>
      <c r="H408" s="60" t="s">
        <v>5394</v>
      </c>
      <c r="I408" s="67" t="s">
        <v>378</v>
      </c>
      <c r="J408" s="79" t="s">
        <v>5395</v>
      </c>
      <c r="K408" s="67" t="s">
        <v>109</v>
      </c>
      <c r="L408" s="79" t="s">
        <v>5396</v>
      </c>
      <c r="M408" s="83" t="s">
        <v>5397</v>
      </c>
      <c r="N408" s="78">
        <v>29972.0</v>
      </c>
      <c r="O408" s="80" t="s">
        <v>37</v>
      </c>
      <c r="P408" s="70">
        <v>140501.0</v>
      </c>
      <c r="Q408" s="54"/>
      <c r="R408" s="84"/>
      <c r="S408" s="84"/>
      <c r="T408" s="54"/>
      <c r="U408" s="86"/>
      <c r="V408" s="54"/>
      <c r="W408" s="86"/>
      <c r="X408" s="54"/>
      <c r="Y408" s="78"/>
      <c r="Z408" s="54"/>
      <c r="AA408" s="70"/>
      <c r="AB408" s="83"/>
      <c r="AC408" s="83"/>
      <c r="AD408" s="83"/>
      <c r="AE408" s="83"/>
      <c r="AF408" s="83" t="s">
        <v>2735</v>
      </c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54" t="s">
        <v>315</v>
      </c>
      <c r="AR408" s="83" t="s">
        <v>5209</v>
      </c>
      <c r="AS408" s="83" t="s">
        <v>5398</v>
      </c>
      <c r="AT408" s="93" t="s">
        <v>5399</v>
      </c>
      <c r="AU408" s="93" t="s">
        <v>5399</v>
      </c>
      <c r="AV408" s="93" t="s">
        <v>5399</v>
      </c>
      <c r="AW408" s="83" t="s">
        <v>5400</v>
      </c>
      <c r="AX408" s="83">
        <v>7.0</v>
      </c>
      <c r="AY408" s="83">
        <v>704.0</v>
      </c>
      <c r="AZ408" s="83" t="s">
        <v>5401</v>
      </c>
      <c r="BA408" s="83" t="s">
        <v>5402</v>
      </c>
      <c r="BB408" s="83" t="s">
        <v>5403</v>
      </c>
      <c r="BC408" s="54" t="s">
        <v>41</v>
      </c>
      <c r="BD408" s="54" t="str">
        <f t="shared" si="1"/>
        <v>San Miguel</v>
      </c>
      <c r="BE408" s="67" t="s">
        <v>140</v>
      </c>
      <c r="BF408" s="67" t="s">
        <v>141</v>
      </c>
      <c r="BG408" s="67" t="s">
        <v>142</v>
      </c>
      <c r="BH408" s="67"/>
      <c r="BI408" s="67"/>
      <c r="BJ408" s="67"/>
      <c r="BK408" s="67"/>
      <c r="BL408" s="67" t="s">
        <v>145</v>
      </c>
      <c r="BM408" s="67" t="s">
        <v>146</v>
      </c>
      <c r="BN408" s="100">
        <v>170.0</v>
      </c>
      <c r="BO408" s="102" t="s">
        <v>148</v>
      </c>
      <c r="BP408" s="67" t="s">
        <v>141</v>
      </c>
      <c r="BQ408" s="79" t="s">
        <v>141</v>
      </c>
      <c r="BR408" s="67">
        <v>2.0</v>
      </c>
      <c r="BS408" s="102" t="s">
        <v>149</v>
      </c>
      <c r="BT408" s="106">
        <v>46250.0</v>
      </c>
      <c r="BU408" s="107">
        <v>2.0</v>
      </c>
      <c r="BV408" s="108">
        <f t="shared" si="2"/>
        <v>46245</v>
      </c>
      <c r="BW408" s="108">
        <f t="shared" si="16"/>
        <v>46250</v>
      </c>
      <c r="BX408" s="102" t="str">
        <f t="shared" si="15"/>
        <v>09</v>
      </c>
      <c r="BY408" s="107">
        <f t="shared" si="5"/>
        <v>5</v>
      </c>
      <c r="BZ408" s="107">
        <f t="array" ref="BZ408">IF($A408&lt;&gt;"",INDEX(LISTA!$M$2:$N$27,MATCH($BC408,LISTA!$N$2:$N$27,0),1),"")</f>
        <v>1</v>
      </c>
      <c r="CA408" s="67">
        <f t="shared" si="6"/>
        <v>8</v>
      </c>
      <c r="CB408" s="114">
        <f t="shared" si="7"/>
        <v>8</v>
      </c>
      <c r="CC408" s="160">
        <v>5.829226E7</v>
      </c>
    </row>
    <row r="409" ht="15.0" customHeight="1">
      <c r="A409" s="59">
        <v>46248.426986238424</v>
      </c>
      <c r="B409" s="62" t="s">
        <v>105</v>
      </c>
      <c r="C409" s="54" t="s">
        <v>100</v>
      </c>
      <c r="D409" s="56" t="s">
        <v>319</v>
      </c>
      <c r="E409" s="69">
        <v>46251.375</v>
      </c>
      <c r="F409" s="162" t="s">
        <v>5404</v>
      </c>
      <c r="G409" s="60" t="s">
        <v>5405</v>
      </c>
      <c r="H409" s="60" t="s">
        <v>5406</v>
      </c>
      <c r="I409" s="67" t="s">
        <v>386</v>
      </c>
      <c r="J409" s="79" t="s">
        <v>5407</v>
      </c>
      <c r="K409" s="67" t="s">
        <v>109</v>
      </c>
      <c r="L409" s="79" t="s">
        <v>5408</v>
      </c>
      <c r="M409" s="83" t="s">
        <v>5409</v>
      </c>
      <c r="N409" s="78">
        <v>30628.0</v>
      </c>
      <c r="O409" s="80" t="s">
        <v>41</v>
      </c>
      <c r="P409" s="70">
        <v>150113.0</v>
      </c>
      <c r="Q409" s="54"/>
      <c r="R409" s="84"/>
      <c r="S409" s="84"/>
      <c r="T409" s="54"/>
      <c r="U409" s="86"/>
      <c r="V409" s="54"/>
      <c r="W409" s="86"/>
      <c r="X409" s="54"/>
      <c r="Y409" s="78"/>
      <c r="Z409" s="54"/>
      <c r="AA409" s="70"/>
      <c r="AB409" s="83"/>
      <c r="AC409" s="83"/>
      <c r="AD409" s="83"/>
      <c r="AE409" s="83"/>
      <c r="AF409" s="83" t="s">
        <v>123</v>
      </c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54" t="s">
        <v>5410</v>
      </c>
      <c r="AR409" s="83" t="s">
        <v>5411</v>
      </c>
      <c r="AS409" s="83" t="s">
        <v>5412</v>
      </c>
      <c r="AT409" s="93" t="s">
        <v>5407</v>
      </c>
      <c r="AU409" s="93" t="s">
        <v>5407</v>
      </c>
      <c r="AV409" s="93" t="s">
        <v>5407</v>
      </c>
      <c r="AW409" s="83" t="s">
        <v>5413</v>
      </c>
      <c r="AX409" s="83">
        <v>10.0</v>
      </c>
      <c r="AY409" s="83" t="s">
        <v>1657</v>
      </c>
      <c r="AZ409" s="83" t="s">
        <v>5414</v>
      </c>
      <c r="BA409" s="83" t="s">
        <v>5415</v>
      </c>
      <c r="BB409" s="83" t="s">
        <v>5416</v>
      </c>
      <c r="BC409" s="54" t="s">
        <v>41</v>
      </c>
      <c r="BD409" s="54" t="str">
        <f t="shared" si="1"/>
        <v>Santiago de Surco</v>
      </c>
      <c r="BE409" s="67" t="s">
        <v>143</v>
      </c>
      <c r="BF409" s="67" t="s">
        <v>144</v>
      </c>
      <c r="BG409" s="67" t="s">
        <v>142</v>
      </c>
      <c r="BH409" s="67"/>
      <c r="BI409" s="67"/>
      <c r="BJ409" s="67"/>
      <c r="BK409" s="67"/>
      <c r="BL409" s="67" t="s">
        <v>147</v>
      </c>
      <c r="BM409" s="67" t="s">
        <v>146</v>
      </c>
      <c r="BN409" s="100">
        <v>89.0</v>
      </c>
      <c r="BO409" s="102" t="s">
        <v>148</v>
      </c>
      <c r="BP409" s="67" t="s">
        <v>141</v>
      </c>
      <c r="BQ409" s="79" t="s">
        <v>141</v>
      </c>
      <c r="BR409" s="67" t="s">
        <v>149</v>
      </c>
      <c r="BS409" s="102" t="s">
        <v>149</v>
      </c>
      <c r="BT409" s="106">
        <v>46251.0</v>
      </c>
      <c r="BU409" s="107">
        <v>1.0</v>
      </c>
      <c r="BV409" s="108">
        <f t="shared" si="2"/>
        <v>46248</v>
      </c>
      <c r="BW409" s="108">
        <f t="shared" si="16"/>
        <v>46251</v>
      </c>
      <c r="BX409" s="102" t="str">
        <f t="shared" si="15"/>
        <v>09</v>
      </c>
      <c r="BY409" s="107">
        <f t="shared" si="5"/>
        <v>5</v>
      </c>
      <c r="BZ409" s="107">
        <f t="array" ref="BZ409">IF($A409&lt;&gt;"",INDEX(LISTA!$M$2:$N$27,MATCH($BC409,LISTA!$N$2:$N$27,0),1),"")</f>
        <v>1</v>
      </c>
      <c r="CA409" s="67">
        <f t="shared" si="6"/>
        <v>8</v>
      </c>
      <c r="CB409" s="114">
        <f t="shared" si="7"/>
        <v>8</v>
      </c>
      <c r="CC409" s="160">
        <v>5.8318237E7</v>
      </c>
    </row>
    <row r="410" ht="15.0" customHeight="1">
      <c r="A410" s="59">
        <v>46248.6612871875</v>
      </c>
      <c r="B410" s="62" t="s">
        <v>105</v>
      </c>
      <c r="C410" s="54" t="s">
        <v>100</v>
      </c>
      <c r="D410" s="56" t="s">
        <v>319</v>
      </c>
      <c r="E410" s="69">
        <v>46251.583333333336</v>
      </c>
      <c r="F410" s="162"/>
      <c r="G410" s="60" t="s">
        <v>5417</v>
      </c>
      <c r="H410" s="60" t="s">
        <v>5418</v>
      </c>
      <c r="I410" s="67" t="s">
        <v>107</v>
      </c>
      <c r="J410" s="79" t="s">
        <v>5419</v>
      </c>
      <c r="K410" s="67" t="s">
        <v>109</v>
      </c>
      <c r="L410" s="79" t="s">
        <v>5420</v>
      </c>
      <c r="M410" s="83" t="s">
        <v>5421</v>
      </c>
      <c r="N410" s="78">
        <v>29243.0</v>
      </c>
      <c r="O410" s="80" t="s">
        <v>24</v>
      </c>
      <c r="P410" s="156" t="s">
        <v>5422</v>
      </c>
      <c r="Q410" s="54"/>
      <c r="R410" s="84"/>
      <c r="S410" s="84"/>
      <c r="T410" s="54"/>
      <c r="U410" s="86"/>
      <c r="V410" s="54"/>
      <c r="W410" s="86"/>
      <c r="X410" s="54"/>
      <c r="Y410" s="78"/>
      <c r="Z410" s="54"/>
      <c r="AA410" s="70"/>
      <c r="AB410" s="83"/>
      <c r="AC410" s="83"/>
      <c r="AD410" s="83"/>
      <c r="AE410" s="83" t="s">
        <v>2833</v>
      </c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54" t="s">
        <v>2697</v>
      </c>
      <c r="AR410" s="83" t="s">
        <v>5423</v>
      </c>
      <c r="AS410" s="83" t="s">
        <v>5424</v>
      </c>
      <c r="AT410" s="93" t="s">
        <v>5419</v>
      </c>
      <c r="AU410" s="93" t="s">
        <v>5419</v>
      </c>
      <c r="AV410" s="93" t="s">
        <v>5419</v>
      </c>
      <c r="AW410" s="83" t="s">
        <v>5425</v>
      </c>
      <c r="AX410" s="83">
        <v>1.0</v>
      </c>
      <c r="AY410" s="83">
        <v>1.0</v>
      </c>
      <c r="AZ410" s="83" t="s">
        <v>5426</v>
      </c>
      <c r="BA410" s="83" t="s">
        <v>5427</v>
      </c>
      <c r="BB410" s="83" t="s">
        <v>5428</v>
      </c>
      <c r="BC410" s="54" t="s">
        <v>37</v>
      </c>
      <c r="BD410" s="54" t="str">
        <f t="shared" si="1"/>
        <v>Barranca</v>
      </c>
      <c r="BE410" s="67" t="s">
        <v>140</v>
      </c>
      <c r="BF410" s="67" t="s">
        <v>141</v>
      </c>
      <c r="BG410" s="67" t="s">
        <v>142</v>
      </c>
      <c r="BH410" s="67"/>
      <c r="BI410" s="67"/>
      <c r="BJ410" s="67"/>
      <c r="BK410" s="67"/>
      <c r="BL410" s="67" t="s">
        <v>145</v>
      </c>
      <c r="BM410" s="67" t="s">
        <v>146</v>
      </c>
      <c r="BN410" s="100">
        <v>150.0</v>
      </c>
      <c r="BO410" s="102" t="s">
        <v>615</v>
      </c>
      <c r="BP410" s="67" t="s">
        <v>144</v>
      </c>
      <c r="BQ410" s="79" t="s">
        <v>141</v>
      </c>
      <c r="BR410" s="67">
        <v>1.0</v>
      </c>
      <c r="BS410" s="102" t="s">
        <v>149</v>
      </c>
      <c r="BT410" s="106">
        <v>46251.0</v>
      </c>
      <c r="BU410" s="107">
        <v>2.0</v>
      </c>
      <c r="BV410" s="108">
        <f t="shared" si="2"/>
        <v>46248</v>
      </c>
      <c r="BW410" s="108">
        <f t="shared" si="16"/>
        <v>46251</v>
      </c>
      <c r="BX410" s="102" t="str">
        <f t="shared" si="15"/>
        <v>14</v>
      </c>
      <c r="BY410" s="107">
        <f t="shared" si="5"/>
        <v>5</v>
      </c>
      <c r="BZ410" s="107">
        <f t="array" ref="BZ410">IF($A410&lt;&gt;"",INDEX(LISTA!$M$2:$N$27,MATCH($BC410,LISTA!$N$2:$N$27,0),1),"")</f>
        <v>3</v>
      </c>
      <c r="CA410" s="67">
        <f t="shared" si="6"/>
        <v>8</v>
      </c>
      <c r="CB410" s="114">
        <f t="shared" si="7"/>
        <v>8</v>
      </c>
      <c r="CC410" s="160">
        <v>5.8321972E7</v>
      </c>
    </row>
    <row r="411" ht="15.0" customHeight="1">
      <c r="A411" s="59">
        <v>46248.74949449074</v>
      </c>
      <c r="B411" s="62" t="s">
        <v>105</v>
      </c>
      <c r="C411" s="54" t="s">
        <v>100</v>
      </c>
      <c r="D411" s="56" t="s">
        <v>319</v>
      </c>
      <c r="E411" s="69">
        <v>46252.583333333336</v>
      </c>
      <c r="F411" s="162"/>
      <c r="G411" s="60" t="s">
        <v>5429</v>
      </c>
      <c r="H411" s="60" t="s">
        <v>5430</v>
      </c>
      <c r="I411" s="67" t="s">
        <v>374</v>
      </c>
      <c r="J411" s="79" t="s">
        <v>5431</v>
      </c>
      <c r="K411" s="67" t="s">
        <v>1117</v>
      </c>
      <c r="L411" s="79" t="s">
        <v>5432</v>
      </c>
      <c r="M411" s="83" t="s">
        <v>5433</v>
      </c>
      <c r="N411" s="78">
        <v>29427.0</v>
      </c>
      <c r="O411" s="80" t="s">
        <v>41</v>
      </c>
      <c r="P411" s="70">
        <v>0.0</v>
      </c>
      <c r="Q411" s="54"/>
      <c r="R411" s="84"/>
      <c r="S411" s="84"/>
      <c r="T411" s="54"/>
      <c r="U411" s="86"/>
      <c r="V411" s="54"/>
      <c r="W411" s="86" t="s">
        <v>553</v>
      </c>
      <c r="X411" s="54"/>
      <c r="Y411" s="78"/>
      <c r="Z411" s="54"/>
      <c r="AA411" s="70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54" t="s">
        <v>5434</v>
      </c>
      <c r="AR411" s="83" t="s">
        <v>5435</v>
      </c>
      <c r="AS411" s="83" t="s">
        <v>5436</v>
      </c>
      <c r="AT411" s="93" t="s">
        <v>5431</v>
      </c>
      <c r="AU411" s="93" t="s">
        <v>5431</v>
      </c>
      <c r="AV411" s="93" t="s">
        <v>5431</v>
      </c>
      <c r="AW411" s="83" t="s">
        <v>5437</v>
      </c>
      <c r="AX411" s="83">
        <v>3.0</v>
      </c>
      <c r="AY411" s="83" t="s">
        <v>1767</v>
      </c>
      <c r="AZ411" s="83" t="s">
        <v>5438</v>
      </c>
      <c r="BA411" s="83" t="s">
        <v>1767</v>
      </c>
      <c r="BB411" s="83" t="s">
        <v>5439</v>
      </c>
      <c r="BC411" s="54" t="s">
        <v>30</v>
      </c>
      <c r="BD411" s="54" t="str">
        <f t="shared" si="1"/>
        <v>Callao</v>
      </c>
      <c r="BE411" s="67" t="s">
        <v>143</v>
      </c>
      <c r="BF411" s="67" t="s">
        <v>144</v>
      </c>
      <c r="BG411" s="67" t="s">
        <v>142</v>
      </c>
      <c r="BH411" s="67"/>
      <c r="BI411" s="67"/>
      <c r="BJ411" s="67"/>
      <c r="BK411" s="67"/>
      <c r="BL411" s="67" t="s">
        <v>147</v>
      </c>
      <c r="BM411" s="67" t="s">
        <v>146</v>
      </c>
      <c r="BN411" s="100">
        <v>89.0</v>
      </c>
      <c r="BO411" s="102" t="s">
        <v>148</v>
      </c>
      <c r="BP411" s="67" t="s">
        <v>141</v>
      </c>
      <c r="BQ411" s="79" t="s">
        <v>141</v>
      </c>
      <c r="BR411" s="67" t="s">
        <v>149</v>
      </c>
      <c r="BS411" s="102" t="s">
        <v>149</v>
      </c>
      <c r="BT411" s="106">
        <v>46251.0</v>
      </c>
      <c r="BU411" s="107">
        <v>3.0</v>
      </c>
      <c r="BV411" s="108">
        <f t="shared" si="2"/>
        <v>46248</v>
      </c>
      <c r="BW411" s="108">
        <f t="shared" si="16"/>
        <v>46252</v>
      </c>
      <c r="BX411" s="102" t="str">
        <f t="shared" si="15"/>
        <v>14</v>
      </c>
      <c r="BY411" s="107">
        <f t="shared" si="5"/>
        <v>5</v>
      </c>
      <c r="BZ411" s="107">
        <f t="array" ref="BZ411">IF($A411&lt;&gt;"",INDEX(LISTA!$M$2:$N$27,MATCH($BC411,LISTA!$N$2:$N$27,0),1),"")</f>
        <v>2</v>
      </c>
      <c r="CA411" s="67">
        <f t="shared" si="6"/>
        <v>8</v>
      </c>
      <c r="CB411" s="114">
        <f t="shared" si="7"/>
        <v>8</v>
      </c>
      <c r="CC411" s="160">
        <v>5.8323463E7</v>
      </c>
    </row>
    <row r="412" ht="15.0" customHeight="1">
      <c r="A412" s="59">
        <v>46251.649939421295</v>
      </c>
      <c r="B412" s="115" t="s">
        <v>105</v>
      </c>
      <c r="C412" s="54" t="s">
        <v>100</v>
      </c>
      <c r="D412" s="56" t="s">
        <v>319</v>
      </c>
      <c r="E412" s="69">
        <v>46253.375</v>
      </c>
      <c r="F412" s="162"/>
      <c r="G412" s="60" t="s">
        <v>5440</v>
      </c>
      <c r="H412" s="60" t="s">
        <v>5441</v>
      </c>
      <c r="I412" s="67" t="s">
        <v>107</v>
      </c>
      <c r="J412" s="79" t="s">
        <v>5442</v>
      </c>
      <c r="K412" s="67" t="s">
        <v>109</v>
      </c>
      <c r="L412" s="79" t="s">
        <v>5443</v>
      </c>
      <c r="M412" s="83" t="s">
        <v>5444</v>
      </c>
      <c r="N412" s="78">
        <v>38460.0</v>
      </c>
      <c r="O412" s="80" t="s">
        <v>30</v>
      </c>
      <c r="P412" s="70">
        <v>240102.0</v>
      </c>
      <c r="Q412" s="54"/>
      <c r="R412" s="84"/>
      <c r="S412" s="84"/>
      <c r="T412" s="54"/>
      <c r="U412" s="86"/>
      <c r="V412" s="54"/>
      <c r="W412" s="86" t="s">
        <v>553</v>
      </c>
      <c r="X412" s="54"/>
      <c r="Y412" s="78"/>
      <c r="Z412" s="54"/>
      <c r="AA412" s="70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54" t="s">
        <v>2697</v>
      </c>
      <c r="AR412" s="83" t="s">
        <v>3887</v>
      </c>
      <c r="AS412" s="83" t="s">
        <v>5445</v>
      </c>
      <c r="AT412" s="93" t="s">
        <v>5442</v>
      </c>
      <c r="AU412" s="93" t="s">
        <v>5442</v>
      </c>
      <c r="AV412" s="93" t="s">
        <v>5446</v>
      </c>
      <c r="AW412" s="83" t="s">
        <v>5447</v>
      </c>
      <c r="AX412" s="83">
        <v>2.0</v>
      </c>
      <c r="AY412" s="83">
        <v>1.0</v>
      </c>
      <c r="AZ412" s="83" t="s">
        <v>5448</v>
      </c>
      <c r="BA412" s="83" t="s">
        <v>5449</v>
      </c>
      <c r="BB412" s="83" t="s">
        <v>5450</v>
      </c>
      <c r="BC412" s="54" t="s">
        <v>30</v>
      </c>
      <c r="BD412" s="54" t="str">
        <f t="shared" si="1"/>
        <v>Callao</v>
      </c>
      <c r="BE412" s="67" t="s">
        <v>140</v>
      </c>
      <c r="BF412" s="67" t="s">
        <v>141</v>
      </c>
      <c r="BG412" s="67" t="s">
        <v>142</v>
      </c>
      <c r="BH412" s="67"/>
      <c r="BI412" s="67"/>
      <c r="BJ412" s="67"/>
      <c r="BK412" s="67"/>
      <c r="BL412" s="67" t="s">
        <v>147</v>
      </c>
      <c r="BM412" s="67" t="s">
        <v>146</v>
      </c>
      <c r="BN412" s="100">
        <v>89.0</v>
      </c>
      <c r="BO412" s="102" t="s">
        <v>148</v>
      </c>
      <c r="BP412" s="67" t="s">
        <v>141</v>
      </c>
      <c r="BQ412" s="79" t="s">
        <v>141</v>
      </c>
      <c r="BR412" s="67" t="s">
        <v>149</v>
      </c>
      <c r="BS412" s="102">
        <v>1.0</v>
      </c>
      <c r="BT412" s="106">
        <v>46251.0</v>
      </c>
      <c r="BU412" s="107">
        <v>4.0</v>
      </c>
      <c r="BV412" s="108">
        <f t="shared" si="2"/>
        <v>46251</v>
      </c>
      <c r="BW412" s="108">
        <f t="shared" si="16"/>
        <v>46253</v>
      </c>
      <c r="BX412" s="102" t="str">
        <f t="shared" si="15"/>
        <v>09</v>
      </c>
      <c r="BY412" s="107">
        <f t="shared" si="5"/>
        <v>5</v>
      </c>
      <c r="BZ412" s="107">
        <f t="array" ref="BZ412">IF($A412&lt;&gt;"",INDEX(LISTA!$M$2:$N$27,MATCH($BC412,LISTA!$N$2:$N$27,0),1),"")</f>
        <v>2</v>
      </c>
      <c r="CA412" s="67">
        <f t="shared" si="6"/>
        <v>8</v>
      </c>
      <c r="CB412" s="114">
        <f t="shared" si="7"/>
        <v>8</v>
      </c>
      <c r="CC412" s="160">
        <v>5.8338471E7</v>
      </c>
    </row>
    <row r="413" ht="15.0" customHeight="1">
      <c r="A413" s="59">
        <v>46247.505680532406</v>
      </c>
      <c r="B413" s="62" t="s">
        <v>105</v>
      </c>
      <c r="C413" s="54" t="s">
        <v>100</v>
      </c>
      <c r="D413" s="56" t="s">
        <v>319</v>
      </c>
      <c r="E413" s="69">
        <v>46251.375</v>
      </c>
      <c r="F413" s="165"/>
      <c r="G413" s="60" t="s">
        <v>5451</v>
      </c>
      <c r="H413" s="60" t="s">
        <v>5452</v>
      </c>
      <c r="I413" s="67" t="s">
        <v>350</v>
      </c>
      <c r="J413" s="79" t="s">
        <v>5453</v>
      </c>
      <c r="K413" s="67" t="s">
        <v>109</v>
      </c>
      <c r="L413" s="79" t="s">
        <v>5454</v>
      </c>
      <c r="M413" s="83" t="s">
        <v>5455</v>
      </c>
      <c r="N413" s="78">
        <v>25935.0</v>
      </c>
      <c r="O413" s="80" t="s">
        <v>41</v>
      </c>
      <c r="P413" s="70">
        <v>150104.0</v>
      </c>
      <c r="Q413" s="54"/>
      <c r="R413" s="84"/>
      <c r="S413" s="84"/>
      <c r="T413" s="54"/>
      <c r="U413" s="86"/>
      <c r="V413" s="54"/>
      <c r="W413" s="86"/>
      <c r="X413" s="54"/>
      <c r="Y413" s="78"/>
      <c r="Z413" s="54"/>
      <c r="AA413" s="70"/>
      <c r="AB413" s="83"/>
      <c r="AC413" s="83"/>
      <c r="AD413" s="83"/>
      <c r="AE413" s="83"/>
      <c r="AF413" s="83" t="s">
        <v>2354</v>
      </c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54" t="s">
        <v>716</v>
      </c>
      <c r="AR413" s="83" t="s">
        <v>3044</v>
      </c>
      <c r="AS413" s="83" t="s">
        <v>5456</v>
      </c>
      <c r="AT413" s="93" t="s">
        <v>5453</v>
      </c>
      <c r="AU413" s="93" t="s">
        <v>5453</v>
      </c>
      <c r="AV413" s="93" t="s">
        <v>5453</v>
      </c>
      <c r="AW413" s="83" t="s">
        <v>5457</v>
      </c>
      <c r="AX413" s="83">
        <v>2.0</v>
      </c>
      <c r="AY413" s="83">
        <v>0.0</v>
      </c>
      <c r="AZ413" s="83" t="s">
        <v>5458</v>
      </c>
      <c r="BA413" s="83" t="s">
        <v>5459</v>
      </c>
      <c r="BB413" s="83" t="s">
        <v>5460</v>
      </c>
      <c r="BC413" s="54" t="s">
        <v>41</v>
      </c>
      <c r="BD413" s="54" t="str">
        <f t="shared" si="1"/>
        <v>San Luis</v>
      </c>
      <c r="BE413" s="67" t="s">
        <v>140</v>
      </c>
      <c r="BF413" s="67" t="s">
        <v>144</v>
      </c>
      <c r="BG413" s="67" t="s">
        <v>142</v>
      </c>
      <c r="BH413" s="67"/>
      <c r="BI413" s="67"/>
      <c r="BJ413" s="67"/>
      <c r="BK413" s="67"/>
      <c r="BL413" s="67" t="s">
        <v>147</v>
      </c>
      <c r="BM413" s="67" t="s">
        <v>146</v>
      </c>
      <c r="BN413" s="100">
        <v>69.0</v>
      </c>
      <c r="BO413" s="102" t="s">
        <v>615</v>
      </c>
      <c r="BP413" s="67" t="s">
        <v>141</v>
      </c>
      <c r="BQ413" s="79" t="s">
        <v>141</v>
      </c>
      <c r="BR413" s="67" t="s">
        <v>149</v>
      </c>
      <c r="BS413" s="102" t="s">
        <v>149</v>
      </c>
      <c r="BT413" s="106">
        <v>46252.0</v>
      </c>
      <c r="BU413" s="107">
        <v>1.0</v>
      </c>
      <c r="BV413" s="108">
        <f t="shared" si="2"/>
        <v>46247</v>
      </c>
      <c r="BW413" s="108">
        <f t="shared" si="16"/>
        <v>46251</v>
      </c>
      <c r="BX413" s="102" t="str">
        <f t="shared" si="15"/>
        <v>09</v>
      </c>
      <c r="BY413" s="107">
        <f t="shared" si="5"/>
        <v>5</v>
      </c>
      <c r="BZ413" s="107">
        <f t="array" ref="BZ413">IF($A413&lt;&gt;"",INDEX(LISTA!$M$2:$N$27,MATCH($BC413,LISTA!$N$2:$N$27,0),1),"")</f>
        <v>1</v>
      </c>
      <c r="CA413" s="67">
        <f t="shared" si="6"/>
        <v>8</v>
      </c>
      <c r="CB413" s="114">
        <f t="shared" si="7"/>
        <v>8</v>
      </c>
      <c r="CC413" s="160">
        <v>5.8313338E7</v>
      </c>
    </row>
    <row r="414" ht="15.0" customHeight="1">
      <c r="A414" s="59">
        <v>46251.65792810185</v>
      </c>
      <c r="B414" s="62" t="s">
        <v>105</v>
      </c>
      <c r="C414" s="54" t="s">
        <v>100</v>
      </c>
      <c r="D414" s="56" t="s">
        <v>319</v>
      </c>
      <c r="E414" s="69">
        <v>46252.375</v>
      </c>
      <c r="F414" s="162"/>
      <c r="G414" s="60" t="s">
        <v>5461</v>
      </c>
      <c r="H414" s="60" t="s">
        <v>5462</v>
      </c>
      <c r="I414" s="67" t="s">
        <v>384</v>
      </c>
      <c r="J414" s="79" t="s">
        <v>5463</v>
      </c>
      <c r="K414" s="67" t="s">
        <v>109</v>
      </c>
      <c r="L414" s="79" t="s">
        <v>5464</v>
      </c>
      <c r="M414" s="83" t="s">
        <v>5465</v>
      </c>
      <c r="N414" s="78">
        <v>30650.0</v>
      </c>
      <c r="O414" s="80" t="s">
        <v>24</v>
      </c>
      <c r="P414" s="156" t="s">
        <v>1774</v>
      </c>
      <c r="Q414" s="54"/>
      <c r="R414" s="84"/>
      <c r="S414" s="84"/>
      <c r="T414" s="54"/>
      <c r="U414" s="86"/>
      <c r="V414" s="54"/>
      <c r="W414" s="86"/>
      <c r="X414" s="54"/>
      <c r="Y414" s="78"/>
      <c r="Z414" s="54"/>
      <c r="AA414" s="70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 t="s">
        <v>166</v>
      </c>
      <c r="AN414" s="83"/>
      <c r="AO414" s="83"/>
      <c r="AP414" s="83"/>
      <c r="AQ414" s="54" t="s">
        <v>1640</v>
      </c>
      <c r="AR414" s="83" t="s">
        <v>1944</v>
      </c>
      <c r="AS414" s="83" t="s">
        <v>5466</v>
      </c>
      <c r="AT414" s="93" t="s">
        <v>5463</v>
      </c>
      <c r="AU414" s="93" t="s">
        <v>5463</v>
      </c>
      <c r="AV414" s="93" t="s">
        <v>5463</v>
      </c>
      <c r="AW414" s="83" t="s">
        <v>5467</v>
      </c>
      <c r="AX414" s="83">
        <v>1.0</v>
      </c>
      <c r="AY414" s="83" t="s">
        <v>2519</v>
      </c>
      <c r="AZ414" s="83" t="s">
        <v>5468</v>
      </c>
      <c r="BA414" s="83" t="s">
        <v>2519</v>
      </c>
      <c r="BB414" s="83" t="s">
        <v>5469</v>
      </c>
      <c r="BC414" s="54" t="s">
        <v>49</v>
      </c>
      <c r="BD414" s="54" t="str">
        <f t="shared" si="1"/>
        <v>San Martín</v>
      </c>
      <c r="BE414" s="67" t="s">
        <v>140</v>
      </c>
      <c r="BF414" s="67" t="s">
        <v>141</v>
      </c>
      <c r="BG414" s="67" t="s">
        <v>142</v>
      </c>
      <c r="BH414" s="67"/>
      <c r="BI414" s="67"/>
      <c r="BJ414" s="67"/>
      <c r="BK414" s="67"/>
      <c r="BL414" s="67" t="s">
        <v>147</v>
      </c>
      <c r="BM414" s="67" t="s">
        <v>146</v>
      </c>
      <c r="BN414" s="100">
        <v>110.0</v>
      </c>
      <c r="BO414" s="102" t="s">
        <v>182</v>
      </c>
      <c r="BP414" s="67" t="s">
        <v>144</v>
      </c>
      <c r="BQ414" s="79" t="s">
        <v>141</v>
      </c>
      <c r="BR414" s="67" t="s">
        <v>149</v>
      </c>
      <c r="BS414" s="102">
        <v>1.0</v>
      </c>
      <c r="BT414" s="106">
        <v>46252.0</v>
      </c>
      <c r="BU414" s="107">
        <v>1.0</v>
      </c>
      <c r="BV414" s="108">
        <f t="shared" si="2"/>
        <v>46251</v>
      </c>
      <c r="BW414" s="108">
        <f t="shared" si="16"/>
        <v>46252</v>
      </c>
      <c r="BX414" s="102" t="str">
        <f t="shared" si="15"/>
        <v>09</v>
      </c>
      <c r="BY414" s="107">
        <f t="shared" si="5"/>
        <v>5</v>
      </c>
      <c r="BZ414" s="107">
        <f t="array" ref="BZ414">IF($A414&lt;&gt;"",INDEX(LISTA!$M$2:$N$27,MATCH($BC414,LISTA!$N$2:$N$27,0),1),"")</f>
        <v>23</v>
      </c>
      <c r="CA414" s="67">
        <f t="shared" si="6"/>
        <v>8</v>
      </c>
      <c r="CB414" s="114">
        <f t="shared" si="7"/>
        <v>8</v>
      </c>
      <c r="CC414" s="160">
        <v>5.8338691E7</v>
      </c>
    </row>
    <row r="415" ht="15.0" customHeight="1">
      <c r="A415" s="59">
        <v>46248.410320613424</v>
      </c>
      <c r="B415" s="62" t="s">
        <v>105</v>
      </c>
      <c r="C415" s="54" t="s">
        <v>100</v>
      </c>
      <c r="D415" s="56" t="s">
        <v>319</v>
      </c>
      <c r="E415" s="69">
        <v>46252.375</v>
      </c>
      <c r="F415" s="162" t="s">
        <v>5470</v>
      </c>
      <c r="G415" s="60" t="s">
        <v>5471</v>
      </c>
      <c r="H415" s="60" t="s">
        <v>5472</v>
      </c>
      <c r="I415" s="67" t="s">
        <v>382</v>
      </c>
      <c r="J415" s="79" t="s">
        <v>5473</v>
      </c>
      <c r="K415" s="67" t="s">
        <v>109</v>
      </c>
      <c r="L415" s="79" t="s">
        <v>5474</v>
      </c>
      <c r="M415" s="83" t="s">
        <v>5475</v>
      </c>
      <c r="N415" s="78">
        <v>23091.0</v>
      </c>
      <c r="O415" s="80" t="s">
        <v>37</v>
      </c>
      <c r="P415" s="70">
        <v>151016.0</v>
      </c>
      <c r="Q415" s="54"/>
      <c r="R415" s="84"/>
      <c r="S415" s="84"/>
      <c r="T415" s="54"/>
      <c r="U415" s="86"/>
      <c r="V415" s="54"/>
      <c r="W415" s="86"/>
      <c r="X415" s="54"/>
      <c r="Y415" s="78"/>
      <c r="Z415" s="54"/>
      <c r="AA415" s="70"/>
      <c r="AB415" s="83"/>
      <c r="AC415" s="83"/>
      <c r="AD415" s="83"/>
      <c r="AE415" s="83" t="s">
        <v>5476</v>
      </c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54" t="s">
        <v>5477</v>
      </c>
      <c r="AR415" s="83" t="s">
        <v>5478</v>
      </c>
      <c r="AS415" s="83" t="s">
        <v>5479</v>
      </c>
      <c r="AT415" s="93" t="s">
        <v>5473</v>
      </c>
      <c r="AU415" s="93" t="s">
        <v>5473</v>
      </c>
      <c r="AV415" s="93" t="s">
        <v>5473</v>
      </c>
      <c r="AW415" s="83" t="s">
        <v>5480</v>
      </c>
      <c r="AX415" s="83">
        <v>2.0</v>
      </c>
      <c r="AY415" s="83">
        <v>0.0</v>
      </c>
      <c r="AZ415" s="83" t="s">
        <v>5481</v>
      </c>
      <c r="BA415" s="83" t="s">
        <v>5482</v>
      </c>
      <c r="BB415" s="83" t="s">
        <v>5483</v>
      </c>
      <c r="BC415" s="54" t="s">
        <v>37</v>
      </c>
      <c r="BD415" s="54" t="str">
        <f t="shared" si="1"/>
        <v>Yauyos</v>
      </c>
      <c r="BE415" s="67" t="s">
        <v>140</v>
      </c>
      <c r="BF415" s="67" t="s">
        <v>144</v>
      </c>
      <c r="BG415" s="67" t="s">
        <v>142</v>
      </c>
      <c r="BH415" s="67"/>
      <c r="BI415" s="67"/>
      <c r="BJ415" s="67"/>
      <c r="BK415" s="67"/>
      <c r="BL415" s="67" t="s">
        <v>147</v>
      </c>
      <c r="BM415" s="67" t="s">
        <v>146</v>
      </c>
      <c r="BN415" s="100">
        <v>89.0</v>
      </c>
      <c r="BO415" s="102" t="s">
        <v>148</v>
      </c>
      <c r="BP415" s="67" t="s">
        <v>141</v>
      </c>
      <c r="BQ415" s="79" t="s">
        <v>141</v>
      </c>
      <c r="BR415" s="67" t="s">
        <v>149</v>
      </c>
      <c r="BS415" s="102">
        <v>1.0</v>
      </c>
      <c r="BT415" s="106">
        <v>46252.0</v>
      </c>
      <c r="BU415" s="107">
        <v>2.0</v>
      </c>
      <c r="BV415" s="108">
        <f t="shared" si="2"/>
        <v>46248</v>
      </c>
      <c r="BW415" s="108">
        <f t="shared" si="16"/>
        <v>46252</v>
      </c>
      <c r="BX415" s="102" t="str">
        <f t="shared" si="15"/>
        <v>09</v>
      </c>
      <c r="BY415" s="107">
        <f t="shared" si="5"/>
        <v>5</v>
      </c>
      <c r="BZ415" s="107">
        <f t="array" ref="BZ415">IF($A415&lt;&gt;"",INDEX(LISTA!$M$2:$N$27,MATCH($BC415,LISTA!$N$2:$N$27,0),1),"")</f>
        <v>3</v>
      </c>
      <c r="CA415" s="67">
        <f t="shared" si="6"/>
        <v>8</v>
      </c>
      <c r="CB415" s="114">
        <f t="shared" si="7"/>
        <v>8</v>
      </c>
      <c r="CC415" s="67">
        <v>5.8318066E7</v>
      </c>
    </row>
    <row r="416" ht="15.0" customHeight="1">
      <c r="A416" s="59">
        <v>46251.50837451388</v>
      </c>
      <c r="B416" s="62" t="s">
        <v>105</v>
      </c>
      <c r="C416" s="54" t="s">
        <v>100</v>
      </c>
      <c r="D416" s="56" t="s">
        <v>319</v>
      </c>
      <c r="E416" s="69">
        <v>46252.375</v>
      </c>
      <c r="F416" s="162"/>
      <c r="G416" s="60" t="s">
        <v>5484</v>
      </c>
      <c r="H416" s="60" t="s">
        <v>5485</v>
      </c>
      <c r="I416" s="67" t="s">
        <v>386</v>
      </c>
      <c r="J416" s="79" t="s">
        <v>5486</v>
      </c>
      <c r="K416" s="67" t="s">
        <v>109</v>
      </c>
      <c r="L416" s="79" t="s">
        <v>5487</v>
      </c>
      <c r="M416" s="83" t="s">
        <v>5488</v>
      </c>
      <c r="N416" s="78">
        <v>23852.0</v>
      </c>
      <c r="O416" s="80" t="s">
        <v>36</v>
      </c>
      <c r="P416" s="70">
        <v>120101.0</v>
      </c>
      <c r="Q416" s="54"/>
      <c r="R416" s="84"/>
      <c r="S416" s="84"/>
      <c r="T416" s="54"/>
      <c r="U416" s="86"/>
      <c r="V416" s="54"/>
      <c r="W416" s="86" t="s">
        <v>553</v>
      </c>
      <c r="X416" s="54"/>
      <c r="Y416" s="78"/>
      <c r="Z416" s="54"/>
      <c r="AA416" s="70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54" t="s">
        <v>4929</v>
      </c>
      <c r="AR416" s="83" t="s">
        <v>2016</v>
      </c>
      <c r="AS416" s="83" t="s">
        <v>5489</v>
      </c>
      <c r="AT416" s="93" t="s">
        <v>5490</v>
      </c>
      <c r="AU416" s="93" t="s">
        <v>5490</v>
      </c>
      <c r="AV416" s="93" t="s">
        <v>5490</v>
      </c>
      <c r="AW416" s="83" t="s">
        <v>5491</v>
      </c>
      <c r="AX416" s="83">
        <v>1.0</v>
      </c>
      <c r="AY416" s="83" t="s">
        <v>1657</v>
      </c>
      <c r="AZ416" s="83" t="s">
        <v>5492</v>
      </c>
      <c r="BA416" s="83" t="s">
        <v>1657</v>
      </c>
      <c r="BB416" s="83" t="s">
        <v>5493</v>
      </c>
      <c r="BC416" s="54" t="s">
        <v>30</v>
      </c>
      <c r="BD416" s="54" t="str">
        <f t="shared" si="1"/>
        <v>Callao</v>
      </c>
      <c r="BE416" s="67" t="s">
        <v>143</v>
      </c>
      <c r="BF416" s="67" t="s">
        <v>141</v>
      </c>
      <c r="BG416" s="67" t="s">
        <v>142</v>
      </c>
      <c r="BH416" s="67"/>
      <c r="BI416" s="67"/>
      <c r="BJ416" s="67"/>
      <c r="BK416" s="67"/>
      <c r="BL416" s="67" t="s">
        <v>147</v>
      </c>
      <c r="BM416" s="67" t="s">
        <v>146</v>
      </c>
      <c r="BN416" s="100">
        <v>89.0</v>
      </c>
      <c r="BO416" s="102" t="s">
        <v>148</v>
      </c>
      <c r="BP416" s="67" t="s">
        <v>141</v>
      </c>
      <c r="BQ416" s="79" t="s">
        <v>141</v>
      </c>
      <c r="BR416" s="67" t="s">
        <v>149</v>
      </c>
      <c r="BS416" s="102" t="s">
        <v>149</v>
      </c>
      <c r="BT416" s="106">
        <v>46252.0</v>
      </c>
      <c r="BU416" s="107">
        <v>4.0</v>
      </c>
      <c r="BV416" s="108">
        <f t="shared" si="2"/>
        <v>46251</v>
      </c>
      <c r="BW416" s="108">
        <f t="shared" si="16"/>
        <v>46252</v>
      </c>
      <c r="BX416" s="102" t="str">
        <f t="shared" si="15"/>
        <v>09</v>
      </c>
      <c r="BY416" s="107">
        <f t="shared" si="5"/>
        <v>5</v>
      </c>
      <c r="BZ416" s="107">
        <f t="array" ref="BZ416">IF($A416&lt;&gt;"",INDEX(LISTA!$M$2:$N$27,MATCH($BC416,LISTA!$N$2:$N$27,0),1),"")</f>
        <v>2</v>
      </c>
      <c r="CA416" s="67">
        <f t="shared" si="6"/>
        <v>8</v>
      </c>
      <c r="CB416" s="114">
        <f t="shared" si="7"/>
        <v>8</v>
      </c>
      <c r="CC416" s="67">
        <v>5.8336336E7</v>
      </c>
    </row>
    <row r="417" ht="15.0" customHeight="1">
      <c r="A417" s="59">
        <v>46247.61117480324</v>
      </c>
      <c r="B417" s="62" t="s">
        <v>105</v>
      </c>
      <c r="C417" s="54" t="s">
        <v>100</v>
      </c>
      <c r="D417" s="56" t="s">
        <v>101</v>
      </c>
      <c r="E417" s="69">
        <v>46252.375</v>
      </c>
      <c r="F417" s="162" t="s">
        <v>4013</v>
      </c>
      <c r="G417" s="60" t="s">
        <v>5494</v>
      </c>
      <c r="H417" s="60" t="s">
        <v>5495</v>
      </c>
      <c r="I417" s="67" t="s">
        <v>107</v>
      </c>
      <c r="J417" s="79" t="s">
        <v>5496</v>
      </c>
      <c r="K417" s="67" t="s">
        <v>109</v>
      </c>
      <c r="L417" s="79" t="s">
        <v>5497</v>
      </c>
      <c r="M417" s="83" t="s">
        <v>5498</v>
      </c>
      <c r="N417" s="78">
        <v>30124.0</v>
      </c>
      <c r="O417" s="80" t="s">
        <v>41</v>
      </c>
      <c r="P417" s="70">
        <v>150717.0</v>
      </c>
      <c r="Q417" s="54"/>
      <c r="R417" s="84"/>
      <c r="S417" s="84"/>
      <c r="T417" s="54"/>
      <c r="U417" s="86"/>
      <c r="V417" s="54"/>
      <c r="W417" s="86"/>
      <c r="X417" s="54"/>
      <c r="Y417" s="78"/>
      <c r="Z417" s="54"/>
      <c r="AA417" s="70"/>
      <c r="AB417" s="83"/>
      <c r="AC417" s="83"/>
      <c r="AD417" s="83"/>
      <c r="AE417" s="83"/>
      <c r="AF417" s="83" t="s">
        <v>268</v>
      </c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54" t="s">
        <v>5499</v>
      </c>
      <c r="AR417" s="83" t="s">
        <v>1944</v>
      </c>
      <c r="AS417" s="83" t="s">
        <v>5500</v>
      </c>
      <c r="AT417" s="93" t="s">
        <v>5496</v>
      </c>
      <c r="AU417" s="93" t="s">
        <v>5496</v>
      </c>
      <c r="AV417" s="93" t="s">
        <v>5496</v>
      </c>
      <c r="AW417" s="83" t="s">
        <v>5501</v>
      </c>
      <c r="AX417" s="83">
        <v>2.0</v>
      </c>
      <c r="AY417" s="83">
        <v>0.0</v>
      </c>
      <c r="AZ417" s="83" t="s">
        <v>5502</v>
      </c>
      <c r="BA417" s="83" t="s">
        <v>5503</v>
      </c>
      <c r="BB417" s="83" t="s">
        <v>5504</v>
      </c>
      <c r="BC417" s="54" t="s">
        <v>41</v>
      </c>
      <c r="BD417" s="54" t="str">
        <f t="shared" si="1"/>
        <v>Lince</v>
      </c>
      <c r="BE417" s="67" t="s">
        <v>140</v>
      </c>
      <c r="BF417" s="67" t="s">
        <v>141</v>
      </c>
      <c r="BG417" s="67" t="s">
        <v>142</v>
      </c>
      <c r="BH417" s="67"/>
      <c r="BI417" s="67"/>
      <c r="BJ417" s="67"/>
      <c r="BK417" s="67"/>
      <c r="BL417" s="67" t="s">
        <v>145</v>
      </c>
      <c r="BM417" s="67" t="s">
        <v>146</v>
      </c>
      <c r="BN417" s="100">
        <v>150.0</v>
      </c>
      <c r="BO417" s="102" t="s">
        <v>615</v>
      </c>
      <c r="BP417" s="67" t="s">
        <v>141</v>
      </c>
      <c r="BQ417" s="79" t="s">
        <v>141</v>
      </c>
      <c r="BR417" s="67">
        <v>2.0</v>
      </c>
      <c r="BS417" s="102" t="s">
        <v>149</v>
      </c>
      <c r="BT417" s="106">
        <v>46252.0</v>
      </c>
      <c r="BU417" s="107">
        <v>5.0</v>
      </c>
      <c r="BV417" s="108">
        <f t="shared" si="2"/>
        <v>46247</v>
      </c>
      <c r="BW417" s="108">
        <f t="shared" si="16"/>
        <v>46252</v>
      </c>
      <c r="BX417" s="102" t="str">
        <f t="shared" si="15"/>
        <v>09</v>
      </c>
      <c r="BY417" s="107">
        <f t="shared" si="5"/>
        <v>5</v>
      </c>
      <c r="BZ417" s="107">
        <f t="array" ref="BZ417">IF($A417&lt;&gt;"",INDEX(LISTA!$M$2:$N$27,MATCH($BC417,LISTA!$N$2:$N$27,0),1),"")</f>
        <v>1</v>
      </c>
      <c r="CA417" s="67">
        <f t="shared" si="6"/>
        <v>8</v>
      </c>
      <c r="CB417" s="114">
        <f t="shared" si="7"/>
        <v>8</v>
      </c>
      <c r="CC417" s="67">
        <v>5.8313126E7</v>
      </c>
    </row>
    <row r="418" ht="15.0" customHeight="1">
      <c r="A418" s="59">
        <v>46251.56592179398</v>
      </c>
      <c r="B418" s="62" t="s">
        <v>105</v>
      </c>
      <c r="C418" s="54" t="s">
        <v>100</v>
      </c>
      <c r="D418" s="154" t="s">
        <v>319</v>
      </c>
      <c r="E418" s="69">
        <v>46252.583333333336</v>
      </c>
      <c r="F418" s="162"/>
      <c r="G418" s="60" t="s">
        <v>5505</v>
      </c>
      <c r="H418" s="60" t="s">
        <v>5506</v>
      </c>
      <c r="I418" s="67" t="s">
        <v>382</v>
      </c>
      <c r="J418" s="79" t="s">
        <v>5507</v>
      </c>
      <c r="K418" s="67" t="s">
        <v>109</v>
      </c>
      <c r="L418" s="79" t="s">
        <v>5508</v>
      </c>
      <c r="M418" s="83" t="s">
        <v>5509</v>
      </c>
      <c r="N418" s="78">
        <v>28954.0</v>
      </c>
      <c r="O418" s="80" t="s">
        <v>37</v>
      </c>
      <c r="P418" s="70">
        <v>150113.0</v>
      </c>
      <c r="Q418" s="54"/>
      <c r="R418" s="84"/>
      <c r="S418" s="84"/>
      <c r="T418" s="54"/>
      <c r="U418" s="86"/>
      <c r="V418" s="54"/>
      <c r="W418" s="86"/>
      <c r="X418" s="54"/>
      <c r="Y418" s="78"/>
      <c r="Z418" s="54"/>
      <c r="AA418" s="70"/>
      <c r="AB418" s="83"/>
      <c r="AC418" s="83"/>
      <c r="AD418" s="83"/>
      <c r="AE418" s="83"/>
      <c r="AF418" s="83" t="s">
        <v>3415</v>
      </c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54" t="s">
        <v>5510</v>
      </c>
      <c r="AR418" s="83" t="s">
        <v>5511</v>
      </c>
      <c r="AS418" s="83" t="s">
        <v>5512</v>
      </c>
      <c r="AT418" s="93" t="s">
        <v>5513</v>
      </c>
      <c r="AU418" s="93" t="s">
        <v>5513</v>
      </c>
      <c r="AV418" s="93" t="s">
        <v>5513</v>
      </c>
      <c r="AW418" s="83" t="s">
        <v>5514</v>
      </c>
      <c r="AX418" s="83">
        <v>3.0</v>
      </c>
      <c r="AY418" s="83">
        <v>0.0</v>
      </c>
      <c r="AZ418" s="83" t="s">
        <v>5515</v>
      </c>
      <c r="BA418" s="83" t="s">
        <v>5516</v>
      </c>
      <c r="BB418" s="83" t="s">
        <v>5517</v>
      </c>
      <c r="BC418" s="54" t="s">
        <v>41</v>
      </c>
      <c r="BD418" s="54" t="str">
        <f t="shared" si="1"/>
        <v>Jesús María</v>
      </c>
      <c r="BE418" s="67" t="s">
        <v>140</v>
      </c>
      <c r="BF418" s="67" t="s">
        <v>144</v>
      </c>
      <c r="BG418" s="67" t="s">
        <v>142</v>
      </c>
      <c r="BH418" s="67"/>
      <c r="BI418" s="67"/>
      <c r="BJ418" s="67"/>
      <c r="BK418" s="67"/>
      <c r="BL418" s="67" t="s">
        <v>145</v>
      </c>
      <c r="BM418" s="67" t="s">
        <v>146</v>
      </c>
      <c r="BN418" s="100">
        <v>170.0</v>
      </c>
      <c r="BO418" s="102" t="s">
        <v>148</v>
      </c>
      <c r="BP418" s="67" t="s">
        <v>144</v>
      </c>
      <c r="BQ418" s="79" t="s">
        <v>141</v>
      </c>
      <c r="BR418" s="67">
        <v>2.0</v>
      </c>
      <c r="BS418" s="102">
        <v>1.0</v>
      </c>
      <c r="BT418" s="106">
        <v>46252.0</v>
      </c>
      <c r="BU418" s="107">
        <v>6.0</v>
      </c>
      <c r="BV418" s="108">
        <f t="shared" si="2"/>
        <v>46251</v>
      </c>
      <c r="BW418" s="108">
        <f t="shared" si="16"/>
        <v>46252</v>
      </c>
      <c r="BX418" s="102" t="str">
        <f t="shared" si="15"/>
        <v>14</v>
      </c>
      <c r="BY418" s="107">
        <f t="shared" si="5"/>
        <v>5</v>
      </c>
      <c r="BZ418" s="107">
        <f t="array" ref="BZ418">IF($A418&lt;&gt;"",INDEX(LISTA!$M$2:$N$27,MATCH($BC418,LISTA!$N$2:$N$27,0),1),"")</f>
        <v>1</v>
      </c>
      <c r="CA418" s="67">
        <f t="shared" si="6"/>
        <v>8</v>
      </c>
      <c r="CB418" s="114">
        <f t="shared" si="7"/>
        <v>8</v>
      </c>
      <c r="CC418" s="67">
        <v>5.8338858E7</v>
      </c>
    </row>
    <row r="419" ht="15.0" customHeight="1">
      <c r="A419" s="59">
        <v>46252.726943657406</v>
      </c>
      <c r="B419" s="62" t="s">
        <v>105</v>
      </c>
      <c r="C419" s="54" t="s">
        <v>100</v>
      </c>
      <c r="D419" s="154" t="s">
        <v>319</v>
      </c>
      <c r="E419" s="69">
        <v>46253.375</v>
      </c>
      <c r="F419" s="162"/>
      <c r="G419" s="60" t="s">
        <v>5518</v>
      </c>
      <c r="H419" s="60" t="s">
        <v>5519</v>
      </c>
      <c r="I419" s="67" t="s">
        <v>107</v>
      </c>
      <c r="J419" s="79" t="s">
        <v>5520</v>
      </c>
      <c r="K419" s="67" t="s">
        <v>109</v>
      </c>
      <c r="L419" s="79" t="s">
        <v>5521</v>
      </c>
      <c r="M419" s="83" t="s">
        <v>5522</v>
      </c>
      <c r="N419" s="78">
        <v>32562.0</v>
      </c>
      <c r="O419" s="80" t="s">
        <v>46</v>
      </c>
      <c r="P419" s="70">
        <v>190204.0</v>
      </c>
      <c r="Q419" s="54"/>
      <c r="R419" s="84"/>
      <c r="S419" s="84"/>
      <c r="T419" s="54"/>
      <c r="U419" s="86"/>
      <c r="V419" s="54"/>
      <c r="W419" s="86"/>
      <c r="X419" s="54"/>
      <c r="Y419" s="78"/>
      <c r="Z419" s="54"/>
      <c r="AA419" s="70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 t="s">
        <v>199</v>
      </c>
      <c r="AL419" s="83"/>
      <c r="AM419" s="83"/>
      <c r="AN419" s="83"/>
      <c r="AO419" s="83"/>
      <c r="AP419" s="83"/>
      <c r="AQ419" s="54" t="s">
        <v>5523</v>
      </c>
      <c r="AR419" s="83" t="s">
        <v>5524</v>
      </c>
      <c r="AS419" s="83" t="s">
        <v>5525</v>
      </c>
      <c r="AT419" s="93" t="s">
        <v>5520</v>
      </c>
      <c r="AU419" s="93" t="s">
        <v>5520</v>
      </c>
      <c r="AV419" s="93" t="s">
        <v>5520</v>
      </c>
      <c r="AW419" s="83" t="s">
        <v>5526</v>
      </c>
      <c r="AX419" s="83">
        <v>2.0</v>
      </c>
      <c r="AY419" s="83">
        <v>1.0</v>
      </c>
      <c r="AZ419" s="83" t="s">
        <v>5527</v>
      </c>
      <c r="BA419" s="83" t="s">
        <v>5528</v>
      </c>
      <c r="BB419" s="83" t="s">
        <v>5529</v>
      </c>
      <c r="BC419" s="54" t="s">
        <v>46</v>
      </c>
      <c r="BD419" s="54" t="str">
        <f t="shared" si="1"/>
        <v>Piura</v>
      </c>
      <c r="BE419" s="67" t="s">
        <v>143</v>
      </c>
      <c r="BF419" s="67" t="s">
        <v>144</v>
      </c>
      <c r="BG419" s="67" t="s">
        <v>142</v>
      </c>
      <c r="BH419" s="67"/>
      <c r="BI419" s="67"/>
      <c r="BJ419" s="67"/>
      <c r="BK419" s="67"/>
      <c r="BL419" s="67" t="s">
        <v>147</v>
      </c>
      <c r="BM419" s="67" t="s">
        <v>146</v>
      </c>
      <c r="BN419" s="100">
        <v>89.0</v>
      </c>
      <c r="BO419" s="102" t="s">
        <v>148</v>
      </c>
      <c r="BP419" s="67" t="s">
        <v>141</v>
      </c>
      <c r="BQ419" s="79" t="s">
        <v>141</v>
      </c>
      <c r="BR419" s="67" t="s">
        <v>149</v>
      </c>
      <c r="BS419" s="102" t="s">
        <v>149</v>
      </c>
      <c r="BT419" s="106">
        <v>46253.0</v>
      </c>
      <c r="BU419" s="107">
        <v>1.0</v>
      </c>
      <c r="BV419" s="108">
        <f t="shared" si="2"/>
        <v>46252</v>
      </c>
      <c r="BW419" s="108">
        <f t="shared" si="16"/>
        <v>46253</v>
      </c>
      <c r="BX419" s="102" t="str">
        <f t="shared" si="15"/>
        <v>09</v>
      </c>
      <c r="BY419" s="107">
        <f t="shared" si="5"/>
        <v>5</v>
      </c>
      <c r="BZ419" s="107">
        <f t="array" ref="BZ419">IF($A419&lt;&gt;"",INDEX(LISTA!$M$2:$N$27,MATCH($BC419,LISTA!$N$2:$N$27,0),1),"")</f>
        <v>21</v>
      </c>
      <c r="CA419" s="67">
        <f t="shared" si="6"/>
        <v>8</v>
      </c>
      <c r="CB419" s="114">
        <f t="shared" si="7"/>
        <v>8</v>
      </c>
      <c r="CC419" s="67">
        <v>5.8348137E7</v>
      </c>
    </row>
    <row r="420" ht="15.0" customHeight="1">
      <c r="A420" s="59">
        <v>46249.48964274305</v>
      </c>
      <c r="B420" s="62" t="s">
        <v>105</v>
      </c>
      <c r="C420" s="54" t="s">
        <v>100</v>
      </c>
      <c r="D420" s="56" t="s">
        <v>319</v>
      </c>
      <c r="E420" s="69">
        <v>46253.375</v>
      </c>
      <c r="F420" s="162"/>
      <c r="G420" s="60" t="s">
        <v>5530</v>
      </c>
      <c r="H420" s="60" t="s">
        <v>5531</v>
      </c>
      <c r="I420" s="67" t="s">
        <v>405</v>
      </c>
      <c r="J420" s="79" t="s">
        <v>5532</v>
      </c>
      <c r="K420" s="67" t="s">
        <v>109</v>
      </c>
      <c r="L420" s="79" t="s">
        <v>5533</v>
      </c>
      <c r="M420" s="83" t="s">
        <v>5534</v>
      </c>
      <c r="N420" s="78">
        <v>31466.0</v>
      </c>
      <c r="O420" s="80" t="s">
        <v>37</v>
      </c>
      <c r="P420" s="70">
        <v>140101.0</v>
      </c>
      <c r="Q420" s="54"/>
      <c r="R420" s="84"/>
      <c r="S420" s="84"/>
      <c r="T420" s="54"/>
      <c r="U420" s="86"/>
      <c r="V420" s="54"/>
      <c r="W420" s="86"/>
      <c r="X420" s="54"/>
      <c r="Y420" s="78"/>
      <c r="Z420" s="54"/>
      <c r="AA420" s="70"/>
      <c r="AB420" s="83"/>
      <c r="AC420" s="83"/>
      <c r="AD420" s="83"/>
      <c r="AE420" s="83"/>
      <c r="AF420" s="83" t="s">
        <v>2259</v>
      </c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54" t="s">
        <v>5535</v>
      </c>
      <c r="AR420" s="83" t="s">
        <v>5536</v>
      </c>
      <c r="AS420" s="83" t="s">
        <v>5537</v>
      </c>
      <c r="AT420" s="93" t="s">
        <v>5532</v>
      </c>
      <c r="AU420" s="93" t="s">
        <v>5532</v>
      </c>
      <c r="AV420" s="93" t="s">
        <v>5532</v>
      </c>
      <c r="AW420" s="83" t="s">
        <v>5538</v>
      </c>
      <c r="AX420" s="83">
        <v>2.0</v>
      </c>
      <c r="AY420" s="83" t="s">
        <v>2519</v>
      </c>
      <c r="AZ420" s="83" t="s">
        <v>5539</v>
      </c>
      <c r="BA420" s="83" t="s">
        <v>5540</v>
      </c>
      <c r="BB420" s="83" t="s">
        <v>5541</v>
      </c>
      <c r="BC420" s="54" t="s">
        <v>41</v>
      </c>
      <c r="BD420" s="54" t="str">
        <f t="shared" si="1"/>
        <v>Lurigancho-Chosica</v>
      </c>
      <c r="BE420" s="67" t="s">
        <v>140</v>
      </c>
      <c r="BF420" s="67" t="s">
        <v>144</v>
      </c>
      <c r="BG420" s="67" t="s">
        <v>142</v>
      </c>
      <c r="BH420" s="67"/>
      <c r="BI420" s="67"/>
      <c r="BJ420" s="67"/>
      <c r="BK420" s="67"/>
      <c r="BL420" s="67" t="s">
        <v>147</v>
      </c>
      <c r="BM420" s="67" t="s">
        <v>146</v>
      </c>
      <c r="BN420" s="100">
        <v>89.0</v>
      </c>
      <c r="BO420" s="102" t="s">
        <v>148</v>
      </c>
      <c r="BP420" s="67" t="s">
        <v>141</v>
      </c>
      <c r="BQ420" s="79" t="s">
        <v>141</v>
      </c>
      <c r="BR420" s="67" t="s">
        <v>149</v>
      </c>
      <c r="BS420" s="102">
        <v>1.0</v>
      </c>
      <c r="BT420" s="106">
        <v>46253.0</v>
      </c>
      <c r="BU420" s="107">
        <v>2.0</v>
      </c>
      <c r="BV420" s="108">
        <f t="shared" si="2"/>
        <v>46249</v>
      </c>
      <c r="BW420" s="108">
        <f t="shared" si="16"/>
        <v>46253</v>
      </c>
      <c r="BX420" s="102" t="str">
        <f t="shared" si="15"/>
        <v>09</v>
      </c>
      <c r="BY420" s="107">
        <f t="shared" si="5"/>
        <v>5</v>
      </c>
      <c r="BZ420" s="107">
        <f t="array" ref="BZ420">IF($A420&lt;&gt;"",INDEX(LISTA!$M$2:$N$27,MATCH($BC420,LISTA!$N$2:$N$27,0),1),"")</f>
        <v>1</v>
      </c>
      <c r="CA420" s="67">
        <f t="shared" si="6"/>
        <v>8</v>
      </c>
      <c r="CB420" s="114">
        <f t="shared" si="7"/>
        <v>8</v>
      </c>
      <c r="CC420" s="67">
        <v>5.8327603E7</v>
      </c>
    </row>
    <row r="421" ht="15.0" customHeight="1">
      <c r="A421" s="59">
        <v>46242.51984409722</v>
      </c>
      <c r="B421" s="62" t="s">
        <v>105</v>
      </c>
      <c r="C421" s="54" t="s">
        <v>100</v>
      </c>
      <c r="D421" s="56" t="s">
        <v>319</v>
      </c>
      <c r="E421" s="69">
        <v>46253.375</v>
      </c>
      <c r="F421" s="162" t="s">
        <v>5542</v>
      </c>
      <c r="G421" s="60" t="s">
        <v>5543</v>
      </c>
      <c r="H421" s="60" t="s">
        <v>5544</v>
      </c>
      <c r="I421" s="67" t="s">
        <v>374</v>
      </c>
      <c r="J421" s="79" t="s">
        <v>5545</v>
      </c>
      <c r="K421" s="67" t="s">
        <v>109</v>
      </c>
      <c r="L421" s="79" t="s">
        <v>5546</v>
      </c>
      <c r="M421" s="83" t="s">
        <v>5547</v>
      </c>
      <c r="N421" s="78">
        <v>27284.0</v>
      </c>
      <c r="O421" s="80" t="s">
        <v>31</v>
      </c>
      <c r="P421" s="156" t="s">
        <v>5548</v>
      </c>
      <c r="Q421" s="54"/>
      <c r="R421" s="84"/>
      <c r="S421" s="84"/>
      <c r="T421" s="54"/>
      <c r="U421" s="86"/>
      <c r="V421" s="54"/>
      <c r="W421" s="86"/>
      <c r="X421" s="54" t="s">
        <v>1012</v>
      </c>
      <c r="Y421" s="78"/>
      <c r="Z421" s="54"/>
      <c r="AA421" s="70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54" t="s">
        <v>5549</v>
      </c>
      <c r="AR421" s="83" t="s">
        <v>5550</v>
      </c>
      <c r="AS421" s="83" t="s">
        <v>5551</v>
      </c>
      <c r="AT421" s="93" t="s">
        <v>5545</v>
      </c>
      <c r="AU421" s="93" t="s">
        <v>5545</v>
      </c>
      <c r="AV421" s="93" t="s">
        <v>5545</v>
      </c>
      <c r="AW421" s="83" t="s">
        <v>5552</v>
      </c>
      <c r="AX421" s="83">
        <v>3.0</v>
      </c>
      <c r="AY421" s="83" t="s">
        <v>1767</v>
      </c>
      <c r="AZ421" s="83" t="s">
        <v>5553</v>
      </c>
      <c r="BA421" s="83" t="s">
        <v>1767</v>
      </c>
      <c r="BB421" s="83" t="s">
        <v>5554</v>
      </c>
      <c r="BC421" s="54" t="s">
        <v>31</v>
      </c>
      <c r="BD421" s="54" t="str">
        <f t="shared" si="1"/>
        <v>Cusco</v>
      </c>
      <c r="BE421" s="67" t="s">
        <v>140</v>
      </c>
      <c r="BF421" s="67" t="s">
        <v>144</v>
      </c>
      <c r="BG421" s="67" t="s">
        <v>142</v>
      </c>
      <c r="BH421" s="67"/>
      <c r="BI421" s="67"/>
      <c r="BJ421" s="67"/>
      <c r="BK421" s="67"/>
      <c r="BL421" s="67" t="s">
        <v>147</v>
      </c>
      <c r="BM421" s="67" t="s">
        <v>1172</v>
      </c>
      <c r="BN421" s="100">
        <v>69.0</v>
      </c>
      <c r="BO421" s="102" t="s">
        <v>615</v>
      </c>
      <c r="BP421" s="67" t="s">
        <v>141</v>
      </c>
      <c r="BQ421" s="79" t="s">
        <v>141</v>
      </c>
      <c r="BR421" s="67" t="s">
        <v>149</v>
      </c>
      <c r="BS421" s="102" t="s">
        <v>149</v>
      </c>
      <c r="BT421" s="106">
        <v>46253.0</v>
      </c>
      <c r="BU421" s="107">
        <v>3.0</v>
      </c>
      <c r="BV421" s="108">
        <f t="shared" si="2"/>
        <v>46242</v>
      </c>
      <c r="BW421" s="108">
        <f t="shared" si="16"/>
        <v>46253</v>
      </c>
      <c r="BX421" s="102" t="str">
        <f t="shared" si="15"/>
        <v>09</v>
      </c>
      <c r="BY421" s="107">
        <f t="shared" si="5"/>
        <v>5</v>
      </c>
      <c r="BZ421" s="107">
        <f t="array" ref="BZ421">IF($A421&lt;&gt;"",INDEX(LISTA!$M$2:$N$27,MATCH($BC421,LISTA!$N$2:$N$27,0),1),"")</f>
        <v>10</v>
      </c>
      <c r="CA421" s="67">
        <f t="shared" si="6"/>
        <v>8</v>
      </c>
      <c r="CB421" s="114">
        <f t="shared" si="7"/>
        <v>8</v>
      </c>
      <c r="CC421" s="67">
        <v>5.8276926E7</v>
      </c>
    </row>
    <row r="422" ht="15.0" customHeight="1">
      <c r="A422" s="59">
        <v>46249.74763619213</v>
      </c>
      <c r="B422" s="62" t="s">
        <v>105</v>
      </c>
      <c r="C422" s="54" t="s">
        <v>100</v>
      </c>
      <c r="D422" s="56" t="s">
        <v>319</v>
      </c>
      <c r="E422" s="69">
        <v>46253.375</v>
      </c>
      <c r="F422" s="162" t="s">
        <v>5555</v>
      </c>
      <c r="G422" s="60" t="s">
        <v>5556</v>
      </c>
      <c r="H422" s="60" t="s">
        <v>5557</v>
      </c>
      <c r="I422" s="67" t="s">
        <v>407</v>
      </c>
      <c r="J422" s="79" t="s">
        <v>5558</v>
      </c>
      <c r="K422" s="67" t="s">
        <v>109</v>
      </c>
      <c r="L422" s="79" t="s">
        <v>5559</v>
      </c>
      <c r="M422" s="83" t="s">
        <v>5560</v>
      </c>
      <c r="N422" s="78">
        <v>33070.0</v>
      </c>
      <c r="O422" s="80" t="s">
        <v>36</v>
      </c>
      <c r="P422" s="70">
        <v>120101.0</v>
      </c>
      <c r="Q422" s="54"/>
      <c r="R422" s="84"/>
      <c r="S422" s="84"/>
      <c r="T422" s="54"/>
      <c r="U422" s="86"/>
      <c r="V422" s="54"/>
      <c r="W422" s="86"/>
      <c r="X422" s="54"/>
      <c r="Y422" s="78"/>
      <c r="Z422" s="54"/>
      <c r="AA422" s="70"/>
      <c r="AB422" s="83"/>
      <c r="AC422" s="83"/>
      <c r="AD422" s="83"/>
      <c r="AE422" s="83"/>
      <c r="AF422" s="83" t="s">
        <v>3042</v>
      </c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54" t="s">
        <v>5561</v>
      </c>
      <c r="AR422" s="83" t="s">
        <v>5562</v>
      </c>
      <c r="AS422" s="83" t="s">
        <v>5563</v>
      </c>
      <c r="AT422" s="93" t="s">
        <v>5564</v>
      </c>
      <c r="AU422" s="93" t="s">
        <v>5564</v>
      </c>
      <c r="AV422" s="93" t="s">
        <v>5564</v>
      </c>
      <c r="AW422" s="83" t="s">
        <v>5565</v>
      </c>
      <c r="AX422" s="83">
        <v>2.0</v>
      </c>
      <c r="AY422" s="83">
        <v>0.0</v>
      </c>
      <c r="AZ422" s="83" t="s">
        <v>5566</v>
      </c>
      <c r="BA422" s="83" t="s">
        <v>5567</v>
      </c>
      <c r="BB422" s="83" t="s">
        <v>5566</v>
      </c>
      <c r="BC422" s="54" t="s">
        <v>41</v>
      </c>
      <c r="BD422" s="54" t="str">
        <f t="shared" si="1"/>
        <v>Villa El Salvador</v>
      </c>
      <c r="BE422" s="67" t="s">
        <v>140</v>
      </c>
      <c r="BF422" s="67" t="s">
        <v>144</v>
      </c>
      <c r="BG422" s="67" t="s">
        <v>142</v>
      </c>
      <c r="BH422" s="67"/>
      <c r="BI422" s="67"/>
      <c r="BJ422" s="67"/>
      <c r="BK422" s="67"/>
      <c r="BL422" s="67" t="s">
        <v>145</v>
      </c>
      <c r="BM422" s="67" t="s">
        <v>146</v>
      </c>
      <c r="BN422" s="100">
        <v>150.0</v>
      </c>
      <c r="BO422" s="102" t="s">
        <v>615</v>
      </c>
      <c r="BP422" s="67" t="s">
        <v>144</v>
      </c>
      <c r="BQ422" s="79" t="s">
        <v>141</v>
      </c>
      <c r="BR422" s="67">
        <v>2.0</v>
      </c>
      <c r="BS422" s="102" t="s">
        <v>149</v>
      </c>
      <c r="BT422" s="106">
        <v>46253.0</v>
      </c>
      <c r="BU422" s="107">
        <v>4.0</v>
      </c>
      <c r="BV422" s="108">
        <f t="shared" si="2"/>
        <v>46249</v>
      </c>
      <c r="BW422" s="108">
        <f t="shared" si="16"/>
        <v>46253</v>
      </c>
      <c r="BX422" s="102" t="str">
        <f t="shared" si="15"/>
        <v>09</v>
      </c>
      <c r="BY422" s="107">
        <f t="shared" si="5"/>
        <v>5</v>
      </c>
      <c r="BZ422" s="107">
        <f t="array" ref="BZ422">IF($A422&lt;&gt;"",INDEX(LISTA!$M$2:$N$27,MATCH($BC422,LISTA!$N$2:$N$27,0),1),"")</f>
        <v>1</v>
      </c>
      <c r="CA422" s="67">
        <f t="shared" si="6"/>
        <v>8</v>
      </c>
      <c r="CB422" s="114">
        <f t="shared" si="7"/>
        <v>8</v>
      </c>
      <c r="CC422" s="67">
        <v>5.8330017E7</v>
      </c>
    </row>
    <row r="423" ht="15.0" customHeight="1">
      <c r="A423" s="59">
        <v>46252.661765509256</v>
      </c>
      <c r="B423" s="62" t="s">
        <v>105</v>
      </c>
      <c r="C423" s="54" t="s">
        <v>100</v>
      </c>
      <c r="D423" s="56" t="s">
        <v>319</v>
      </c>
      <c r="E423" s="69">
        <v>46253.583333333336</v>
      </c>
      <c r="F423" s="162"/>
      <c r="G423" s="60" t="s">
        <v>5568</v>
      </c>
      <c r="H423" s="60" t="s">
        <v>5569</v>
      </c>
      <c r="I423" s="67" t="s">
        <v>350</v>
      </c>
      <c r="J423" s="79" t="s">
        <v>5570</v>
      </c>
      <c r="K423" s="67" t="s">
        <v>1151</v>
      </c>
      <c r="L423" s="79" t="s">
        <v>5571</v>
      </c>
      <c r="M423" s="83" t="s">
        <v>5572</v>
      </c>
      <c r="N423" s="78">
        <v>28299.0</v>
      </c>
      <c r="O423" s="80" t="s">
        <v>27</v>
      </c>
      <c r="P423" s="156" t="s">
        <v>5573</v>
      </c>
      <c r="Q423" s="54"/>
      <c r="R423" s="84"/>
      <c r="S423" s="84"/>
      <c r="T423" s="54"/>
      <c r="U423" s="86"/>
      <c r="V423" s="54"/>
      <c r="W423" s="86"/>
      <c r="X423" s="54"/>
      <c r="Y423" s="78"/>
      <c r="Z423" s="54"/>
      <c r="AA423" s="70"/>
      <c r="AB423" s="83"/>
      <c r="AC423" s="83"/>
      <c r="AD423" s="83"/>
      <c r="AE423" s="83"/>
      <c r="AF423" s="83" t="s">
        <v>2197</v>
      </c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54" t="s">
        <v>2146</v>
      </c>
      <c r="AR423" s="83" t="s">
        <v>3234</v>
      </c>
      <c r="AS423" s="83" t="s">
        <v>5574</v>
      </c>
      <c r="AT423" s="93" t="s">
        <v>5570</v>
      </c>
      <c r="AU423" s="93" t="s">
        <v>5570</v>
      </c>
      <c r="AV423" s="93" t="s">
        <v>5570</v>
      </c>
      <c r="AW423" s="83" t="s">
        <v>5575</v>
      </c>
      <c r="AX423" s="83">
        <v>4.0</v>
      </c>
      <c r="AY423" s="83">
        <v>404.0</v>
      </c>
      <c r="AZ423" s="83" t="s">
        <v>5576</v>
      </c>
      <c r="BA423" s="83" t="s">
        <v>5577</v>
      </c>
      <c r="BB423" s="83" t="s">
        <v>5578</v>
      </c>
      <c r="BC423" s="54" t="s">
        <v>41</v>
      </c>
      <c r="BD423" s="54" t="str">
        <f t="shared" si="1"/>
        <v>El Agustino</v>
      </c>
      <c r="BE423" s="67" t="s">
        <v>143</v>
      </c>
      <c r="BF423" s="67" t="s">
        <v>144</v>
      </c>
      <c r="BG423" s="67" t="s">
        <v>142</v>
      </c>
      <c r="BH423" s="67"/>
      <c r="BI423" s="67"/>
      <c r="BJ423" s="67"/>
      <c r="BK423" s="67"/>
      <c r="BL423" s="67" t="s">
        <v>147</v>
      </c>
      <c r="BM423" s="67" t="s">
        <v>146</v>
      </c>
      <c r="BN423" s="100">
        <v>110.0</v>
      </c>
      <c r="BO423" s="102" t="s">
        <v>182</v>
      </c>
      <c r="BP423" s="67" t="s">
        <v>144</v>
      </c>
      <c r="BQ423" s="79" t="s">
        <v>141</v>
      </c>
      <c r="BR423" s="67" t="s">
        <v>149</v>
      </c>
      <c r="BS423" s="102" t="s">
        <v>149</v>
      </c>
      <c r="BT423" s="106">
        <v>46253.0</v>
      </c>
      <c r="BU423" s="107">
        <v>5.0</v>
      </c>
      <c r="BV423" s="108">
        <f t="shared" si="2"/>
        <v>46252</v>
      </c>
      <c r="BW423" s="108">
        <f t="shared" si="16"/>
        <v>46253</v>
      </c>
      <c r="BX423" s="102" t="str">
        <f t="shared" si="15"/>
        <v>14</v>
      </c>
      <c r="BY423" s="107">
        <f t="shared" si="5"/>
        <v>5</v>
      </c>
      <c r="BZ423" s="107">
        <f t="array" ref="BZ423">IF($A423&lt;&gt;"",INDEX(LISTA!$M$2:$N$27,MATCH($BC423,LISTA!$N$2:$N$27,0),1),"")</f>
        <v>1</v>
      </c>
      <c r="CA423" s="67">
        <f t="shared" si="6"/>
        <v>8</v>
      </c>
      <c r="CB423" s="114">
        <f t="shared" si="7"/>
        <v>8</v>
      </c>
      <c r="CC423" s="67">
        <v>5.8346604E7</v>
      </c>
    </row>
    <row r="424" ht="15.0" customHeight="1">
      <c r="A424" s="59">
        <v>46252.425478634264</v>
      </c>
      <c r="B424" s="62" t="s">
        <v>105</v>
      </c>
      <c r="C424" s="54" t="s">
        <v>100</v>
      </c>
      <c r="D424" s="56" t="s">
        <v>101</v>
      </c>
      <c r="E424" s="69">
        <v>46253.583333333336</v>
      </c>
      <c r="F424" s="162"/>
      <c r="G424" s="60" t="s">
        <v>5579</v>
      </c>
      <c r="H424" s="60" t="s">
        <v>5580</v>
      </c>
      <c r="I424" s="67" t="s">
        <v>382</v>
      </c>
      <c r="J424" s="79" t="s">
        <v>5581</v>
      </c>
      <c r="K424" s="67" t="s">
        <v>1117</v>
      </c>
      <c r="L424" s="79" t="s">
        <v>5582</v>
      </c>
      <c r="M424" s="83" t="s">
        <v>5583</v>
      </c>
      <c r="N424" s="78">
        <v>33626.0</v>
      </c>
      <c r="O424" s="80" t="s">
        <v>1120</v>
      </c>
      <c r="P424" s="156" t="s">
        <v>2392</v>
      </c>
      <c r="Q424" s="54"/>
      <c r="R424" s="84"/>
      <c r="S424" s="84"/>
      <c r="T424" s="54"/>
      <c r="U424" s="86"/>
      <c r="V424" s="54"/>
      <c r="W424" s="86"/>
      <c r="X424" s="54"/>
      <c r="Y424" s="78"/>
      <c r="Z424" s="54"/>
      <c r="AA424" s="70"/>
      <c r="AB424" s="83"/>
      <c r="AC424" s="83"/>
      <c r="AD424" s="83"/>
      <c r="AE424" s="83"/>
      <c r="AF424" s="83" t="s">
        <v>2197</v>
      </c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54" t="s">
        <v>5584</v>
      </c>
      <c r="AR424" s="83" t="s">
        <v>5585</v>
      </c>
      <c r="AS424" s="83" t="s">
        <v>5586</v>
      </c>
      <c r="AT424" s="93" t="s">
        <v>5587</v>
      </c>
      <c r="AU424" s="93" t="s">
        <v>5587</v>
      </c>
      <c r="AV424" s="93" t="s">
        <v>5587</v>
      </c>
      <c r="AW424" s="83" t="s">
        <v>5588</v>
      </c>
      <c r="AX424" s="83">
        <v>2.0</v>
      </c>
      <c r="AY424" s="83">
        <v>0.0</v>
      </c>
      <c r="AZ424" s="83" t="s">
        <v>5589</v>
      </c>
      <c r="BA424" s="83" t="s">
        <v>5590</v>
      </c>
      <c r="BB424" s="83" t="s">
        <v>5591</v>
      </c>
      <c r="BC424" s="54" t="s">
        <v>41</v>
      </c>
      <c r="BD424" s="54" t="str">
        <f t="shared" si="1"/>
        <v>El Agustino</v>
      </c>
      <c r="BE424" s="67" t="s">
        <v>140</v>
      </c>
      <c r="BF424" s="67" t="s">
        <v>141</v>
      </c>
      <c r="BG424" s="67" t="s">
        <v>142</v>
      </c>
      <c r="BH424" s="67"/>
      <c r="BI424" s="67"/>
      <c r="BJ424" s="67"/>
      <c r="BK424" s="67"/>
      <c r="BL424" s="67" t="s">
        <v>147</v>
      </c>
      <c r="BM424" s="67" t="s">
        <v>146</v>
      </c>
      <c r="BN424" s="100">
        <v>89.0</v>
      </c>
      <c r="BO424" s="102" t="s">
        <v>148</v>
      </c>
      <c r="BP424" s="67" t="s">
        <v>141</v>
      </c>
      <c r="BQ424" s="79" t="s">
        <v>141</v>
      </c>
      <c r="BR424" s="67" t="s">
        <v>149</v>
      </c>
      <c r="BS424" s="102">
        <v>1.0</v>
      </c>
      <c r="BT424" s="106">
        <v>46253.0</v>
      </c>
      <c r="BU424" s="107">
        <v>6.0</v>
      </c>
      <c r="BV424" s="108">
        <f t="shared" si="2"/>
        <v>46252</v>
      </c>
      <c r="BW424" s="108">
        <f t="shared" si="16"/>
        <v>46253</v>
      </c>
      <c r="BX424" s="102" t="str">
        <f t="shared" si="15"/>
        <v>14</v>
      </c>
      <c r="BY424" s="107">
        <f t="shared" si="5"/>
        <v>5</v>
      </c>
      <c r="BZ424" s="107">
        <f t="array" ref="BZ424">IF($A424&lt;&gt;"",INDEX(LISTA!$M$2:$N$27,MATCH($BC424,LISTA!$N$2:$N$27,0),1),"")</f>
        <v>1</v>
      </c>
      <c r="CA424" s="67">
        <f t="shared" si="6"/>
        <v>8</v>
      </c>
      <c r="CB424" s="114">
        <f t="shared" si="7"/>
        <v>8</v>
      </c>
      <c r="CC424" s="67">
        <v>5.8346116E7</v>
      </c>
    </row>
    <row r="425" ht="15.0" customHeight="1">
      <c r="A425" s="59">
        <v>46249.37585011574</v>
      </c>
      <c r="B425" s="62" t="s">
        <v>105</v>
      </c>
      <c r="C425" s="54" t="s">
        <v>100</v>
      </c>
      <c r="D425" s="56" t="s">
        <v>319</v>
      </c>
      <c r="E425" s="69">
        <v>46254.375</v>
      </c>
      <c r="F425" s="162"/>
      <c r="G425" s="60" t="s">
        <v>5592</v>
      </c>
      <c r="H425" s="60" t="s">
        <v>5593</v>
      </c>
      <c r="I425" s="67" t="s">
        <v>378</v>
      </c>
      <c r="J425" s="79" t="s">
        <v>5594</v>
      </c>
      <c r="K425" s="67" t="s">
        <v>109</v>
      </c>
      <c r="L425" s="79" t="s">
        <v>5595</v>
      </c>
      <c r="M425" s="83" t="s">
        <v>5596</v>
      </c>
      <c r="N425" s="78">
        <v>30937.0</v>
      </c>
      <c r="O425" s="80" t="s">
        <v>41</v>
      </c>
      <c r="P425" s="70">
        <v>140101.0</v>
      </c>
      <c r="Q425" s="54"/>
      <c r="R425" s="84"/>
      <c r="S425" s="84"/>
      <c r="T425" s="54"/>
      <c r="U425" s="86"/>
      <c r="V425" s="54"/>
      <c r="W425" s="86" t="s">
        <v>5597</v>
      </c>
      <c r="X425" s="54"/>
      <c r="Y425" s="78"/>
      <c r="Z425" s="54"/>
      <c r="AA425" s="70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54" t="s">
        <v>837</v>
      </c>
      <c r="AR425" s="83" t="s">
        <v>5282</v>
      </c>
      <c r="AS425" s="83" t="s">
        <v>5598</v>
      </c>
      <c r="AT425" s="93" t="s">
        <v>5594</v>
      </c>
      <c r="AU425" s="93" t="s">
        <v>5594</v>
      </c>
      <c r="AV425" s="93" t="s">
        <v>5594</v>
      </c>
      <c r="AW425" s="83" t="s">
        <v>5599</v>
      </c>
      <c r="AX425" s="83">
        <v>2.0</v>
      </c>
      <c r="AY425" s="83" t="s">
        <v>2739</v>
      </c>
      <c r="AZ425" s="83" t="s">
        <v>5600</v>
      </c>
      <c r="BA425" s="83" t="s">
        <v>5601</v>
      </c>
      <c r="BB425" s="83" t="s">
        <v>5602</v>
      </c>
      <c r="BC425" s="54" t="s">
        <v>30</v>
      </c>
      <c r="BD425" s="54" t="str">
        <f t="shared" si="1"/>
        <v>La Punta</v>
      </c>
      <c r="BE425" s="67" t="s">
        <v>140</v>
      </c>
      <c r="BF425" s="67" t="s">
        <v>144</v>
      </c>
      <c r="BG425" s="67" t="s">
        <v>142</v>
      </c>
      <c r="BH425" s="67"/>
      <c r="BI425" s="67"/>
      <c r="BJ425" s="67"/>
      <c r="BK425" s="67"/>
      <c r="BL425" s="67" t="s">
        <v>147</v>
      </c>
      <c r="BM425" s="67" t="s">
        <v>146</v>
      </c>
      <c r="BN425" s="100">
        <v>89.0</v>
      </c>
      <c r="BO425" s="102" t="s">
        <v>148</v>
      </c>
      <c r="BP425" s="67" t="s">
        <v>141</v>
      </c>
      <c r="BQ425" s="79" t="s">
        <v>141</v>
      </c>
      <c r="BR425" s="67" t="s">
        <v>149</v>
      </c>
      <c r="BS425" s="102">
        <v>1.0</v>
      </c>
      <c r="BT425" s="106">
        <v>46254.0</v>
      </c>
      <c r="BU425" s="107">
        <v>1.0</v>
      </c>
      <c r="BV425" s="108">
        <f t="shared" si="2"/>
        <v>46249</v>
      </c>
      <c r="BW425" s="108">
        <f t="shared" si="16"/>
        <v>46254</v>
      </c>
      <c r="BX425" s="102" t="str">
        <f t="shared" si="15"/>
        <v>09</v>
      </c>
      <c r="BY425" s="107">
        <f t="shared" si="5"/>
        <v>5</v>
      </c>
      <c r="BZ425" s="107">
        <f t="array" ref="BZ425">IF($A425&lt;&gt;"",INDEX(LISTA!$M$2:$N$27,MATCH($BC425,LISTA!$N$2:$N$27,0),1),"")</f>
        <v>2</v>
      </c>
      <c r="CA425" s="67">
        <f t="shared" si="6"/>
        <v>8</v>
      </c>
      <c r="CB425" s="114">
        <f t="shared" si="7"/>
        <v>8</v>
      </c>
      <c r="CC425" s="67">
        <v>5.8325229E7</v>
      </c>
    </row>
    <row r="426" ht="15.0" customHeight="1">
      <c r="A426" s="59">
        <v>46252.39443027778</v>
      </c>
      <c r="B426" s="62" t="s">
        <v>105</v>
      </c>
      <c r="C426" s="54" t="s">
        <v>100</v>
      </c>
      <c r="D426" s="56" t="s">
        <v>331</v>
      </c>
      <c r="E426" s="69">
        <v>46254.375</v>
      </c>
      <c r="F426" s="162"/>
      <c r="G426" s="60" t="s">
        <v>5603</v>
      </c>
      <c r="H426" s="60" t="s">
        <v>5604</v>
      </c>
      <c r="I426" s="67" t="s">
        <v>350</v>
      </c>
      <c r="J426" s="79" t="s">
        <v>5605</v>
      </c>
      <c r="K426" s="67" t="s">
        <v>109</v>
      </c>
      <c r="L426" s="79" t="s">
        <v>5606</v>
      </c>
      <c r="M426" s="83" t="s">
        <v>5607</v>
      </c>
      <c r="N426" s="78">
        <v>22710.0</v>
      </c>
      <c r="O426" s="80" t="s">
        <v>31</v>
      </c>
      <c r="P426" s="156" t="s">
        <v>5608</v>
      </c>
      <c r="Q426" s="54"/>
      <c r="R426" s="84"/>
      <c r="S426" s="84"/>
      <c r="T426" s="54"/>
      <c r="U426" s="86"/>
      <c r="V426" s="54"/>
      <c r="W426" s="86"/>
      <c r="X426" s="54" t="s">
        <v>1012</v>
      </c>
      <c r="Y426" s="78"/>
      <c r="Z426" s="54"/>
      <c r="AA426" s="70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54" t="s">
        <v>5609</v>
      </c>
      <c r="AR426" s="83" t="s">
        <v>2736</v>
      </c>
      <c r="AS426" s="83" t="s">
        <v>5610</v>
      </c>
      <c r="AT426" s="93" t="s">
        <v>5605</v>
      </c>
      <c r="AU426" s="93" t="s">
        <v>5605</v>
      </c>
      <c r="AV426" s="93" t="s">
        <v>5605</v>
      </c>
      <c r="AW426" s="83" t="s">
        <v>5611</v>
      </c>
      <c r="AX426" s="83">
        <v>3.0</v>
      </c>
      <c r="AY426" s="83">
        <v>0.0</v>
      </c>
      <c r="AZ426" s="83" t="s">
        <v>5612</v>
      </c>
      <c r="BA426" s="83" t="s">
        <v>5613</v>
      </c>
      <c r="BB426" s="83" t="s">
        <v>5614</v>
      </c>
      <c r="BC426" s="54" t="s">
        <v>31</v>
      </c>
      <c r="BD426" s="54" t="str">
        <f t="shared" si="1"/>
        <v>Cusco</v>
      </c>
      <c r="BE426" s="67" t="s">
        <v>143</v>
      </c>
      <c r="BF426" s="67" t="s">
        <v>144</v>
      </c>
      <c r="BG426" s="67" t="s">
        <v>142</v>
      </c>
      <c r="BH426" s="67"/>
      <c r="BI426" s="67"/>
      <c r="BJ426" s="67"/>
      <c r="BK426" s="67"/>
      <c r="BL426" s="67" t="s">
        <v>147</v>
      </c>
      <c r="BM426" s="67" t="s">
        <v>146</v>
      </c>
      <c r="BN426" s="100">
        <v>89.0</v>
      </c>
      <c r="BO426" s="102" t="s">
        <v>148</v>
      </c>
      <c r="BP426" s="67" t="s">
        <v>141</v>
      </c>
      <c r="BQ426" s="79" t="s">
        <v>141</v>
      </c>
      <c r="BR426" s="67" t="s">
        <v>149</v>
      </c>
      <c r="BS426" s="102" t="s">
        <v>149</v>
      </c>
      <c r="BT426" s="106">
        <v>46254.0</v>
      </c>
      <c r="BU426" s="107">
        <v>2.0</v>
      </c>
      <c r="BV426" s="108">
        <f t="shared" si="2"/>
        <v>46252</v>
      </c>
      <c r="BW426" s="108">
        <f t="shared" si="16"/>
        <v>46254</v>
      </c>
      <c r="BX426" s="102" t="str">
        <f t="shared" si="15"/>
        <v>09</v>
      </c>
      <c r="BY426" s="107">
        <f t="shared" si="5"/>
        <v>5</v>
      </c>
      <c r="BZ426" s="107">
        <f t="array" ref="BZ426">IF($A426&lt;&gt;"",INDEX(LISTA!$M$2:$N$27,MATCH($BC426,LISTA!$N$2:$N$27,0),1),"")</f>
        <v>10</v>
      </c>
      <c r="CA426" s="67">
        <f t="shared" si="6"/>
        <v>8</v>
      </c>
      <c r="CB426" s="114">
        <f t="shared" si="7"/>
        <v>8</v>
      </c>
      <c r="CC426" s="67">
        <v>5.8342926E7</v>
      </c>
    </row>
    <row r="427" ht="15.0" customHeight="1">
      <c r="A427" s="59">
        <v>46253.67416892361</v>
      </c>
      <c r="B427" s="62" t="s">
        <v>105</v>
      </c>
      <c r="C427" s="54" t="s">
        <v>100</v>
      </c>
      <c r="D427" s="56" t="s">
        <v>319</v>
      </c>
      <c r="E427" s="69">
        <v>46254.375</v>
      </c>
      <c r="F427" s="162"/>
      <c r="G427" s="60" t="s">
        <v>5615</v>
      </c>
      <c r="H427" s="60" t="s">
        <v>5616</v>
      </c>
      <c r="I427" s="67" t="s">
        <v>405</v>
      </c>
      <c r="J427" s="79" t="s">
        <v>5617</v>
      </c>
      <c r="K427" s="67" t="s">
        <v>109</v>
      </c>
      <c r="L427" s="79" t="s">
        <v>5618</v>
      </c>
      <c r="M427" s="83" t="s">
        <v>5619</v>
      </c>
      <c r="N427" s="78">
        <v>28349.0</v>
      </c>
      <c r="O427" s="80" t="s">
        <v>28</v>
      </c>
      <c r="P427" s="156" t="s">
        <v>3317</v>
      </c>
      <c r="Q427" s="54"/>
      <c r="R427" s="84"/>
      <c r="S427" s="84"/>
      <c r="T427" s="54"/>
      <c r="U427" s="86" t="s">
        <v>1088</v>
      </c>
      <c r="V427" s="54"/>
      <c r="W427" s="86"/>
      <c r="X427" s="54"/>
      <c r="Y427" s="78"/>
      <c r="Z427" s="54"/>
      <c r="AA427" s="70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54" t="s">
        <v>5620</v>
      </c>
      <c r="AR427" s="83" t="s">
        <v>5621</v>
      </c>
      <c r="AS427" s="83" t="s">
        <v>5622</v>
      </c>
      <c r="AT427" s="93" t="s">
        <v>5617</v>
      </c>
      <c r="AU427" s="93" t="s">
        <v>5617</v>
      </c>
      <c r="AV427" s="93" t="s">
        <v>5617</v>
      </c>
      <c r="AW427" s="83" t="s">
        <v>5623</v>
      </c>
      <c r="AX427" s="83">
        <v>2.0</v>
      </c>
      <c r="AY427" s="83">
        <v>0.0</v>
      </c>
      <c r="AZ427" s="83" t="s">
        <v>5624</v>
      </c>
      <c r="BA427" s="83" t="s">
        <v>5625</v>
      </c>
      <c r="BB427" s="83" t="s">
        <v>5626</v>
      </c>
      <c r="BC427" s="54" t="s">
        <v>28</v>
      </c>
      <c r="BD427" s="54" t="str">
        <f t="shared" si="1"/>
        <v>Huamanga</v>
      </c>
      <c r="BE427" s="67" t="s">
        <v>140</v>
      </c>
      <c r="BF427" s="67" t="s">
        <v>141</v>
      </c>
      <c r="BG427" s="67" t="s">
        <v>142</v>
      </c>
      <c r="BH427" s="67"/>
      <c r="BI427" s="67"/>
      <c r="BJ427" s="67"/>
      <c r="BK427" s="67"/>
      <c r="BL427" s="67" t="s">
        <v>147</v>
      </c>
      <c r="BM427" s="67" t="s">
        <v>146</v>
      </c>
      <c r="BN427" s="100">
        <v>89.0</v>
      </c>
      <c r="BO427" s="102" t="s">
        <v>148</v>
      </c>
      <c r="BP427" s="67" t="s">
        <v>141</v>
      </c>
      <c r="BQ427" s="79" t="s">
        <v>141</v>
      </c>
      <c r="BR427" s="67" t="s">
        <v>149</v>
      </c>
      <c r="BS427" s="102" t="s">
        <v>149</v>
      </c>
      <c r="BT427" s="106">
        <v>46254.0</v>
      </c>
      <c r="BU427" s="107">
        <v>3.0</v>
      </c>
      <c r="BV427" s="108">
        <f t="shared" si="2"/>
        <v>46253</v>
      </c>
      <c r="BW427" s="108">
        <f t="shared" si="16"/>
        <v>46254</v>
      </c>
      <c r="BX427" s="102" t="str">
        <f t="shared" si="15"/>
        <v>09</v>
      </c>
      <c r="BY427" s="107">
        <f t="shared" si="5"/>
        <v>5</v>
      </c>
      <c r="BZ427" s="107">
        <f t="array" ref="BZ427">IF($A427&lt;&gt;"",INDEX(LISTA!$M$2:$N$27,MATCH($BC427,LISTA!$N$2:$N$27,0),1),"")</f>
        <v>8</v>
      </c>
      <c r="CA427" s="67">
        <f t="shared" si="6"/>
        <v>8</v>
      </c>
      <c r="CB427" s="114">
        <f t="shared" si="7"/>
        <v>8</v>
      </c>
      <c r="CC427" s="67">
        <v>5.8354947E7</v>
      </c>
    </row>
    <row r="428" ht="15.0" customHeight="1">
      <c r="A428" s="59">
        <v>46253.7627044213</v>
      </c>
      <c r="B428" s="62" t="s">
        <v>105</v>
      </c>
      <c r="C428" s="54" t="s">
        <v>100</v>
      </c>
      <c r="D428" s="56" t="s">
        <v>319</v>
      </c>
      <c r="E428" s="69">
        <v>46254.375</v>
      </c>
      <c r="F428" s="162"/>
      <c r="G428" s="60" t="s">
        <v>5627</v>
      </c>
      <c r="H428" s="60" t="s">
        <v>5628</v>
      </c>
      <c r="I428" s="67" t="s">
        <v>405</v>
      </c>
      <c r="J428" s="79" t="s">
        <v>5629</v>
      </c>
      <c r="K428" s="67" t="s">
        <v>109</v>
      </c>
      <c r="L428" s="79" t="s">
        <v>5630</v>
      </c>
      <c r="M428" s="83" t="s">
        <v>5631</v>
      </c>
      <c r="N428" s="78">
        <v>33214.0</v>
      </c>
      <c r="O428" s="80" t="s">
        <v>39</v>
      </c>
      <c r="P428" s="70">
        <v>130101.0</v>
      </c>
      <c r="Q428" s="54"/>
      <c r="R428" s="84"/>
      <c r="S428" s="84"/>
      <c r="T428" s="54"/>
      <c r="U428" s="86"/>
      <c r="V428" s="54"/>
      <c r="W428" s="86"/>
      <c r="X428" s="54"/>
      <c r="Y428" s="78"/>
      <c r="Z428" s="54"/>
      <c r="AA428" s="70"/>
      <c r="AB428" s="83"/>
      <c r="AC428" s="83" t="s">
        <v>1690</v>
      </c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54" t="s">
        <v>4835</v>
      </c>
      <c r="AR428" s="83" t="s">
        <v>5632</v>
      </c>
      <c r="AS428" s="83" t="s">
        <v>5633</v>
      </c>
      <c r="AT428" s="93" t="s">
        <v>5629</v>
      </c>
      <c r="AU428" s="93" t="s">
        <v>5629</v>
      </c>
      <c r="AV428" s="93" t="s">
        <v>5629</v>
      </c>
      <c r="AW428" s="83" t="s">
        <v>5634</v>
      </c>
      <c r="AX428" s="83">
        <v>2.0</v>
      </c>
      <c r="AY428" s="83">
        <v>0.0</v>
      </c>
      <c r="AZ428" s="83" t="s">
        <v>5635</v>
      </c>
      <c r="BA428" s="83" t="s">
        <v>5636</v>
      </c>
      <c r="BB428" s="83" t="s">
        <v>5637</v>
      </c>
      <c r="BC428" s="54" t="s">
        <v>39</v>
      </c>
      <c r="BD428" s="54" t="str">
        <f t="shared" si="1"/>
        <v>Trujillo</v>
      </c>
      <c r="BE428" s="67" t="s">
        <v>140</v>
      </c>
      <c r="BF428" s="67" t="s">
        <v>141</v>
      </c>
      <c r="BG428" s="67" t="s">
        <v>142</v>
      </c>
      <c r="BH428" s="67"/>
      <c r="BI428" s="67"/>
      <c r="BJ428" s="67"/>
      <c r="BK428" s="67"/>
      <c r="BL428" s="67" t="s">
        <v>147</v>
      </c>
      <c r="BM428" s="67" t="s">
        <v>146</v>
      </c>
      <c r="BN428" s="100">
        <v>89.0</v>
      </c>
      <c r="BO428" s="102" t="s">
        <v>148</v>
      </c>
      <c r="BP428" s="67" t="s">
        <v>141</v>
      </c>
      <c r="BQ428" s="79" t="s">
        <v>141</v>
      </c>
      <c r="BR428" s="67" t="s">
        <v>149</v>
      </c>
      <c r="BS428" s="102" t="s">
        <v>149</v>
      </c>
      <c r="BT428" s="106">
        <v>46254.0</v>
      </c>
      <c r="BU428" s="107">
        <v>4.0</v>
      </c>
      <c r="BV428" s="108">
        <f t="shared" si="2"/>
        <v>46253</v>
      </c>
      <c r="BW428" s="108">
        <f t="shared" si="16"/>
        <v>46254</v>
      </c>
      <c r="BX428" s="102" t="str">
        <f t="shared" si="15"/>
        <v>09</v>
      </c>
      <c r="BY428" s="107">
        <f t="shared" si="5"/>
        <v>5</v>
      </c>
      <c r="BZ428" s="107">
        <f t="array" ref="BZ428">IF($A428&lt;&gt;"",INDEX(LISTA!$M$2:$N$27,MATCH($BC428,LISTA!$N$2:$N$27,0),1),"")</f>
        <v>15</v>
      </c>
      <c r="CA428" s="67">
        <f t="shared" si="6"/>
        <v>8</v>
      </c>
      <c r="CB428" s="114">
        <f t="shared" si="7"/>
        <v>8</v>
      </c>
      <c r="CC428" s="67">
        <v>5.83565E7</v>
      </c>
    </row>
    <row r="429" ht="15.0" customHeight="1">
      <c r="A429" s="59">
        <v>46253.61033444444</v>
      </c>
      <c r="B429" s="62" t="s">
        <v>105</v>
      </c>
      <c r="C429" s="54" t="s">
        <v>100</v>
      </c>
      <c r="D429" s="56" t="s">
        <v>319</v>
      </c>
      <c r="E429" s="69">
        <v>46255.375</v>
      </c>
      <c r="F429" s="162"/>
      <c r="G429" s="60" t="s">
        <v>5638</v>
      </c>
      <c r="H429" s="60" t="s">
        <v>5639</v>
      </c>
      <c r="I429" s="67" t="s">
        <v>107</v>
      </c>
      <c r="J429" s="79" t="s">
        <v>5640</v>
      </c>
      <c r="K429" s="67" t="s">
        <v>109</v>
      </c>
      <c r="L429" s="79" t="s">
        <v>5641</v>
      </c>
      <c r="M429" s="83" t="s">
        <v>5642</v>
      </c>
      <c r="N429" s="78">
        <v>26549.0</v>
      </c>
      <c r="O429" s="80" t="s">
        <v>39</v>
      </c>
      <c r="P429" s="70">
        <v>120101.0</v>
      </c>
      <c r="Q429" s="54"/>
      <c r="R429" s="84"/>
      <c r="S429" s="84"/>
      <c r="T429" s="54"/>
      <c r="U429" s="86"/>
      <c r="V429" s="54"/>
      <c r="W429" s="86"/>
      <c r="X429" s="54"/>
      <c r="Y429" s="78"/>
      <c r="Z429" s="54"/>
      <c r="AA429" s="70"/>
      <c r="AB429" s="83"/>
      <c r="AC429" s="83" t="s">
        <v>1690</v>
      </c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54" t="s">
        <v>2549</v>
      </c>
      <c r="AR429" s="83" t="s">
        <v>4334</v>
      </c>
      <c r="AS429" s="83" t="s">
        <v>5643</v>
      </c>
      <c r="AT429" s="93" t="s">
        <v>5640</v>
      </c>
      <c r="AU429" s="93" t="s">
        <v>5640</v>
      </c>
      <c r="AV429" s="93" t="s">
        <v>5640</v>
      </c>
      <c r="AW429" s="83" t="s">
        <v>5644</v>
      </c>
      <c r="AX429" s="83">
        <v>2.0</v>
      </c>
      <c r="AY429" s="83">
        <v>1.0</v>
      </c>
      <c r="AZ429" s="83" t="s">
        <v>5645</v>
      </c>
      <c r="BA429" s="83" t="s">
        <v>5646</v>
      </c>
      <c r="BB429" s="83" t="s">
        <v>5647</v>
      </c>
      <c r="BC429" s="54" t="s">
        <v>39</v>
      </c>
      <c r="BD429" s="54" t="str">
        <f t="shared" si="1"/>
        <v>Trujillo</v>
      </c>
      <c r="BE429" s="67" t="s">
        <v>140</v>
      </c>
      <c r="BF429" s="67" t="s">
        <v>144</v>
      </c>
      <c r="BG429" s="67" t="s">
        <v>142</v>
      </c>
      <c r="BH429" s="67"/>
      <c r="BI429" s="67"/>
      <c r="BJ429" s="67"/>
      <c r="BK429" s="67"/>
      <c r="BL429" s="67" t="s">
        <v>147</v>
      </c>
      <c r="BM429" s="67" t="s">
        <v>146</v>
      </c>
      <c r="BN429" s="100">
        <v>89.0</v>
      </c>
      <c r="BO429" s="102" t="s">
        <v>148</v>
      </c>
      <c r="BP429" s="67" t="s">
        <v>141</v>
      </c>
      <c r="BQ429" s="79" t="s">
        <v>141</v>
      </c>
      <c r="BR429" s="67" t="s">
        <v>149</v>
      </c>
      <c r="BS429" s="102" t="s">
        <v>149</v>
      </c>
      <c r="BT429" s="106">
        <v>46254.0</v>
      </c>
      <c r="BU429" s="107">
        <v>5.0</v>
      </c>
      <c r="BV429" s="108">
        <f t="shared" si="2"/>
        <v>46253</v>
      </c>
      <c r="BW429" s="108">
        <f t="shared" si="16"/>
        <v>46255</v>
      </c>
      <c r="BX429" s="102" t="str">
        <f t="shared" si="15"/>
        <v>09</v>
      </c>
      <c r="BY429" s="107">
        <f t="shared" si="5"/>
        <v>5</v>
      </c>
      <c r="BZ429" s="107">
        <f t="array" ref="BZ429">IF($A429&lt;&gt;"",INDEX(LISTA!$M$2:$N$27,MATCH($BC429,LISTA!$N$2:$N$27,0),1),"")</f>
        <v>15</v>
      </c>
      <c r="CA429" s="67">
        <f t="shared" si="6"/>
        <v>8</v>
      </c>
      <c r="CB429" s="114">
        <f t="shared" si="7"/>
        <v>8</v>
      </c>
      <c r="CC429" s="67">
        <v>5.8354288E7</v>
      </c>
    </row>
    <row r="430" ht="15.0" customHeight="1">
      <c r="A430" s="59">
        <v>46253.46818659722</v>
      </c>
      <c r="B430" s="62" t="s">
        <v>105</v>
      </c>
      <c r="C430" s="54" t="s">
        <v>100</v>
      </c>
      <c r="D430" s="56" t="s">
        <v>319</v>
      </c>
      <c r="E430" s="69">
        <v>46254.583333333336</v>
      </c>
      <c r="F430" s="162"/>
      <c r="G430" s="60" t="s">
        <v>5648</v>
      </c>
      <c r="H430" s="60" t="s">
        <v>5649</v>
      </c>
      <c r="I430" s="67" t="s">
        <v>405</v>
      </c>
      <c r="J430" s="79" t="s">
        <v>5650</v>
      </c>
      <c r="K430" s="67" t="s">
        <v>1117</v>
      </c>
      <c r="L430" s="79" t="s">
        <v>5651</v>
      </c>
      <c r="M430" s="83" t="s">
        <v>5652</v>
      </c>
      <c r="N430" s="78">
        <v>31251.0</v>
      </c>
      <c r="O430" s="80" t="s">
        <v>1120</v>
      </c>
      <c r="P430" s="70">
        <v>0.0</v>
      </c>
      <c r="Q430" s="54"/>
      <c r="R430" s="84"/>
      <c r="S430" s="84"/>
      <c r="T430" s="54"/>
      <c r="U430" s="86"/>
      <c r="V430" s="54"/>
      <c r="W430" s="86"/>
      <c r="X430" s="54"/>
      <c r="Y430" s="78"/>
      <c r="Z430" s="54"/>
      <c r="AA430" s="70"/>
      <c r="AB430" s="83"/>
      <c r="AC430" s="83"/>
      <c r="AD430" s="83"/>
      <c r="AE430" s="83"/>
      <c r="AF430" s="83" t="s">
        <v>792</v>
      </c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54" t="s">
        <v>1341</v>
      </c>
      <c r="AR430" s="83" t="s">
        <v>5653</v>
      </c>
      <c r="AS430" s="83" t="s">
        <v>5654</v>
      </c>
      <c r="AT430" s="93" t="s">
        <v>5655</v>
      </c>
      <c r="AU430" s="93" t="s">
        <v>5655</v>
      </c>
      <c r="AV430" s="93" t="s">
        <v>5650</v>
      </c>
      <c r="AW430" s="83" t="s">
        <v>5656</v>
      </c>
      <c r="AX430" s="83">
        <v>4.0</v>
      </c>
      <c r="AY430" s="83">
        <v>0.0</v>
      </c>
      <c r="AZ430" s="83" t="s">
        <v>5657</v>
      </c>
      <c r="BA430" s="83" t="s">
        <v>5658</v>
      </c>
      <c r="BB430" s="83" t="s">
        <v>5659</v>
      </c>
      <c r="BC430" s="54" t="s">
        <v>41</v>
      </c>
      <c r="BD430" s="54" t="str">
        <f t="shared" si="1"/>
        <v>Los Olivos</v>
      </c>
      <c r="BE430" s="67" t="s">
        <v>140</v>
      </c>
      <c r="BF430" s="67" t="s">
        <v>141</v>
      </c>
      <c r="BG430" s="67" t="s">
        <v>142</v>
      </c>
      <c r="BH430" s="67"/>
      <c r="BI430" s="67"/>
      <c r="BJ430" s="67"/>
      <c r="BK430" s="67"/>
      <c r="BL430" s="67" t="s">
        <v>147</v>
      </c>
      <c r="BM430" s="67" t="s">
        <v>146</v>
      </c>
      <c r="BN430" s="100">
        <v>69.0</v>
      </c>
      <c r="BO430" s="102" t="s">
        <v>615</v>
      </c>
      <c r="BP430" s="67" t="s">
        <v>141</v>
      </c>
      <c r="BQ430" s="79" t="s">
        <v>141</v>
      </c>
      <c r="BR430" s="67" t="s">
        <v>149</v>
      </c>
      <c r="BS430" s="102" t="s">
        <v>149</v>
      </c>
      <c r="BT430" s="106">
        <v>46254.0</v>
      </c>
      <c r="BU430" s="107">
        <v>6.0</v>
      </c>
      <c r="BV430" s="108">
        <f t="shared" si="2"/>
        <v>46253</v>
      </c>
      <c r="BW430" s="108">
        <f t="shared" si="16"/>
        <v>46254</v>
      </c>
      <c r="BX430" s="102" t="str">
        <f t="shared" si="15"/>
        <v>14</v>
      </c>
      <c r="BY430" s="107">
        <f t="shared" si="5"/>
        <v>5</v>
      </c>
      <c r="BZ430" s="107">
        <f t="array" ref="BZ430">IF($A430&lt;&gt;"",INDEX(LISTA!$M$2:$N$27,MATCH($BC430,LISTA!$N$2:$N$27,0),1),"")</f>
        <v>1</v>
      </c>
      <c r="CA430" s="67">
        <f t="shared" si="6"/>
        <v>8</v>
      </c>
      <c r="CB430" s="114">
        <f t="shared" si="7"/>
        <v>8</v>
      </c>
      <c r="CC430" s="67">
        <v>5.8422791E7</v>
      </c>
    </row>
    <row r="431" ht="15.0" customHeight="1">
      <c r="A431" s="59">
        <v>46249.510378032406</v>
      </c>
      <c r="B431" s="62" t="s">
        <v>105</v>
      </c>
      <c r="C431" s="54" t="s">
        <v>100</v>
      </c>
      <c r="D431" s="56" t="s">
        <v>319</v>
      </c>
      <c r="E431" s="69">
        <v>46254.583333333336</v>
      </c>
      <c r="F431" s="162" t="s">
        <v>5660</v>
      </c>
      <c r="G431" s="60" t="s">
        <v>5661</v>
      </c>
      <c r="H431" s="60" t="s">
        <v>5662</v>
      </c>
      <c r="I431" s="67" t="s">
        <v>382</v>
      </c>
      <c r="J431" s="79" t="s">
        <v>5663</v>
      </c>
      <c r="K431" s="67" t="s">
        <v>109</v>
      </c>
      <c r="L431" s="79" t="s">
        <v>5664</v>
      </c>
      <c r="M431" s="83" t="s">
        <v>5665</v>
      </c>
      <c r="N431" s="78">
        <v>26446.0</v>
      </c>
      <c r="O431" s="80" t="s">
        <v>41</v>
      </c>
      <c r="P431" s="70">
        <v>150101.0</v>
      </c>
      <c r="Q431" s="54"/>
      <c r="R431" s="84"/>
      <c r="S431" s="84"/>
      <c r="T431" s="54"/>
      <c r="U431" s="86"/>
      <c r="V431" s="54"/>
      <c r="W431" s="86"/>
      <c r="X431" s="54"/>
      <c r="Y431" s="78"/>
      <c r="Z431" s="54"/>
      <c r="AA431" s="70"/>
      <c r="AB431" s="83"/>
      <c r="AC431" s="83"/>
      <c r="AD431" s="83"/>
      <c r="AE431" s="83"/>
      <c r="AF431" s="83" t="s">
        <v>972</v>
      </c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54" t="s">
        <v>5666</v>
      </c>
      <c r="AR431" s="83" t="s">
        <v>3624</v>
      </c>
      <c r="AS431" s="83" t="s">
        <v>5667</v>
      </c>
      <c r="AT431" s="93" t="s">
        <v>5663</v>
      </c>
      <c r="AU431" s="93" t="s">
        <v>5663</v>
      </c>
      <c r="AV431" s="93" t="s">
        <v>5663</v>
      </c>
      <c r="AW431" s="83" t="s">
        <v>5668</v>
      </c>
      <c r="AX431" s="83">
        <v>3.0</v>
      </c>
      <c r="AY431" s="83">
        <v>0.0</v>
      </c>
      <c r="AZ431" s="83" t="s">
        <v>5669</v>
      </c>
      <c r="BA431" s="83" t="s">
        <v>5670</v>
      </c>
      <c r="BB431" s="83" t="s">
        <v>5671</v>
      </c>
      <c r="BC431" s="54" t="s">
        <v>41</v>
      </c>
      <c r="BD431" s="54" t="str">
        <f t="shared" si="1"/>
        <v>San Juan de Lurigancho</v>
      </c>
      <c r="BE431" s="67" t="s">
        <v>140</v>
      </c>
      <c r="BF431" s="67" t="s">
        <v>141</v>
      </c>
      <c r="BG431" s="67" t="s">
        <v>142</v>
      </c>
      <c r="BH431" s="67"/>
      <c r="BI431" s="67"/>
      <c r="BJ431" s="67"/>
      <c r="BK431" s="67"/>
      <c r="BL431" s="67" t="s">
        <v>147</v>
      </c>
      <c r="BM431" s="67" t="s">
        <v>146</v>
      </c>
      <c r="BN431" s="100">
        <v>89.0</v>
      </c>
      <c r="BO431" s="102" t="s">
        <v>148</v>
      </c>
      <c r="BP431" s="67" t="s">
        <v>141</v>
      </c>
      <c r="BQ431" s="79" t="s">
        <v>141</v>
      </c>
      <c r="BR431" s="67" t="s">
        <v>149</v>
      </c>
      <c r="BS431" s="102">
        <v>1.0</v>
      </c>
      <c r="BT431" s="106">
        <v>46254.0</v>
      </c>
      <c r="BU431" s="107">
        <v>7.0</v>
      </c>
      <c r="BV431" s="108">
        <f t="shared" si="2"/>
        <v>46249</v>
      </c>
      <c r="BW431" s="108">
        <f t="shared" si="16"/>
        <v>46254</v>
      </c>
      <c r="BX431" s="102" t="str">
        <f t="shared" si="15"/>
        <v>14</v>
      </c>
      <c r="BY431" s="107">
        <f t="shared" si="5"/>
        <v>5</v>
      </c>
      <c r="BZ431" s="107">
        <f t="array" ref="BZ431">IF($A431&lt;&gt;"",INDEX(LISTA!$M$2:$N$27,MATCH($BC431,LISTA!$N$2:$N$27,0),1),"")</f>
        <v>1</v>
      </c>
      <c r="CA431" s="67">
        <f t="shared" si="6"/>
        <v>8</v>
      </c>
      <c r="CB431" s="114">
        <f t="shared" si="7"/>
        <v>8</v>
      </c>
      <c r="CC431" s="67">
        <v>5.8327161E7</v>
      </c>
    </row>
    <row r="432" ht="15.0" customHeight="1">
      <c r="A432" s="59">
        <v>46253.79647613426</v>
      </c>
      <c r="B432" s="62" t="s">
        <v>105</v>
      </c>
      <c r="C432" s="54" t="s">
        <v>100</v>
      </c>
      <c r="D432" s="56" t="s">
        <v>319</v>
      </c>
      <c r="E432" s="69">
        <v>46255.583333333336</v>
      </c>
      <c r="F432" s="162"/>
      <c r="G432" s="60" t="s">
        <v>5672</v>
      </c>
      <c r="H432" s="60" t="s">
        <v>5673</v>
      </c>
      <c r="I432" s="67" t="s">
        <v>374</v>
      </c>
      <c r="J432" s="79" t="s">
        <v>5674</v>
      </c>
      <c r="K432" s="67" t="s">
        <v>109</v>
      </c>
      <c r="L432" s="79" t="s">
        <v>5675</v>
      </c>
      <c r="M432" s="83" t="s">
        <v>5676</v>
      </c>
      <c r="N432" s="78">
        <v>28009.0</v>
      </c>
      <c r="O432" s="80" t="s">
        <v>27</v>
      </c>
      <c r="P432" s="156" t="s">
        <v>1703</v>
      </c>
      <c r="Q432" s="54"/>
      <c r="R432" s="84"/>
      <c r="S432" s="84"/>
      <c r="T432" s="54" t="s">
        <v>122</v>
      </c>
      <c r="U432" s="86"/>
      <c r="V432" s="54"/>
      <c r="W432" s="86"/>
      <c r="X432" s="54"/>
      <c r="Y432" s="78"/>
      <c r="Z432" s="54"/>
      <c r="AA432" s="70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54" t="s">
        <v>5677</v>
      </c>
      <c r="AR432" s="83" t="s">
        <v>5678</v>
      </c>
      <c r="AS432" s="83" t="s">
        <v>5679</v>
      </c>
      <c r="AT432" s="93" t="s">
        <v>5674</v>
      </c>
      <c r="AU432" s="93" t="s">
        <v>5674</v>
      </c>
      <c r="AV432" s="93" t="s">
        <v>5674</v>
      </c>
      <c r="AW432" s="83" t="s">
        <v>5680</v>
      </c>
      <c r="AX432" s="83">
        <v>2.0</v>
      </c>
      <c r="AY432" s="83">
        <v>1.0</v>
      </c>
      <c r="AZ432" s="83" t="s">
        <v>5681</v>
      </c>
      <c r="BA432" s="83" t="s">
        <v>1767</v>
      </c>
      <c r="BB432" s="83" t="s">
        <v>5682</v>
      </c>
      <c r="BC432" s="54" t="s">
        <v>27</v>
      </c>
      <c r="BD432" s="54" t="str">
        <f t="shared" si="1"/>
        <v>Arequipa</v>
      </c>
      <c r="BE432" s="67" t="s">
        <v>140</v>
      </c>
      <c r="BF432" s="67" t="s">
        <v>141</v>
      </c>
      <c r="BG432" s="67" t="s">
        <v>142</v>
      </c>
      <c r="BH432" s="67"/>
      <c r="BI432" s="67"/>
      <c r="BJ432" s="67"/>
      <c r="BK432" s="67"/>
      <c r="BL432" s="67" t="s">
        <v>145</v>
      </c>
      <c r="BM432" s="67" t="s">
        <v>146</v>
      </c>
      <c r="BN432" s="100">
        <v>170.0</v>
      </c>
      <c r="BO432" s="102" t="s">
        <v>148</v>
      </c>
      <c r="BP432" s="67" t="s">
        <v>141</v>
      </c>
      <c r="BQ432" s="79" t="s">
        <v>141</v>
      </c>
      <c r="BR432" s="67">
        <v>2.0</v>
      </c>
      <c r="BS432" s="102">
        <v>1.0</v>
      </c>
      <c r="BT432" s="106">
        <v>46254.0</v>
      </c>
      <c r="BU432" s="107">
        <v>8.0</v>
      </c>
      <c r="BV432" s="108">
        <f t="shared" si="2"/>
        <v>46253</v>
      </c>
      <c r="BW432" s="108">
        <f t="shared" si="16"/>
        <v>46255</v>
      </c>
      <c r="BX432" s="102" t="str">
        <f t="shared" si="15"/>
        <v>14</v>
      </c>
      <c r="BY432" s="107">
        <f t="shared" si="5"/>
        <v>5</v>
      </c>
      <c r="BZ432" s="107">
        <f t="array" ref="BZ432">IF($A432&lt;&gt;"",INDEX(LISTA!$M$2:$N$27,MATCH($BC432,LISTA!$N$2:$N$27,0),1),"")</f>
        <v>7</v>
      </c>
      <c r="CA432" s="67">
        <f t="shared" si="6"/>
        <v>8</v>
      </c>
      <c r="CB432" s="114">
        <f t="shared" si="7"/>
        <v>8</v>
      </c>
      <c r="CC432" s="67">
        <v>5.8359062E7</v>
      </c>
    </row>
    <row r="433" ht="15.0" customHeight="1">
      <c r="A433" s="59">
        <v>46254.36410528935</v>
      </c>
      <c r="B433" s="62" t="s">
        <v>105</v>
      </c>
      <c r="C433" s="54" t="s">
        <v>100</v>
      </c>
      <c r="D433" s="56" t="s">
        <v>101</v>
      </c>
      <c r="E433" s="69">
        <v>46255.375</v>
      </c>
      <c r="F433" s="162"/>
      <c r="G433" s="60" t="s">
        <v>5683</v>
      </c>
      <c r="H433" s="60" t="s">
        <v>5684</v>
      </c>
      <c r="I433" s="67" t="s">
        <v>350</v>
      </c>
      <c r="J433" s="79" t="s">
        <v>5685</v>
      </c>
      <c r="K433" s="67" t="s">
        <v>109</v>
      </c>
      <c r="L433" s="79" t="s">
        <v>5686</v>
      </c>
      <c r="M433" s="83" t="s">
        <v>5687</v>
      </c>
      <c r="N433" s="78">
        <v>34972.0</v>
      </c>
      <c r="O433" s="80" t="s">
        <v>41</v>
      </c>
      <c r="P433" s="70">
        <v>150141.0</v>
      </c>
      <c r="Q433" s="54"/>
      <c r="R433" s="84"/>
      <c r="S433" s="84"/>
      <c r="T433" s="54"/>
      <c r="U433" s="86"/>
      <c r="V433" s="54"/>
      <c r="W433" s="86"/>
      <c r="X433" s="54"/>
      <c r="Y433" s="78"/>
      <c r="Z433" s="54"/>
      <c r="AA433" s="70"/>
      <c r="AB433" s="83"/>
      <c r="AC433" s="83"/>
      <c r="AD433" s="83"/>
      <c r="AE433" s="83"/>
      <c r="AF433" s="83" t="s">
        <v>1458</v>
      </c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54" t="s">
        <v>315</v>
      </c>
      <c r="AR433" s="83" t="s">
        <v>3887</v>
      </c>
      <c r="AS433" s="83" t="s">
        <v>5688</v>
      </c>
      <c r="AT433" s="93" t="s">
        <v>5685</v>
      </c>
      <c r="AU433" s="93" t="s">
        <v>5685</v>
      </c>
      <c r="AV433" s="93" t="s">
        <v>5685</v>
      </c>
      <c r="AW433" s="83" t="s">
        <v>5689</v>
      </c>
      <c r="AX433" s="83">
        <v>3.0</v>
      </c>
      <c r="AY433" s="83">
        <v>0.0</v>
      </c>
      <c r="AZ433" s="83" t="s">
        <v>5690</v>
      </c>
      <c r="BA433" s="83" t="s">
        <v>5691</v>
      </c>
      <c r="BB433" s="83" t="s">
        <v>5692</v>
      </c>
      <c r="BC433" s="54" t="s">
        <v>41</v>
      </c>
      <c r="BD433" s="54" t="str">
        <f t="shared" si="1"/>
        <v>Pueblo Libre</v>
      </c>
      <c r="BE433" s="67" t="s">
        <v>143</v>
      </c>
      <c r="BF433" s="67" t="s">
        <v>141</v>
      </c>
      <c r="BG433" s="67" t="s">
        <v>142</v>
      </c>
      <c r="BH433" s="67"/>
      <c r="BI433" s="67"/>
      <c r="BJ433" s="67"/>
      <c r="BK433" s="67"/>
      <c r="BL433" s="67" t="s">
        <v>147</v>
      </c>
      <c r="BM433" s="67" t="s">
        <v>146</v>
      </c>
      <c r="BN433" s="100">
        <v>89.0</v>
      </c>
      <c r="BO433" s="102" t="s">
        <v>148</v>
      </c>
      <c r="BP433" s="67" t="s">
        <v>141</v>
      </c>
      <c r="BQ433" s="79" t="s">
        <v>141</v>
      </c>
      <c r="BR433" s="67" t="s">
        <v>149</v>
      </c>
      <c r="BS433" s="102" t="s">
        <v>149</v>
      </c>
      <c r="BT433" s="106">
        <v>46254.0</v>
      </c>
      <c r="BU433" s="107">
        <v>9.0</v>
      </c>
      <c r="BV433" s="108">
        <f t="shared" si="2"/>
        <v>46254</v>
      </c>
      <c r="BW433" s="108">
        <f t="shared" si="16"/>
        <v>46255</v>
      </c>
      <c r="BX433" s="102" t="str">
        <f t="shared" si="15"/>
        <v>09</v>
      </c>
      <c r="BY433" s="107">
        <f t="shared" si="5"/>
        <v>5</v>
      </c>
      <c r="BZ433" s="107">
        <f t="array" ref="BZ433">IF($A433&lt;&gt;"",INDEX(LISTA!$M$2:$N$27,MATCH($BC433,LISTA!$N$2:$N$27,0),1),"")</f>
        <v>1</v>
      </c>
      <c r="CA433" s="67">
        <f t="shared" si="6"/>
        <v>8</v>
      </c>
      <c r="CB433" s="114">
        <f t="shared" si="7"/>
        <v>8</v>
      </c>
      <c r="CC433" s="67">
        <v>5.8359186E7</v>
      </c>
    </row>
    <row r="434" ht="15.0" customHeight="1">
      <c r="A434" s="59">
        <v>46253.41295</v>
      </c>
      <c r="B434" s="62" t="s">
        <v>105</v>
      </c>
      <c r="C434" s="54" t="s">
        <v>100</v>
      </c>
      <c r="D434" s="56" t="s">
        <v>319</v>
      </c>
      <c r="E434" s="69">
        <v>46255.375</v>
      </c>
      <c r="F434" s="162" t="s">
        <v>5693</v>
      </c>
      <c r="G434" s="60" t="s">
        <v>5694</v>
      </c>
      <c r="H434" s="60" t="s">
        <v>5695</v>
      </c>
      <c r="I434" s="67" t="s">
        <v>378</v>
      </c>
      <c r="J434" s="79" t="s">
        <v>5696</v>
      </c>
      <c r="K434" s="67" t="s">
        <v>109</v>
      </c>
      <c r="L434" s="79" t="s">
        <v>5697</v>
      </c>
      <c r="M434" s="83" t="s">
        <v>5698</v>
      </c>
      <c r="N434" s="78">
        <v>30615.0</v>
      </c>
      <c r="O434" s="80" t="s">
        <v>25</v>
      </c>
      <c r="P434" s="156" t="s">
        <v>5699</v>
      </c>
      <c r="Q434" s="54"/>
      <c r="R434" s="84"/>
      <c r="S434" s="84"/>
      <c r="T434" s="54"/>
      <c r="U434" s="86"/>
      <c r="V434" s="54"/>
      <c r="W434" s="86"/>
      <c r="X434" s="54"/>
      <c r="Y434" s="78"/>
      <c r="Z434" s="54"/>
      <c r="AA434" s="70"/>
      <c r="AB434" s="83"/>
      <c r="AC434" s="83"/>
      <c r="AD434" s="83"/>
      <c r="AE434" s="83"/>
      <c r="AF434" s="83" t="s">
        <v>123</v>
      </c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54" t="s">
        <v>5700</v>
      </c>
      <c r="AR434" s="83" t="s">
        <v>5701</v>
      </c>
      <c r="AS434" s="83" t="s">
        <v>5702</v>
      </c>
      <c r="AT434" s="93" t="s">
        <v>5703</v>
      </c>
      <c r="AU434" s="93" t="s">
        <v>5703</v>
      </c>
      <c r="AV434" s="93" t="s">
        <v>5703</v>
      </c>
      <c r="AW434" s="83" t="s">
        <v>5704</v>
      </c>
      <c r="AX434" s="83">
        <v>2.0</v>
      </c>
      <c r="AY434" s="83">
        <v>201.0</v>
      </c>
      <c r="AZ434" s="83" t="s">
        <v>5705</v>
      </c>
      <c r="BA434" s="83" t="s">
        <v>5706</v>
      </c>
      <c r="BB434" s="83" t="s">
        <v>5707</v>
      </c>
      <c r="BC434" s="54" t="s">
        <v>41</v>
      </c>
      <c r="BD434" s="54" t="str">
        <f t="shared" si="1"/>
        <v>Santiago de Surco</v>
      </c>
      <c r="BE434" s="67" t="s">
        <v>140</v>
      </c>
      <c r="BF434" s="67" t="s">
        <v>141</v>
      </c>
      <c r="BG434" s="67" t="s">
        <v>142</v>
      </c>
      <c r="BH434" s="67"/>
      <c r="BI434" s="67"/>
      <c r="BJ434" s="67"/>
      <c r="BK434" s="67"/>
      <c r="BL434" s="67" t="s">
        <v>147</v>
      </c>
      <c r="BM434" s="67" t="s">
        <v>146</v>
      </c>
      <c r="BN434" s="100">
        <v>89.0</v>
      </c>
      <c r="BO434" s="102" t="s">
        <v>148</v>
      </c>
      <c r="BP434" s="67" t="s">
        <v>141</v>
      </c>
      <c r="BQ434" s="79" t="s">
        <v>141</v>
      </c>
      <c r="BR434" s="67" t="s">
        <v>149</v>
      </c>
      <c r="BS434" s="102">
        <v>2.0</v>
      </c>
      <c r="BT434" s="106">
        <v>46255.0</v>
      </c>
      <c r="BU434" s="107">
        <v>1.0</v>
      </c>
      <c r="BV434" s="108">
        <f t="shared" si="2"/>
        <v>46253</v>
      </c>
      <c r="BW434" s="108">
        <f t="shared" si="16"/>
        <v>46255</v>
      </c>
      <c r="BX434" s="102" t="str">
        <f t="shared" si="15"/>
        <v>09</v>
      </c>
      <c r="BY434" s="107">
        <f t="shared" si="5"/>
        <v>5</v>
      </c>
      <c r="BZ434" s="107">
        <f t="array" ref="BZ434">IF($A434&lt;&gt;"",INDEX(LISTA!$M$2:$N$27,MATCH($BC434,LISTA!$N$2:$N$27,0),1),"")</f>
        <v>1</v>
      </c>
      <c r="CA434" s="67">
        <f t="shared" si="6"/>
        <v>8</v>
      </c>
      <c r="CB434" s="114">
        <f t="shared" si="7"/>
        <v>8</v>
      </c>
      <c r="CC434" s="67">
        <v>5.8351472E7</v>
      </c>
    </row>
    <row r="435" ht="15.0" customHeight="1">
      <c r="A435" s="59">
        <v>46253.47665329861</v>
      </c>
      <c r="B435" s="62" t="s">
        <v>105</v>
      </c>
      <c r="C435" s="54" t="s">
        <v>100</v>
      </c>
      <c r="D435" s="56" t="s">
        <v>319</v>
      </c>
      <c r="E435" s="69">
        <v>46255.375</v>
      </c>
      <c r="F435" s="162"/>
      <c r="G435" s="60" t="s">
        <v>5708</v>
      </c>
      <c r="H435" s="60" t="s">
        <v>5709</v>
      </c>
      <c r="I435" s="67" t="s">
        <v>384</v>
      </c>
      <c r="J435" s="79" t="s">
        <v>5710</v>
      </c>
      <c r="K435" s="67" t="s">
        <v>109</v>
      </c>
      <c r="L435" s="79" t="s">
        <v>5711</v>
      </c>
      <c r="M435" s="83" t="s">
        <v>5712</v>
      </c>
      <c r="N435" s="78">
        <v>26466.0</v>
      </c>
      <c r="O435" s="80" t="s">
        <v>27</v>
      </c>
      <c r="P435" s="156" t="s">
        <v>5713</v>
      </c>
      <c r="Q435" s="54"/>
      <c r="R435" s="84"/>
      <c r="S435" s="84"/>
      <c r="T435" s="54"/>
      <c r="U435" s="86"/>
      <c r="V435" s="54"/>
      <c r="W435" s="86"/>
      <c r="X435" s="54" t="s">
        <v>1071</v>
      </c>
      <c r="Y435" s="78"/>
      <c r="Z435" s="54"/>
      <c r="AA435" s="70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54" t="s">
        <v>4282</v>
      </c>
      <c r="AR435" s="83" t="s">
        <v>5536</v>
      </c>
      <c r="AS435" s="83" t="s">
        <v>5714</v>
      </c>
      <c r="AT435" s="93" t="s">
        <v>5710</v>
      </c>
      <c r="AU435" s="93" t="s">
        <v>5710</v>
      </c>
      <c r="AV435" s="93" t="s">
        <v>5715</v>
      </c>
      <c r="AW435" s="83" t="s">
        <v>5716</v>
      </c>
      <c r="AX435" s="83">
        <v>1.0</v>
      </c>
      <c r="AY435" s="83" t="s">
        <v>2519</v>
      </c>
      <c r="AZ435" s="83" t="s">
        <v>5717</v>
      </c>
      <c r="BA435" s="83" t="s">
        <v>2519</v>
      </c>
      <c r="BB435" s="83" t="s">
        <v>5718</v>
      </c>
      <c r="BC435" s="54" t="s">
        <v>31</v>
      </c>
      <c r="BD435" s="54" t="str">
        <f t="shared" si="1"/>
        <v>Canchis</v>
      </c>
      <c r="BE435" s="67" t="s">
        <v>140</v>
      </c>
      <c r="BF435" s="67" t="s">
        <v>144</v>
      </c>
      <c r="BG435" s="67" t="s">
        <v>142</v>
      </c>
      <c r="BH435" s="67"/>
      <c r="BI435" s="67"/>
      <c r="BJ435" s="67"/>
      <c r="BK435" s="67"/>
      <c r="BL435" s="67" t="s">
        <v>283</v>
      </c>
      <c r="BM435" s="67" t="s">
        <v>146</v>
      </c>
      <c r="BN435" s="100">
        <v>94.0</v>
      </c>
      <c r="BO435" s="102" t="s">
        <v>148</v>
      </c>
      <c r="BP435" s="67" t="s">
        <v>141</v>
      </c>
      <c r="BQ435" s="79" t="s">
        <v>144</v>
      </c>
      <c r="BR435" s="67" t="s">
        <v>149</v>
      </c>
      <c r="BS435" s="102">
        <v>1.0</v>
      </c>
      <c r="BT435" s="106">
        <v>46255.0</v>
      </c>
      <c r="BU435" s="107">
        <v>2.0</v>
      </c>
      <c r="BV435" s="108">
        <f t="shared" si="2"/>
        <v>46253</v>
      </c>
      <c r="BW435" s="108">
        <f t="shared" si="16"/>
        <v>46255</v>
      </c>
      <c r="BX435" s="102" t="str">
        <f t="shared" si="15"/>
        <v>09</v>
      </c>
      <c r="BY435" s="107">
        <f t="shared" si="5"/>
        <v>5</v>
      </c>
      <c r="BZ435" s="107">
        <f t="array" ref="BZ435">IF($A435&lt;&gt;"",INDEX(LISTA!$M$2:$N$27,MATCH($BC435,LISTA!$N$2:$N$27,0),1),"")</f>
        <v>10</v>
      </c>
      <c r="CA435" s="67">
        <f t="shared" si="6"/>
        <v>8</v>
      </c>
      <c r="CB435" s="114">
        <f t="shared" si="7"/>
        <v>8</v>
      </c>
      <c r="CC435" s="67">
        <v>5.835207E7</v>
      </c>
    </row>
    <row r="436" ht="15.0" customHeight="1">
      <c r="A436" s="59">
        <v>46254.55653814814</v>
      </c>
      <c r="B436" s="62" t="s">
        <v>105</v>
      </c>
      <c r="C436" s="54" t="s">
        <v>100</v>
      </c>
      <c r="D436" s="56" t="s">
        <v>319</v>
      </c>
      <c r="E436" s="69">
        <v>46255.583333333336</v>
      </c>
      <c r="F436" s="162"/>
      <c r="G436" s="60" t="s">
        <v>5719</v>
      </c>
      <c r="H436" s="60" t="s">
        <v>5720</v>
      </c>
      <c r="I436" s="67" t="s">
        <v>382</v>
      </c>
      <c r="J436" s="79" t="s">
        <v>5721</v>
      </c>
      <c r="K436" s="67" t="s">
        <v>109</v>
      </c>
      <c r="L436" s="79" t="s">
        <v>5722</v>
      </c>
      <c r="M436" s="83" t="s">
        <v>5723</v>
      </c>
      <c r="N436" s="78">
        <v>22096.0</v>
      </c>
      <c r="O436" s="80" t="s">
        <v>27</v>
      </c>
      <c r="P436" s="156" t="s">
        <v>2026</v>
      </c>
      <c r="Q436" s="54"/>
      <c r="R436" s="84"/>
      <c r="S436" s="84"/>
      <c r="T436" s="54"/>
      <c r="U436" s="86"/>
      <c r="V436" s="54"/>
      <c r="W436" s="86" t="s">
        <v>4269</v>
      </c>
      <c r="X436" s="54"/>
      <c r="Y436" s="78"/>
      <c r="Z436" s="54"/>
      <c r="AA436" s="70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54" t="s">
        <v>315</v>
      </c>
      <c r="AR436" s="83" t="s">
        <v>5724</v>
      </c>
      <c r="AS436" s="83" t="s">
        <v>5725</v>
      </c>
      <c r="AT436" s="93" t="s">
        <v>5721</v>
      </c>
      <c r="AU436" s="93" t="s">
        <v>5721</v>
      </c>
      <c r="AV436" s="93" t="s">
        <v>5721</v>
      </c>
      <c r="AW436" s="83" t="s">
        <v>5726</v>
      </c>
      <c r="AX436" s="83">
        <v>1.0</v>
      </c>
      <c r="AY436" s="83">
        <v>0.0</v>
      </c>
      <c r="AZ436" s="83" t="s">
        <v>5727</v>
      </c>
      <c r="BA436" s="83" t="s">
        <v>5728</v>
      </c>
      <c r="BB436" s="83" t="s">
        <v>5729</v>
      </c>
      <c r="BC436" s="54" t="s">
        <v>30</v>
      </c>
      <c r="BD436" s="54" t="str">
        <f t="shared" si="1"/>
        <v>Ventanilla</v>
      </c>
      <c r="BE436" s="67" t="s">
        <v>140</v>
      </c>
      <c r="BF436" s="67" t="s">
        <v>144</v>
      </c>
      <c r="BG436" s="67" t="s">
        <v>142</v>
      </c>
      <c r="BH436" s="67"/>
      <c r="BI436" s="67"/>
      <c r="BJ436" s="67"/>
      <c r="BK436" s="67"/>
      <c r="BL436" s="67" t="s">
        <v>145</v>
      </c>
      <c r="BM436" s="67" t="s">
        <v>146</v>
      </c>
      <c r="BN436" s="100">
        <v>150.0</v>
      </c>
      <c r="BO436" s="102" t="s">
        <v>615</v>
      </c>
      <c r="BP436" s="67" t="s">
        <v>144</v>
      </c>
      <c r="BQ436" s="79" t="s">
        <v>141</v>
      </c>
      <c r="BR436" s="67">
        <v>2.0</v>
      </c>
      <c r="BS436" s="102" t="s">
        <v>149</v>
      </c>
      <c r="BT436" s="106">
        <v>46255.0</v>
      </c>
      <c r="BU436" s="107">
        <v>3.0</v>
      </c>
      <c r="BV436" s="108">
        <f t="shared" si="2"/>
        <v>46254</v>
      </c>
      <c r="BW436" s="108">
        <f t="shared" si="16"/>
        <v>46255</v>
      </c>
      <c r="BX436" s="102" t="str">
        <f t="shared" si="15"/>
        <v>14</v>
      </c>
      <c r="BY436" s="107">
        <f t="shared" si="5"/>
        <v>5</v>
      </c>
      <c r="BZ436" s="107">
        <f t="array" ref="BZ436">IF($A436&lt;&gt;"",INDEX(LISTA!$M$2:$N$27,MATCH($BC436,LISTA!$N$2:$N$27,0),1),"")</f>
        <v>2</v>
      </c>
      <c r="CA436" s="67">
        <f t="shared" si="6"/>
        <v>8</v>
      </c>
      <c r="CB436" s="114">
        <f t="shared" si="7"/>
        <v>8</v>
      </c>
      <c r="CC436" s="67">
        <v>5.836176E7</v>
      </c>
    </row>
    <row r="437" ht="15.0" customHeight="1">
      <c r="A437" s="59">
        <v>46255.40314896991</v>
      </c>
      <c r="B437" s="115" t="s">
        <v>105</v>
      </c>
      <c r="C437" s="54" t="s">
        <v>100</v>
      </c>
      <c r="D437" s="56" t="s">
        <v>101</v>
      </c>
      <c r="E437" s="69">
        <v>46256.375</v>
      </c>
      <c r="F437" s="162"/>
      <c r="G437" s="60" t="s">
        <v>5730</v>
      </c>
      <c r="H437" s="60" t="s">
        <v>5731</v>
      </c>
      <c r="I437" s="67" t="s">
        <v>386</v>
      </c>
      <c r="J437" s="79" t="s">
        <v>5732</v>
      </c>
      <c r="K437" s="67" t="s">
        <v>109</v>
      </c>
      <c r="L437" s="79" t="s">
        <v>5733</v>
      </c>
      <c r="M437" s="83" t="s">
        <v>5734</v>
      </c>
      <c r="N437" s="78">
        <v>33583.0</v>
      </c>
      <c r="O437" s="80" t="s">
        <v>27</v>
      </c>
      <c r="P437" s="156" t="s">
        <v>1703</v>
      </c>
      <c r="Q437" s="54"/>
      <c r="R437" s="84"/>
      <c r="S437" s="84"/>
      <c r="T437" s="54" t="s">
        <v>122</v>
      </c>
      <c r="U437" s="86"/>
      <c r="V437" s="54"/>
      <c r="W437" s="86"/>
      <c r="X437" s="54"/>
      <c r="Y437" s="78"/>
      <c r="Z437" s="54"/>
      <c r="AA437" s="70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54" t="s">
        <v>3835</v>
      </c>
      <c r="AR437" s="83" t="s">
        <v>5735</v>
      </c>
      <c r="AS437" s="157" t="s">
        <v>5736</v>
      </c>
      <c r="AT437" s="93" t="s">
        <v>5732</v>
      </c>
      <c r="AU437" s="93" t="s">
        <v>5732</v>
      </c>
      <c r="AV437" s="93" t="s">
        <v>5732</v>
      </c>
      <c r="AW437" s="83" t="s">
        <v>5737</v>
      </c>
      <c r="AX437" s="83">
        <v>4.0</v>
      </c>
      <c r="AY437" s="83" t="s">
        <v>1657</v>
      </c>
      <c r="AZ437" s="83" t="s">
        <v>5738</v>
      </c>
      <c r="BA437" s="83" t="s">
        <v>5739</v>
      </c>
      <c r="BB437" s="83" t="s">
        <v>5740</v>
      </c>
      <c r="BC437" s="54" t="s">
        <v>27</v>
      </c>
      <c r="BD437" s="54" t="str">
        <f t="shared" si="1"/>
        <v>Arequipa</v>
      </c>
      <c r="BE437" s="67" t="s">
        <v>140</v>
      </c>
      <c r="BF437" s="67" t="s">
        <v>144</v>
      </c>
      <c r="BG437" s="67" t="s">
        <v>142</v>
      </c>
      <c r="BH437" s="67"/>
      <c r="BI437" s="67"/>
      <c r="BJ437" s="67"/>
      <c r="BK437" s="67"/>
      <c r="BL437" s="67" t="s">
        <v>147</v>
      </c>
      <c r="BM437" s="67" t="s">
        <v>146</v>
      </c>
      <c r="BN437" s="100">
        <v>89.0</v>
      </c>
      <c r="BO437" s="102" t="s">
        <v>148</v>
      </c>
      <c r="BP437" s="67" t="s">
        <v>141</v>
      </c>
      <c r="BQ437" s="79" t="s">
        <v>141</v>
      </c>
      <c r="BR437" s="67" t="s">
        <v>149</v>
      </c>
      <c r="BS437" s="102">
        <v>1.0</v>
      </c>
      <c r="BT437" s="106">
        <v>46255.0</v>
      </c>
      <c r="BU437" s="107">
        <v>4.0</v>
      </c>
      <c r="BV437" s="108">
        <f t="shared" si="2"/>
        <v>46255</v>
      </c>
      <c r="BW437" s="108">
        <f t="shared" si="16"/>
        <v>46256</v>
      </c>
      <c r="BX437" s="102" t="str">
        <f t="shared" si="15"/>
        <v>09</v>
      </c>
      <c r="BY437" s="107">
        <f t="shared" si="5"/>
        <v>5</v>
      </c>
      <c r="BZ437" s="107">
        <f t="array" ref="BZ437">IF($A437&lt;&gt;"",INDEX(LISTA!$M$2:$N$27,MATCH($BC437,LISTA!$N$2:$N$27,0),1),"")</f>
        <v>7</v>
      </c>
      <c r="CA437" s="67">
        <f t="shared" si="6"/>
        <v>8</v>
      </c>
      <c r="CB437" s="114">
        <f t="shared" si="7"/>
        <v>8</v>
      </c>
      <c r="CC437" s="67">
        <v>5.8368161E7</v>
      </c>
    </row>
    <row r="438" ht="15.0" customHeight="1">
      <c r="A438" s="59">
        <v>46254.446020821764</v>
      </c>
      <c r="B438" s="62" t="s">
        <v>105</v>
      </c>
      <c r="C438" s="54" t="s">
        <v>100</v>
      </c>
      <c r="D438" s="56" t="s">
        <v>319</v>
      </c>
      <c r="E438" s="69">
        <v>46255.583333333336</v>
      </c>
      <c r="F438" s="166"/>
      <c r="G438" s="60" t="s">
        <v>5741</v>
      </c>
      <c r="H438" s="60" t="s">
        <v>5742</v>
      </c>
      <c r="I438" s="67" t="s">
        <v>407</v>
      </c>
      <c r="J438" s="79" t="s">
        <v>5743</v>
      </c>
      <c r="K438" s="67" t="s">
        <v>109</v>
      </c>
      <c r="L438" s="79" t="s">
        <v>5744</v>
      </c>
      <c r="M438" s="83" t="s">
        <v>5745</v>
      </c>
      <c r="N438" s="78">
        <v>31669.0</v>
      </c>
      <c r="O438" s="80" t="s">
        <v>48</v>
      </c>
      <c r="P438" s="70">
        <v>211101.0</v>
      </c>
      <c r="Q438" s="54"/>
      <c r="R438" s="84"/>
      <c r="S438" s="84"/>
      <c r="T438" s="54" t="s">
        <v>122</v>
      </c>
      <c r="U438" s="86"/>
      <c r="V438" s="54"/>
      <c r="W438" s="86"/>
      <c r="X438" s="54"/>
      <c r="Y438" s="78"/>
      <c r="Z438" s="54"/>
      <c r="AA438" s="70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54" t="s">
        <v>5746</v>
      </c>
      <c r="AR438" s="83" t="s">
        <v>125</v>
      </c>
      <c r="AS438" s="83" t="s">
        <v>5747</v>
      </c>
      <c r="AT438" s="93" t="s">
        <v>5743</v>
      </c>
      <c r="AU438" s="93" t="s">
        <v>5748</v>
      </c>
      <c r="AV438" s="93" t="s">
        <v>5743</v>
      </c>
      <c r="AW438" s="83" t="s">
        <v>5749</v>
      </c>
      <c r="AX438" s="83">
        <v>1.0</v>
      </c>
      <c r="AY438" s="83">
        <v>0.0</v>
      </c>
      <c r="AZ438" s="83" t="s">
        <v>5750</v>
      </c>
      <c r="BA438" s="83" t="s">
        <v>5751</v>
      </c>
      <c r="BB438" s="83" t="s">
        <v>2691</v>
      </c>
      <c r="BC438" s="54" t="s">
        <v>27</v>
      </c>
      <c r="BD438" s="54" t="str">
        <f t="shared" si="1"/>
        <v>Arequipa</v>
      </c>
      <c r="BE438" s="67" t="s">
        <v>140</v>
      </c>
      <c r="BF438" s="67" t="s">
        <v>144</v>
      </c>
      <c r="BG438" s="67" t="s">
        <v>142</v>
      </c>
      <c r="BH438" s="67"/>
      <c r="BI438" s="67"/>
      <c r="BJ438" s="67"/>
      <c r="BK438" s="67"/>
      <c r="BL438" s="67" t="s">
        <v>145</v>
      </c>
      <c r="BM438" s="67" t="s">
        <v>146</v>
      </c>
      <c r="BN438" s="100">
        <v>150.0</v>
      </c>
      <c r="BO438" s="102" t="s">
        <v>615</v>
      </c>
      <c r="BP438" s="67" t="s">
        <v>144</v>
      </c>
      <c r="BQ438" s="79" t="s">
        <v>141</v>
      </c>
      <c r="BR438" s="67">
        <v>2.0</v>
      </c>
      <c r="BS438" s="102" t="s">
        <v>149</v>
      </c>
      <c r="BT438" s="106">
        <v>46255.0</v>
      </c>
      <c r="BU438" s="107">
        <v>5.0</v>
      </c>
      <c r="BV438" s="108">
        <f t="shared" si="2"/>
        <v>46254</v>
      </c>
      <c r="BW438" s="108">
        <f t="shared" si="16"/>
        <v>46255</v>
      </c>
      <c r="BX438" s="102" t="str">
        <f t="shared" si="15"/>
        <v>14</v>
      </c>
      <c r="BY438" s="107">
        <f t="shared" si="5"/>
        <v>5</v>
      </c>
      <c r="BZ438" s="107">
        <f t="array" ref="BZ438">IF($A438&lt;&gt;"",INDEX(LISTA!$M$2:$N$27,MATCH($BC438,LISTA!$N$2:$N$27,0),1),"")</f>
        <v>7</v>
      </c>
      <c r="CA438" s="67">
        <f t="shared" si="6"/>
        <v>8</v>
      </c>
      <c r="CB438" s="114">
        <f t="shared" si="7"/>
        <v>8</v>
      </c>
      <c r="CC438" s="67">
        <v>5.8359668E7</v>
      </c>
    </row>
    <row r="439" ht="15.0" customHeight="1">
      <c r="A439" s="59">
        <v>46255.50218222222</v>
      </c>
      <c r="B439" s="62" t="s">
        <v>105</v>
      </c>
      <c r="C439" s="54" t="s">
        <v>100</v>
      </c>
      <c r="D439" s="56" t="s">
        <v>319</v>
      </c>
      <c r="E439" s="69">
        <v>46256.375</v>
      </c>
      <c r="F439" s="162"/>
      <c r="G439" s="60" t="s">
        <v>5752</v>
      </c>
      <c r="H439" s="60" t="s">
        <v>5753</v>
      </c>
      <c r="I439" s="67" t="s">
        <v>382</v>
      </c>
      <c r="J439" s="79" t="s">
        <v>5754</v>
      </c>
      <c r="K439" s="67" t="s">
        <v>109</v>
      </c>
      <c r="L439" s="79" t="s">
        <v>5755</v>
      </c>
      <c r="M439" s="83" t="s">
        <v>5756</v>
      </c>
      <c r="N439" s="78">
        <v>27733.0</v>
      </c>
      <c r="O439" s="80" t="s">
        <v>36</v>
      </c>
      <c r="P439" s="70">
        <v>120708.0</v>
      </c>
      <c r="Q439" s="54"/>
      <c r="R439" s="84"/>
      <c r="S439" s="84"/>
      <c r="T439" s="54"/>
      <c r="U439" s="86"/>
      <c r="V439" s="54"/>
      <c r="W439" s="86"/>
      <c r="X439" s="54"/>
      <c r="Y439" s="78"/>
      <c r="Z439" s="54"/>
      <c r="AA439" s="70"/>
      <c r="AB439" s="83"/>
      <c r="AC439" s="83"/>
      <c r="AD439" s="83"/>
      <c r="AE439" s="83"/>
      <c r="AF439" s="83" t="s">
        <v>1415</v>
      </c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54" t="s">
        <v>5757</v>
      </c>
      <c r="AR439" s="83" t="s">
        <v>868</v>
      </c>
      <c r="AS439" s="83" t="s">
        <v>5758</v>
      </c>
      <c r="AT439" s="93" t="s">
        <v>5754</v>
      </c>
      <c r="AU439" s="93" t="s">
        <v>5759</v>
      </c>
      <c r="AV439" s="93" t="s">
        <v>5754</v>
      </c>
      <c r="AW439" s="83" t="s">
        <v>5760</v>
      </c>
      <c r="AX439" s="83">
        <v>5.0</v>
      </c>
      <c r="AY439" s="83">
        <v>0.0</v>
      </c>
      <c r="AZ439" s="83" t="s">
        <v>5761</v>
      </c>
      <c r="BA439" s="83" t="s">
        <v>5762</v>
      </c>
      <c r="BB439" s="83" t="s">
        <v>5763</v>
      </c>
      <c r="BC439" s="54" t="s">
        <v>41</v>
      </c>
      <c r="BD439" s="54" t="str">
        <f t="shared" si="1"/>
        <v>Magdalena del Mar</v>
      </c>
      <c r="BE439" s="67" t="s">
        <v>143</v>
      </c>
      <c r="BF439" s="67" t="s">
        <v>144</v>
      </c>
      <c r="BG439" s="67" t="s">
        <v>142</v>
      </c>
      <c r="BH439" s="67"/>
      <c r="BI439" s="67"/>
      <c r="BJ439" s="67"/>
      <c r="BK439" s="67"/>
      <c r="BL439" s="67" t="s">
        <v>147</v>
      </c>
      <c r="BM439" s="67" t="s">
        <v>146</v>
      </c>
      <c r="BN439" s="100">
        <v>89.0</v>
      </c>
      <c r="BO439" s="102" t="s">
        <v>148</v>
      </c>
      <c r="BP439" s="67" t="s">
        <v>141</v>
      </c>
      <c r="BQ439" s="79" t="s">
        <v>141</v>
      </c>
      <c r="BR439" s="67" t="s">
        <v>149</v>
      </c>
      <c r="BS439" s="102" t="s">
        <v>149</v>
      </c>
      <c r="BT439" s="106">
        <v>46255.0</v>
      </c>
      <c r="BU439" s="107">
        <v>6.0</v>
      </c>
      <c r="BV439" s="108">
        <f t="shared" si="2"/>
        <v>46255</v>
      </c>
      <c r="BW439" s="108">
        <f t="shared" si="16"/>
        <v>46256</v>
      </c>
      <c r="BX439" s="102" t="str">
        <f t="shared" si="15"/>
        <v>09</v>
      </c>
      <c r="BY439" s="107">
        <f t="shared" si="5"/>
        <v>5</v>
      </c>
      <c r="BZ439" s="107">
        <f t="array" ref="BZ439">IF($A439&lt;&gt;"",INDEX(LISTA!$M$2:$N$27,MATCH($BC439,LISTA!$N$2:$N$27,0),1),"")</f>
        <v>1</v>
      </c>
      <c r="CA439" s="67">
        <f t="shared" si="6"/>
        <v>8</v>
      </c>
      <c r="CB439" s="114">
        <f t="shared" si="7"/>
        <v>8</v>
      </c>
      <c r="CC439" s="67">
        <v>5.8370067E7</v>
      </c>
    </row>
    <row r="440" ht="15.0" customHeight="1">
      <c r="A440" s="59">
        <v>46254.48056111111</v>
      </c>
      <c r="B440" s="62" t="s">
        <v>105</v>
      </c>
      <c r="C440" s="54" t="s">
        <v>100</v>
      </c>
      <c r="D440" s="56" t="s">
        <v>319</v>
      </c>
      <c r="E440" s="69">
        <v>46258.375</v>
      </c>
      <c r="F440" s="162"/>
      <c r="G440" s="60" t="s">
        <v>5764</v>
      </c>
      <c r="H440" s="60" t="s">
        <v>5765</v>
      </c>
      <c r="I440" s="67" t="s">
        <v>378</v>
      </c>
      <c r="J440" s="79" t="s">
        <v>5766</v>
      </c>
      <c r="K440" s="67" t="s">
        <v>109</v>
      </c>
      <c r="L440" s="79" t="s">
        <v>5767</v>
      </c>
      <c r="M440" s="83" t="s">
        <v>5768</v>
      </c>
      <c r="N440" s="78">
        <v>27696.0</v>
      </c>
      <c r="O440" s="80" t="s">
        <v>41</v>
      </c>
      <c r="P440" s="70">
        <v>140101.0</v>
      </c>
      <c r="Q440" s="54"/>
      <c r="R440" s="84"/>
      <c r="S440" s="84"/>
      <c r="T440" s="54"/>
      <c r="U440" s="86"/>
      <c r="V440" s="54"/>
      <c r="W440" s="86"/>
      <c r="X440" s="54"/>
      <c r="Y440" s="78"/>
      <c r="Z440" s="54"/>
      <c r="AA440" s="70"/>
      <c r="AB440" s="83"/>
      <c r="AC440" s="83"/>
      <c r="AD440" s="83"/>
      <c r="AE440" s="83"/>
      <c r="AF440" s="83" t="s">
        <v>5769</v>
      </c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54" t="s">
        <v>5770</v>
      </c>
      <c r="AR440" s="83" t="s">
        <v>2575</v>
      </c>
      <c r="AS440" s="83" t="s">
        <v>5771</v>
      </c>
      <c r="AT440" s="93" t="s">
        <v>5772</v>
      </c>
      <c r="AU440" s="93" t="s">
        <v>5772</v>
      </c>
      <c r="AV440" s="93" t="s">
        <v>5772</v>
      </c>
      <c r="AW440" s="83" t="s">
        <v>5773</v>
      </c>
      <c r="AX440" s="83">
        <v>1.0</v>
      </c>
      <c r="AY440" s="83" t="s">
        <v>2739</v>
      </c>
      <c r="AZ440" s="83" t="s">
        <v>5774</v>
      </c>
      <c r="BA440" s="83" t="s">
        <v>5775</v>
      </c>
      <c r="BB440" s="83" t="s">
        <v>5776</v>
      </c>
      <c r="BC440" s="54" t="s">
        <v>41</v>
      </c>
      <c r="BD440" s="54" t="str">
        <f t="shared" si="1"/>
        <v>Pucusana</v>
      </c>
      <c r="BE440" s="67" t="s">
        <v>140</v>
      </c>
      <c r="BF440" s="67" t="s">
        <v>144</v>
      </c>
      <c r="BG440" s="67" t="s">
        <v>142</v>
      </c>
      <c r="BH440" s="67"/>
      <c r="BI440" s="67"/>
      <c r="BJ440" s="67"/>
      <c r="BK440" s="67"/>
      <c r="BL440" s="67" t="s">
        <v>147</v>
      </c>
      <c r="BM440" s="67" t="s">
        <v>146</v>
      </c>
      <c r="BN440" s="100">
        <v>89.0</v>
      </c>
      <c r="BO440" s="102" t="s">
        <v>148</v>
      </c>
      <c r="BP440" s="67" t="s">
        <v>141</v>
      </c>
      <c r="BQ440" s="79" t="s">
        <v>141</v>
      </c>
      <c r="BR440" s="67" t="s">
        <v>149</v>
      </c>
      <c r="BS440" s="102">
        <v>1.0</v>
      </c>
      <c r="BT440" s="106">
        <v>46255.0</v>
      </c>
      <c r="BU440" s="107">
        <v>7.0</v>
      </c>
      <c r="BV440" s="108">
        <f t="shared" si="2"/>
        <v>46254</v>
      </c>
      <c r="BW440" s="108">
        <f t="shared" si="16"/>
        <v>46258</v>
      </c>
      <c r="BX440" s="102" t="str">
        <f t="shared" si="15"/>
        <v>09</v>
      </c>
      <c r="BY440" s="107">
        <f t="shared" si="5"/>
        <v>5</v>
      </c>
      <c r="BZ440" s="107">
        <f t="array" ref="BZ440">IF($A440&lt;&gt;"",INDEX(LISTA!$M$2:$N$27,MATCH($BC440,LISTA!$N$2:$N$27,0),1),"")</f>
        <v>1</v>
      </c>
      <c r="CA440" s="67">
        <f t="shared" si="6"/>
        <v>8</v>
      </c>
      <c r="CB440" s="114">
        <f t="shared" si="7"/>
        <v>8</v>
      </c>
      <c r="CC440" s="67">
        <v>5.836118E7</v>
      </c>
    </row>
    <row r="441" ht="15.0" customHeight="1">
      <c r="A441" s="59">
        <v>46251.805097847224</v>
      </c>
      <c r="B441" s="62" t="s">
        <v>105</v>
      </c>
      <c r="C441" s="54" t="s">
        <v>100</v>
      </c>
      <c r="D441" s="56" t="s">
        <v>319</v>
      </c>
      <c r="E441" s="69">
        <v>46255.0</v>
      </c>
      <c r="F441" s="162"/>
      <c r="G441" s="60" t="s">
        <v>5777</v>
      </c>
      <c r="H441" s="60" t="s">
        <v>5778</v>
      </c>
      <c r="I441" s="67" t="s">
        <v>374</v>
      </c>
      <c r="J441" s="79" t="s">
        <v>5779</v>
      </c>
      <c r="K441" s="67" t="s">
        <v>109</v>
      </c>
      <c r="L441" s="79" t="s">
        <v>5780</v>
      </c>
      <c r="M441" s="83" t="s">
        <v>5781</v>
      </c>
      <c r="N441" s="78">
        <v>32060.0</v>
      </c>
      <c r="O441" s="80" t="s">
        <v>28</v>
      </c>
      <c r="P441" s="156" t="s">
        <v>5782</v>
      </c>
      <c r="Q441" s="54"/>
      <c r="R441" s="84"/>
      <c r="S441" s="84"/>
      <c r="T441" s="54"/>
      <c r="U441" s="86"/>
      <c r="V441" s="54"/>
      <c r="W441" s="86"/>
      <c r="X441" s="54" t="s">
        <v>1012</v>
      </c>
      <c r="Y441" s="78"/>
      <c r="Z441" s="54"/>
      <c r="AA441" s="70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54" t="s">
        <v>1072</v>
      </c>
      <c r="AR441" s="83" t="s">
        <v>581</v>
      </c>
      <c r="AS441" s="83" t="s">
        <v>5783</v>
      </c>
      <c r="AT441" s="93" t="s">
        <v>5779</v>
      </c>
      <c r="AU441" s="93" t="s">
        <v>5779</v>
      </c>
      <c r="AV441" s="93" t="s">
        <v>5779</v>
      </c>
      <c r="AW441" s="83" t="s">
        <v>5784</v>
      </c>
      <c r="AX441" s="83">
        <v>1.0</v>
      </c>
      <c r="AY441" s="83">
        <v>1.0</v>
      </c>
      <c r="AZ441" s="83" t="s">
        <v>5785</v>
      </c>
      <c r="BA441" s="83" t="s">
        <v>1767</v>
      </c>
      <c r="BB441" s="83" t="s">
        <v>5786</v>
      </c>
      <c r="BC441" s="54" t="s">
        <v>31</v>
      </c>
      <c r="BD441" s="54" t="str">
        <f t="shared" si="1"/>
        <v>Cusco</v>
      </c>
      <c r="BE441" s="67" t="s">
        <v>140</v>
      </c>
      <c r="BF441" s="67" t="s">
        <v>141</v>
      </c>
      <c r="BG441" s="67" t="s">
        <v>142</v>
      </c>
      <c r="BH441" s="67"/>
      <c r="BI441" s="67"/>
      <c r="BJ441" s="67"/>
      <c r="BK441" s="67"/>
      <c r="BL441" s="67" t="s">
        <v>147</v>
      </c>
      <c r="BM441" s="67" t="s">
        <v>146</v>
      </c>
      <c r="BN441" s="100">
        <v>84.0</v>
      </c>
      <c r="BO441" s="102" t="s">
        <v>148</v>
      </c>
      <c r="BP441" s="67" t="s">
        <v>141</v>
      </c>
      <c r="BQ441" s="79"/>
      <c r="BR441" s="67" t="s">
        <v>149</v>
      </c>
      <c r="BS441" s="102" t="s">
        <v>149</v>
      </c>
      <c r="BT441" s="106">
        <v>46255.0</v>
      </c>
      <c r="BU441" s="107">
        <v>9.0</v>
      </c>
      <c r="BV441" s="108">
        <f t="shared" si="2"/>
        <v>46251</v>
      </c>
      <c r="BW441" s="108">
        <f t="shared" si="16"/>
        <v>46255</v>
      </c>
      <c r="BX441" s="102" t="str">
        <f t="shared" si="15"/>
        <v>00</v>
      </c>
      <c r="BY441" s="107">
        <f t="shared" si="5"/>
        <v>5</v>
      </c>
      <c r="BZ441" s="107">
        <f t="array" ref="BZ441">IF($A441&lt;&gt;"",INDEX(LISTA!$M$2:$N$27,MATCH($BC441,LISTA!$N$2:$N$27,0),1),"")</f>
        <v>10</v>
      </c>
      <c r="CA441" s="67">
        <f t="shared" si="6"/>
        <v>8</v>
      </c>
      <c r="CB441" s="114">
        <f t="shared" si="7"/>
        <v>8</v>
      </c>
      <c r="CC441" s="67">
        <v>5.8340726E7</v>
      </c>
    </row>
    <row r="442" ht="15.0" customHeight="1">
      <c r="A442" s="59">
        <v>46255.380532951385</v>
      </c>
      <c r="B442" s="62" t="s">
        <v>105</v>
      </c>
      <c r="C442" s="54" t="s">
        <v>100</v>
      </c>
      <c r="D442" s="56" t="s">
        <v>101</v>
      </c>
      <c r="E442" s="69">
        <v>46256.375</v>
      </c>
      <c r="F442" s="162"/>
      <c r="G442" s="60" t="s">
        <v>5787</v>
      </c>
      <c r="H442" s="60" t="s">
        <v>5788</v>
      </c>
      <c r="I442" s="67" t="s">
        <v>378</v>
      </c>
      <c r="J442" s="79" t="s">
        <v>5789</v>
      </c>
      <c r="K442" s="67" t="s">
        <v>109</v>
      </c>
      <c r="L442" s="79" t="s">
        <v>5790</v>
      </c>
      <c r="M442" s="83" t="s">
        <v>5791</v>
      </c>
      <c r="N442" s="78">
        <v>22989.0</v>
      </c>
      <c r="O442" s="80" t="s">
        <v>24</v>
      </c>
      <c r="P442" s="156" t="s">
        <v>5792</v>
      </c>
      <c r="Q442" s="54"/>
      <c r="R442" s="84" t="s">
        <v>450</v>
      </c>
      <c r="S442" s="84"/>
      <c r="T442" s="54"/>
      <c r="U442" s="86"/>
      <c r="V442" s="54"/>
      <c r="W442" s="86"/>
      <c r="X442" s="54"/>
      <c r="Y442" s="78"/>
      <c r="Z442" s="54"/>
      <c r="AA442" s="70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54" t="s">
        <v>918</v>
      </c>
      <c r="AR442" s="83" t="s">
        <v>957</v>
      </c>
      <c r="AS442" s="83" t="s">
        <v>5793</v>
      </c>
      <c r="AT442" s="93" t="s">
        <v>5794</v>
      </c>
      <c r="AU442" s="93" t="s">
        <v>5794</v>
      </c>
      <c r="AV442" s="93" t="s">
        <v>5794</v>
      </c>
      <c r="AW442" s="83" t="s">
        <v>5795</v>
      </c>
      <c r="AX442" s="83">
        <v>2.0</v>
      </c>
      <c r="AY442" s="83" t="s">
        <v>2739</v>
      </c>
      <c r="AZ442" s="83" t="s">
        <v>5796</v>
      </c>
      <c r="BA442" s="83" t="s">
        <v>5797</v>
      </c>
      <c r="BB442" s="83" t="s">
        <v>5798</v>
      </c>
      <c r="BC442" s="54" t="s">
        <v>24</v>
      </c>
      <c r="BD442" s="54" t="str">
        <f t="shared" si="1"/>
        <v>Huaraz</v>
      </c>
      <c r="BE442" s="67" t="s">
        <v>140</v>
      </c>
      <c r="BF442" s="67" t="s">
        <v>141</v>
      </c>
      <c r="BG442" s="67" t="s">
        <v>142</v>
      </c>
      <c r="BH442" s="67"/>
      <c r="BI442" s="67"/>
      <c r="BJ442" s="67"/>
      <c r="BK442" s="67"/>
      <c r="BL442" s="67" t="s">
        <v>145</v>
      </c>
      <c r="BM442" s="67" t="s">
        <v>146</v>
      </c>
      <c r="BN442" s="100">
        <v>150.0</v>
      </c>
      <c r="BO442" s="102" t="s">
        <v>615</v>
      </c>
      <c r="BP442" s="67" t="s">
        <v>141</v>
      </c>
      <c r="BQ442" s="79" t="s">
        <v>141</v>
      </c>
      <c r="BR442" s="67">
        <v>2.0</v>
      </c>
      <c r="BS442" s="102" t="s">
        <v>149</v>
      </c>
      <c r="BT442" s="106">
        <v>46256.0</v>
      </c>
      <c r="BU442" s="107">
        <v>1.0</v>
      </c>
      <c r="BV442" s="108">
        <f t="shared" si="2"/>
        <v>46255</v>
      </c>
      <c r="BW442" s="108">
        <f t="shared" si="16"/>
        <v>46256</v>
      </c>
      <c r="BX442" s="102" t="str">
        <f t="shared" si="15"/>
        <v>09</v>
      </c>
      <c r="BY442" s="107">
        <f t="shared" si="5"/>
        <v>5</v>
      </c>
      <c r="BZ442" s="107">
        <f t="array" ref="BZ442">IF($A442&lt;&gt;"",INDEX(LISTA!$M$2:$N$27,MATCH($BC442,LISTA!$N$2:$N$27,0),1),"")</f>
        <v>5</v>
      </c>
      <c r="CA442" s="67">
        <f t="shared" si="6"/>
        <v>8</v>
      </c>
      <c r="CB442" s="114">
        <f t="shared" si="7"/>
        <v>8</v>
      </c>
      <c r="CC442" s="67">
        <v>5.8367673E7</v>
      </c>
    </row>
    <row r="443" ht="15.0" customHeight="1">
      <c r="A443" s="59">
        <v>46255.443707858794</v>
      </c>
      <c r="B443" s="62" t="s">
        <v>105</v>
      </c>
      <c r="C443" s="54" t="s">
        <v>100</v>
      </c>
      <c r="D443" s="56" t="s">
        <v>319</v>
      </c>
      <c r="E443" s="69">
        <v>46256.583333333336</v>
      </c>
      <c r="F443" s="162"/>
      <c r="G443" s="60" t="s">
        <v>5799</v>
      </c>
      <c r="H443" s="60" t="s">
        <v>5800</v>
      </c>
      <c r="I443" s="67" t="s">
        <v>407</v>
      </c>
      <c r="J443" s="79" t="s">
        <v>5801</v>
      </c>
      <c r="K443" s="67" t="s">
        <v>109</v>
      </c>
      <c r="L443" s="79" t="s">
        <v>5802</v>
      </c>
      <c r="M443" s="83" t="s">
        <v>5803</v>
      </c>
      <c r="N443" s="78">
        <v>21108.0</v>
      </c>
      <c r="O443" s="80" t="s">
        <v>46</v>
      </c>
      <c r="P443" s="70">
        <v>200101.0</v>
      </c>
      <c r="Q443" s="54"/>
      <c r="R443" s="84"/>
      <c r="S443" s="84"/>
      <c r="T443" s="54"/>
      <c r="U443" s="86"/>
      <c r="V443" s="54"/>
      <c r="W443" s="86"/>
      <c r="X443" s="54"/>
      <c r="Y443" s="78"/>
      <c r="Z443" s="54"/>
      <c r="AA443" s="70"/>
      <c r="AB443" s="83"/>
      <c r="AC443" s="83"/>
      <c r="AD443" s="83"/>
      <c r="AE443" s="83"/>
      <c r="AF443" s="83" t="s">
        <v>1159</v>
      </c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54" t="s">
        <v>5804</v>
      </c>
      <c r="AR443" s="83" t="s">
        <v>5805</v>
      </c>
      <c r="AS443" s="83" t="s">
        <v>5806</v>
      </c>
      <c r="AT443" s="93" t="s">
        <v>5807</v>
      </c>
      <c r="AU443" s="93" t="s">
        <v>5807</v>
      </c>
      <c r="AV443" s="93" t="s">
        <v>5807</v>
      </c>
      <c r="AW443" s="83" t="s">
        <v>5808</v>
      </c>
      <c r="AX443" s="83">
        <v>1.0</v>
      </c>
      <c r="AY443" s="83">
        <v>1.0</v>
      </c>
      <c r="AZ443" s="83" t="s">
        <v>5809</v>
      </c>
      <c r="BA443" s="83" t="s">
        <v>5810</v>
      </c>
      <c r="BB443" s="83" t="s">
        <v>5811</v>
      </c>
      <c r="BC443" s="54" t="s">
        <v>41</v>
      </c>
      <c r="BD443" s="54" t="str">
        <f t="shared" si="1"/>
        <v>Cercado de Lima</v>
      </c>
      <c r="BE443" s="67" t="s">
        <v>140</v>
      </c>
      <c r="BF443" s="67" t="s">
        <v>141</v>
      </c>
      <c r="BG443" s="67" t="s">
        <v>142</v>
      </c>
      <c r="BH443" s="67"/>
      <c r="BI443" s="67"/>
      <c r="BJ443" s="67"/>
      <c r="BK443" s="67"/>
      <c r="BL443" s="67" t="s">
        <v>145</v>
      </c>
      <c r="BM443" s="67" t="s">
        <v>146</v>
      </c>
      <c r="BN443" s="100">
        <v>150.0</v>
      </c>
      <c r="BO443" s="102" t="s">
        <v>615</v>
      </c>
      <c r="BP443" s="67" t="s">
        <v>144</v>
      </c>
      <c r="BQ443" s="79" t="s">
        <v>141</v>
      </c>
      <c r="BR443" s="67">
        <v>1.0</v>
      </c>
      <c r="BS443" s="102" t="s">
        <v>149</v>
      </c>
      <c r="BT443" s="106">
        <v>46256.0</v>
      </c>
      <c r="BU443" s="107">
        <v>2.0</v>
      </c>
      <c r="BV443" s="108">
        <f t="shared" si="2"/>
        <v>46255</v>
      </c>
      <c r="BW443" s="108">
        <f t="shared" si="16"/>
        <v>46256</v>
      </c>
      <c r="BX443" s="102" t="str">
        <f t="shared" si="15"/>
        <v>14</v>
      </c>
      <c r="BY443" s="107">
        <f t="shared" si="5"/>
        <v>5</v>
      </c>
      <c r="BZ443" s="107">
        <f t="array" ref="BZ443">IF($A443&lt;&gt;"",INDEX(LISTA!$M$2:$N$27,MATCH($BC443,LISTA!$N$2:$N$27,0),1),"")</f>
        <v>1</v>
      </c>
      <c r="CA443" s="67">
        <f t="shared" si="6"/>
        <v>8</v>
      </c>
      <c r="CB443" s="114">
        <f t="shared" si="7"/>
        <v>8</v>
      </c>
      <c r="CC443" s="67">
        <v>5.8369535E7</v>
      </c>
    </row>
    <row r="444" ht="15.0" customHeight="1">
      <c r="A444" s="59">
        <v>46254.49824364584</v>
      </c>
      <c r="B444" s="62" t="s">
        <v>105</v>
      </c>
      <c r="C444" s="54" t="s">
        <v>100</v>
      </c>
      <c r="D444" s="56" t="s">
        <v>319</v>
      </c>
      <c r="E444" s="69">
        <v>46256.583333333336</v>
      </c>
      <c r="F444" s="162"/>
      <c r="G444" s="60" t="s">
        <v>5812</v>
      </c>
      <c r="H444" s="60" t="s">
        <v>5813</v>
      </c>
      <c r="I444" s="67" t="s">
        <v>350</v>
      </c>
      <c r="J444" s="79" t="s">
        <v>5814</v>
      </c>
      <c r="K444" s="67" t="s">
        <v>109</v>
      </c>
      <c r="L444" s="79" t="s">
        <v>5815</v>
      </c>
      <c r="M444" s="54" t="s">
        <v>5816</v>
      </c>
      <c r="N444" s="78">
        <v>25609.0</v>
      </c>
      <c r="O444" s="80" t="s">
        <v>41</v>
      </c>
      <c r="P444" s="70">
        <v>150128.0</v>
      </c>
      <c r="Q444" s="54"/>
      <c r="R444" s="84"/>
      <c r="S444" s="84"/>
      <c r="T444" s="54"/>
      <c r="U444" s="86"/>
      <c r="V444" s="54"/>
      <c r="W444" s="86" t="s">
        <v>553</v>
      </c>
      <c r="X444" s="54"/>
      <c r="Y444" s="78"/>
      <c r="Z444" s="54"/>
      <c r="AA444" s="70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54" t="s">
        <v>716</v>
      </c>
      <c r="AR444" s="83" t="s">
        <v>5318</v>
      </c>
      <c r="AS444" s="83" t="s">
        <v>5817</v>
      </c>
      <c r="AT444" s="93" t="s">
        <v>5818</v>
      </c>
      <c r="AU444" s="93" t="s">
        <v>5818</v>
      </c>
      <c r="AV444" s="93" t="s">
        <v>5818</v>
      </c>
      <c r="AW444" s="83" t="s">
        <v>5819</v>
      </c>
      <c r="AX444" s="83">
        <v>2.0</v>
      </c>
      <c r="AY444" s="83">
        <v>3.0</v>
      </c>
      <c r="AZ444" s="83" t="s">
        <v>5820</v>
      </c>
      <c r="BA444" s="83" t="s">
        <v>5821</v>
      </c>
      <c r="BB444" s="83" t="s">
        <v>5822</v>
      </c>
      <c r="BC444" s="54" t="s">
        <v>30</v>
      </c>
      <c r="BD444" s="54" t="str">
        <f t="shared" si="1"/>
        <v>Callao</v>
      </c>
      <c r="BE444" s="67" t="s">
        <v>140</v>
      </c>
      <c r="BF444" s="67" t="s">
        <v>144</v>
      </c>
      <c r="BG444" s="67" t="s">
        <v>142</v>
      </c>
      <c r="BH444" s="67"/>
      <c r="BI444" s="67"/>
      <c r="BJ444" s="67"/>
      <c r="BK444" s="67"/>
      <c r="BL444" s="67" t="s">
        <v>145</v>
      </c>
      <c r="BM444" s="67" t="s">
        <v>146</v>
      </c>
      <c r="BN444" s="100">
        <v>150.0</v>
      </c>
      <c r="BO444" s="102" t="s">
        <v>615</v>
      </c>
      <c r="BP444" s="67" t="s">
        <v>141</v>
      </c>
      <c r="BQ444" s="79" t="s">
        <v>141</v>
      </c>
      <c r="BR444" s="67">
        <v>1.0</v>
      </c>
      <c r="BS444" s="102" t="s">
        <v>149</v>
      </c>
      <c r="BT444" s="106">
        <v>46256.0</v>
      </c>
      <c r="BU444" s="107">
        <v>3.0</v>
      </c>
      <c r="BV444" s="108">
        <f t="shared" si="2"/>
        <v>46254</v>
      </c>
      <c r="BW444" s="108">
        <f t="shared" si="16"/>
        <v>46256</v>
      </c>
      <c r="BX444" s="102" t="str">
        <f t="shared" si="15"/>
        <v>14</v>
      </c>
      <c r="BY444" s="107">
        <f t="shared" si="5"/>
        <v>5</v>
      </c>
      <c r="BZ444" s="107">
        <f t="array" ref="BZ444">IF($A444&lt;&gt;"",INDEX(LISTA!$M$2:$N$27,MATCH($BC444,LISTA!$N$2:$N$27,0),1),"")</f>
        <v>2</v>
      </c>
      <c r="CA444" s="67">
        <f t="shared" si="6"/>
        <v>8</v>
      </c>
      <c r="CB444" s="114">
        <f t="shared" si="7"/>
        <v>8</v>
      </c>
      <c r="CC444" s="67">
        <v>5.8360595E7</v>
      </c>
    </row>
    <row r="445" ht="15.0" customHeight="1">
      <c r="A445" s="59">
        <v>46256.472946759255</v>
      </c>
      <c r="B445" s="115" t="s">
        <v>105</v>
      </c>
      <c r="C445" s="54" t="s">
        <v>100</v>
      </c>
      <c r="D445" s="56" t="s">
        <v>319</v>
      </c>
      <c r="E445" s="69">
        <v>46256.583333333336</v>
      </c>
      <c r="F445" s="162" t="s">
        <v>5823</v>
      </c>
      <c r="G445" s="60" t="s">
        <v>5824</v>
      </c>
      <c r="H445" s="60" t="s">
        <v>5825</v>
      </c>
      <c r="I445" s="67" t="s">
        <v>378</v>
      </c>
      <c r="J445" s="79" t="s">
        <v>5826</v>
      </c>
      <c r="K445" s="67" t="s">
        <v>109</v>
      </c>
      <c r="L445" s="79" t="s">
        <v>5827</v>
      </c>
      <c r="M445" s="83" t="s">
        <v>5828</v>
      </c>
      <c r="N445" s="78">
        <v>21379.0</v>
      </c>
      <c r="O445" s="80" t="s">
        <v>24</v>
      </c>
      <c r="P445" s="156" t="s">
        <v>1154</v>
      </c>
      <c r="Q445" s="54"/>
      <c r="R445" s="84"/>
      <c r="S445" s="84"/>
      <c r="T445" s="54"/>
      <c r="U445" s="86"/>
      <c r="V445" s="54"/>
      <c r="W445" s="86"/>
      <c r="X445" s="54"/>
      <c r="Y445" s="78"/>
      <c r="Z445" s="54"/>
      <c r="AA445" s="70"/>
      <c r="AB445" s="83"/>
      <c r="AC445" s="83" t="s">
        <v>1690</v>
      </c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54" t="s">
        <v>5829</v>
      </c>
      <c r="AR445" s="83" t="s">
        <v>5830</v>
      </c>
      <c r="AS445" s="83" t="s">
        <v>5831</v>
      </c>
      <c r="AT445" s="93" t="s">
        <v>5826</v>
      </c>
      <c r="AU445" s="93" t="s">
        <v>5826</v>
      </c>
      <c r="AV445" s="93" t="s">
        <v>5826</v>
      </c>
      <c r="AW445" s="83" t="s">
        <v>5832</v>
      </c>
      <c r="AX445" s="83">
        <v>3.0</v>
      </c>
      <c r="AY445" s="83">
        <v>304.0</v>
      </c>
      <c r="AZ445" s="83" t="s">
        <v>5833</v>
      </c>
      <c r="BA445" s="83" t="s">
        <v>5834</v>
      </c>
      <c r="BB445" s="83" t="s">
        <v>5835</v>
      </c>
      <c r="BC445" s="54" t="s">
        <v>39</v>
      </c>
      <c r="BD445" s="70" t="str">
        <f t="shared" si="1"/>
        <v>Trujillo</v>
      </c>
      <c r="BE445" s="67" t="s">
        <v>140</v>
      </c>
      <c r="BF445" s="67" t="s">
        <v>141</v>
      </c>
      <c r="BG445" s="67" t="s">
        <v>142</v>
      </c>
      <c r="BH445" s="67"/>
      <c r="BI445" s="67"/>
      <c r="BJ445" s="67"/>
      <c r="BK445" s="67"/>
      <c r="BL445" s="67" t="s">
        <v>145</v>
      </c>
      <c r="BM445" s="67" t="s">
        <v>146</v>
      </c>
      <c r="BN445" s="100">
        <v>150.0</v>
      </c>
      <c r="BO445" s="102" t="s">
        <v>615</v>
      </c>
      <c r="BP445" s="67" t="s">
        <v>141</v>
      </c>
      <c r="BQ445" s="79" t="s">
        <v>141</v>
      </c>
      <c r="BR445" s="67">
        <v>2.0</v>
      </c>
      <c r="BS445" s="102" t="s">
        <v>149</v>
      </c>
      <c r="BT445" s="106">
        <v>46256.0</v>
      </c>
      <c r="BU445" s="107">
        <v>4.0</v>
      </c>
      <c r="BV445" s="108">
        <f t="shared" si="2"/>
        <v>46256</v>
      </c>
      <c r="BW445" s="108">
        <f t="shared" si="16"/>
        <v>46256</v>
      </c>
      <c r="BX445" s="102" t="str">
        <f t="shared" si="15"/>
        <v>14</v>
      </c>
      <c r="BY445" s="107">
        <f t="shared" si="5"/>
        <v>5</v>
      </c>
      <c r="BZ445" s="107">
        <f t="array" ref="BZ445">IF($A445&lt;&gt;"",INDEX(LISTA!$M$2:$N$27,MATCH($BC445,LISTA!$N$2:$N$27,0),1),"")</f>
        <v>15</v>
      </c>
      <c r="CA445" s="67">
        <f t="shared" si="6"/>
        <v>8</v>
      </c>
      <c r="CB445" s="114">
        <f t="shared" si="7"/>
        <v>8</v>
      </c>
      <c r="CC445" s="67">
        <v>5.8377267E7</v>
      </c>
    </row>
    <row r="446" ht="15.0" customHeight="1">
      <c r="A446" s="59">
        <v>46254.502859976856</v>
      </c>
      <c r="B446" s="62" t="s">
        <v>105</v>
      </c>
      <c r="C446" s="54" t="s">
        <v>100</v>
      </c>
      <c r="D446" s="56" t="s">
        <v>319</v>
      </c>
      <c r="E446" s="69">
        <v>46258.583333333336</v>
      </c>
      <c r="F446" s="162"/>
      <c r="G446" s="60" t="s">
        <v>5836</v>
      </c>
      <c r="H446" s="60" t="s">
        <v>5837</v>
      </c>
      <c r="I446" s="67" t="s">
        <v>350</v>
      </c>
      <c r="J446" s="79" t="s">
        <v>5838</v>
      </c>
      <c r="K446" s="67" t="s">
        <v>109</v>
      </c>
      <c r="L446" s="79" t="s">
        <v>5839</v>
      </c>
      <c r="M446" s="83" t="s">
        <v>5840</v>
      </c>
      <c r="N446" s="78">
        <v>32417.0</v>
      </c>
      <c r="O446" s="80" t="s">
        <v>52</v>
      </c>
      <c r="P446" s="70">
        <v>250101.0</v>
      </c>
      <c r="Q446" s="54"/>
      <c r="R446" s="84"/>
      <c r="S446" s="84"/>
      <c r="T446" s="54"/>
      <c r="U446" s="86"/>
      <c r="V446" s="54"/>
      <c r="W446" s="86"/>
      <c r="X446" s="54"/>
      <c r="Y446" s="78"/>
      <c r="Z446" s="54"/>
      <c r="AA446" s="70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 t="s">
        <v>1926</v>
      </c>
      <c r="AQ446" s="54" t="s">
        <v>2697</v>
      </c>
      <c r="AR446" s="83" t="s">
        <v>5841</v>
      </c>
      <c r="AS446" s="83" t="s">
        <v>5842</v>
      </c>
      <c r="AT446" s="93" t="s">
        <v>5838</v>
      </c>
      <c r="AU446" s="93" t="s">
        <v>5838</v>
      </c>
      <c r="AV446" s="93" t="s">
        <v>5838</v>
      </c>
      <c r="AW446" s="83" t="s">
        <v>5843</v>
      </c>
      <c r="AX446" s="83">
        <v>1.0</v>
      </c>
      <c r="AY446" s="83">
        <v>0.0</v>
      </c>
      <c r="AZ446" s="83" t="s">
        <v>5844</v>
      </c>
      <c r="BA446" s="83" t="s">
        <v>5845</v>
      </c>
      <c r="BB446" s="83" t="s">
        <v>5846</v>
      </c>
      <c r="BC446" s="54" t="s">
        <v>52</v>
      </c>
      <c r="BD446" s="54" t="str">
        <f t="shared" si="1"/>
        <v>Coronel Portillo</v>
      </c>
      <c r="BE446" s="67" t="s">
        <v>140</v>
      </c>
      <c r="BF446" s="67" t="s">
        <v>141</v>
      </c>
      <c r="BG446" s="67" t="s">
        <v>142</v>
      </c>
      <c r="BH446" s="67"/>
      <c r="BI446" s="67"/>
      <c r="BJ446" s="67"/>
      <c r="BK446" s="67"/>
      <c r="BL446" s="67" t="s">
        <v>147</v>
      </c>
      <c r="BM446" s="67" t="s">
        <v>146</v>
      </c>
      <c r="BN446" s="100">
        <v>89.0</v>
      </c>
      <c r="BO446" s="102" t="s">
        <v>148</v>
      </c>
      <c r="BP446" s="67" t="s">
        <v>141</v>
      </c>
      <c r="BQ446" s="79" t="s">
        <v>141</v>
      </c>
      <c r="BR446" s="67" t="s">
        <v>149</v>
      </c>
      <c r="BS446" s="102">
        <v>1.0</v>
      </c>
      <c r="BT446" s="106">
        <v>46258.0</v>
      </c>
      <c r="BU446" s="107">
        <v>1.0</v>
      </c>
      <c r="BV446" s="108">
        <f t="shared" si="2"/>
        <v>46254</v>
      </c>
      <c r="BW446" s="108">
        <f t="shared" si="16"/>
        <v>46258</v>
      </c>
      <c r="BX446" s="102" t="str">
        <f t="shared" si="15"/>
        <v>14</v>
      </c>
      <c r="BY446" s="107">
        <f t="shared" si="5"/>
        <v>5</v>
      </c>
      <c r="BZ446" s="107">
        <f t="array" ref="BZ446">IF($A446&lt;&gt;"",INDEX(LISTA!$M$2:$N$27,MATCH($BC446,LISTA!$N$2:$N$27,0),1),"")</f>
        <v>26</v>
      </c>
      <c r="CA446" s="67">
        <f t="shared" si="6"/>
        <v>8</v>
      </c>
      <c r="CB446" s="114">
        <f t="shared" si="7"/>
        <v>8</v>
      </c>
      <c r="CC446" s="160">
        <v>5.8360944E7</v>
      </c>
    </row>
    <row r="447" ht="15.0" customHeight="1">
      <c r="A447" s="59">
        <v>46256.72226872685</v>
      </c>
      <c r="B447" s="62" t="s">
        <v>105</v>
      </c>
      <c r="C447" s="54" t="s">
        <v>100</v>
      </c>
      <c r="D447" s="56" t="s">
        <v>319</v>
      </c>
      <c r="E447" s="69">
        <v>46258.375</v>
      </c>
      <c r="F447" s="162"/>
      <c r="G447" s="60" t="s">
        <v>5847</v>
      </c>
      <c r="H447" s="60" t="s">
        <v>5848</v>
      </c>
      <c r="I447" s="67" t="s">
        <v>350</v>
      </c>
      <c r="J447" s="79" t="s">
        <v>5849</v>
      </c>
      <c r="K447" s="67" t="s">
        <v>109</v>
      </c>
      <c r="L447" s="79" t="s">
        <v>5850</v>
      </c>
      <c r="M447" s="83" t="s">
        <v>5851</v>
      </c>
      <c r="N447" s="78">
        <v>37613.0</v>
      </c>
      <c r="O447" s="80" t="s">
        <v>27</v>
      </c>
      <c r="P447" s="156" t="s">
        <v>5852</v>
      </c>
      <c r="Q447" s="54"/>
      <c r="R447" s="84"/>
      <c r="S447" s="84"/>
      <c r="T447" s="54" t="s">
        <v>122</v>
      </c>
      <c r="U447" s="86"/>
      <c r="V447" s="54"/>
      <c r="W447" s="86"/>
      <c r="X447" s="54"/>
      <c r="Y447" s="78"/>
      <c r="Z447" s="54"/>
      <c r="AA447" s="70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54" t="s">
        <v>806</v>
      </c>
      <c r="AR447" s="83" t="s">
        <v>5853</v>
      </c>
      <c r="AS447" s="83" t="s">
        <v>5854</v>
      </c>
      <c r="AT447" s="93" t="s">
        <v>5849</v>
      </c>
      <c r="AU447" s="93" t="s">
        <v>5849</v>
      </c>
      <c r="AV447" s="93" t="s">
        <v>5849</v>
      </c>
      <c r="AW447" s="83" t="s">
        <v>5855</v>
      </c>
      <c r="AX447" s="83">
        <v>2.0</v>
      </c>
      <c r="AY447" s="83">
        <v>0.0</v>
      </c>
      <c r="AZ447" s="83" t="s">
        <v>5856</v>
      </c>
      <c r="BA447" s="83" t="s">
        <v>5857</v>
      </c>
      <c r="BB447" s="83" t="s">
        <v>5858</v>
      </c>
      <c r="BC447" s="54" t="s">
        <v>27</v>
      </c>
      <c r="BD447" s="70" t="str">
        <f t="shared" si="1"/>
        <v>Arequipa</v>
      </c>
      <c r="BE447" s="67" t="s">
        <v>140</v>
      </c>
      <c r="BF447" s="67" t="s">
        <v>144</v>
      </c>
      <c r="BG447" s="67" t="s">
        <v>142</v>
      </c>
      <c r="BH447" s="67"/>
      <c r="BI447" s="67"/>
      <c r="BJ447" s="67"/>
      <c r="BK447" s="67"/>
      <c r="BL447" s="67" t="s">
        <v>147</v>
      </c>
      <c r="BM447" s="67" t="s">
        <v>146</v>
      </c>
      <c r="BN447" s="100">
        <v>89.0</v>
      </c>
      <c r="BO447" s="102" t="s">
        <v>148</v>
      </c>
      <c r="BP447" s="67" t="s">
        <v>141</v>
      </c>
      <c r="BQ447" s="79" t="s">
        <v>141</v>
      </c>
      <c r="BR447" s="67" t="s">
        <v>149</v>
      </c>
      <c r="BS447" s="102">
        <v>1.0</v>
      </c>
      <c r="BT447" s="106">
        <v>46258.0</v>
      </c>
      <c r="BU447" s="107">
        <v>2.0</v>
      </c>
      <c r="BV447" s="108">
        <f t="shared" si="2"/>
        <v>46256</v>
      </c>
      <c r="BW447" s="108">
        <f t="shared" si="16"/>
        <v>46258</v>
      </c>
      <c r="BX447" s="102" t="str">
        <f t="shared" si="15"/>
        <v>09</v>
      </c>
      <c r="BY447" s="107">
        <f t="shared" si="5"/>
        <v>5</v>
      </c>
      <c r="BZ447" s="107">
        <f t="array" ref="BZ447">IF($A447&lt;&gt;"",INDEX(LISTA!$M$2:$N$27,MATCH($BC447,LISTA!$N$2:$N$27,0),1),"")</f>
        <v>7</v>
      </c>
      <c r="CA447" s="67">
        <f t="shared" si="6"/>
        <v>8</v>
      </c>
      <c r="CB447" s="114">
        <f t="shared" si="7"/>
        <v>8</v>
      </c>
      <c r="CC447" s="160">
        <v>5.8380823E7</v>
      </c>
    </row>
    <row r="448" ht="15.0" customHeight="1">
      <c r="A448" s="59">
        <v>46253.4399703588</v>
      </c>
      <c r="B448" s="62" t="s">
        <v>427</v>
      </c>
      <c r="C448" s="54" t="s">
        <v>100</v>
      </c>
      <c r="D448" s="56" t="s">
        <v>319</v>
      </c>
      <c r="E448" s="69">
        <v>46259.0</v>
      </c>
      <c r="F448" s="162"/>
      <c r="G448" s="60" t="s">
        <v>5859</v>
      </c>
      <c r="H448" s="60" t="s">
        <v>5860</v>
      </c>
      <c r="I448" s="67" t="s">
        <v>386</v>
      </c>
      <c r="J448" s="79" t="s">
        <v>5861</v>
      </c>
      <c r="K448" s="67" t="s">
        <v>109</v>
      </c>
      <c r="L448" s="79" t="s">
        <v>5862</v>
      </c>
      <c r="M448" s="83" t="s">
        <v>5863</v>
      </c>
      <c r="N448" s="78">
        <v>31978.0</v>
      </c>
      <c r="O448" s="80" t="s">
        <v>50</v>
      </c>
      <c r="P448" s="70">
        <v>230101.0</v>
      </c>
      <c r="Q448" s="54"/>
      <c r="R448" s="84"/>
      <c r="S448" s="84"/>
      <c r="T448" s="54"/>
      <c r="U448" s="86"/>
      <c r="V448" s="54"/>
      <c r="W448" s="86"/>
      <c r="X448" s="54"/>
      <c r="Y448" s="78"/>
      <c r="Z448" s="54"/>
      <c r="AA448" s="70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 t="s">
        <v>866</v>
      </c>
      <c r="AO448" s="83"/>
      <c r="AP448" s="83"/>
      <c r="AQ448" s="54" t="s">
        <v>2670</v>
      </c>
      <c r="AR448" s="83" t="s">
        <v>5318</v>
      </c>
      <c r="AS448" s="83" t="s">
        <v>5864</v>
      </c>
      <c r="AT448" s="93" t="s">
        <v>5861</v>
      </c>
      <c r="AU448" s="93" t="s">
        <v>5861</v>
      </c>
      <c r="AV448" s="93" t="s">
        <v>5861</v>
      </c>
      <c r="AW448" s="83" t="s">
        <v>5865</v>
      </c>
      <c r="AX448" s="83">
        <v>2.0</v>
      </c>
      <c r="AY448" s="83" t="s">
        <v>1657</v>
      </c>
      <c r="AZ448" s="83" t="s">
        <v>5866</v>
      </c>
      <c r="BA448" s="83" t="s">
        <v>5867</v>
      </c>
      <c r="BB448" s="83" t="s">
        <v>5868</v>
      </c>
      <c r="BC448" s="54" t="s">
        <v>50</v>
      </c>
      <c r="BD448" s="54" t="str">
        <f t="shared" si="1"/>
        <v>Tacna</v>
      </c>
      <c r="BE448" s="67" t="s">
        <v>140</v>
      </c>
      <c r="BF448" s="67" t="s">
        <v>141</v>
      </c>
      <c r="BG448" s="67" t="s">
        <v>142</v>
      </c>
      <c r="BH448" s="67"/>
      <c r="BI448" s="67"/>
      <c r="BJ448" s="67"/>
      <c r="BK448" s="67"/>
      <c r="BL448" s="67" t="s">
        <v>147</v>
      </c>
      <c r="BM448" s="67" t="s">
        <v>146</v>
      </c>
      <c r="BN448" s="100">
        <v>89.0</v>
      </c>
      <c r="BO448" s="102" t="s">
        <v>148</v>
      </c>
      <c r="BP448" s="67" t="s">
        <v>141</v>
      </c>
      <c r="BQ448" s="79" t="s">
        <v>141</v>
      </c>
      <c r="BR448" s="67" t="s">
        <v>149</v>
      </c>
      <c r="BS448" s="102">
        <v>1.0</v>
      </c>
      <c r="BT448" s="106"/>
      <c r="BU448" s="107"/>
      <c r="BV448" s="108">
        <f t="shared" si="2"/>
        <v>46253</v>
      </c>
      <c r="BW448" s="108">
        <f t="shared" si="16"/>
        <v>46259</v>
      </c>
      <c r="BX448" s="102" t="str">
        <f t="shared" si="15"/>
        <v>00</v>
      </c>
      <c r="BY448" s="107">
        <f t="shared" si="5"/>
        <v>4</v>
      </c>
      <c r="BZ448" s="107">
        <f t="array" ref="BZ448">IF($A448&lt;&gt;"",INDEX(LISTA!$M$2:$N$27,MATCH($BC448,LISTA!$N$2:$N$27,0),1),"")</f>
        <v>24</v>
      </c>
      <c r="CA448" s="67">
        <f t="shared" si="6"/>
        <v>8</v>
      </c>
      <c r="CB448" s="114" t="str">
        <f t="shared" si="7"/>
        <v/>
      </c>
      <c r="CC448" s="114"/>
    </row>
    <row r="449" ht="15.0" customHeight="1">
      <c r="A449" s="59">
        <v>46255.41206212963</v>
      </c>
      <c r="B449" s="62" t="s">
        <v>427</v>
      </c>
      <c r="C449" s="54" t="s">
        <v>100</v>
      </c>
      <c r="D449" s="56" t="s">
        <v>319</v>
      </c>
      <c r="E449" s="69">
        <v>46258.375</v>
      </c>
      <c r="F449" s="162" t="s">
        <v>5869</v>
      </c>
      <c r="G449" s="60" t="s">
        <v>5870</v>
      </c>
      <c r="H449" s="60" t="s">
        <v>5871</v>
      </c>
      <c r="I449" s="67" t="s">
        <v>378</v>
      </c>
      <c r="J449" s="79" t="s">
        <v>5872</v>
      </c>
      <c r="K449" s="67" t="s">
        <v>109</v>
      </c>
      <c r="L449" s="79" t="s">
        <v>5873</v>
      </c>
      <c r="M449" s="83" t="s">
        <v>5874</v>
      </c>
      <c r="N449" s="78">
        <v>22993.0</v>
      </c>
      <c r="O449" s="80" t="s">
        <v>48</v>
      </c>
      <c r="P449" s="70">
        <v>200201.0</v>
      </c>
      <c r="Q449" s="54"/>
      <c r="R449" s="84"/>
      <c r="S449" s="84"/>
      <c r="T449" s="54" t="s">
        <v>122</v>
      </c>
      <c r="U449" s="86"/>
      <c r="V449" s="54"/>
      <c r="W449" s="86"/>
      <c r="X449" s="54"/>
      <c r="Y449" s="78"/>
      <c r="Z449" s="54"/>
      <c r="AA449" s="70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54" t="s">
        <v>793</v>
      </c>
      <c r="AR449" s="83" t="s">
        <v>5875</v>
      </c>
      <c r="AS449" s="83" t="s">
        <v>5876</v>
      </c>
      <c r="AT449" s="93" t="s">
        <v>5877</v>
      </c>
      <c r="AU449" s="93" t="s">
        <v>5877</v>
      </c>
      <c r="AV449" s="93" t="s">
        <v>5877</v>
      </c>
      <c r="AW449" s="83" t="s">
        <v>5878</v>
      </c>
      <c r="AX449" s="83">
        <v>1.0</v>
      </c>
      <c r="AY449" s="83" t="s">
        <v>5879</v>
      </c>
      <c r="AZ449" s="83" t="s">
        <v>5880</v>
      </c>
      <c r="BA449" s="83" t="s">
        <v>5881</v>
      </c>
      <c r="BB449" s="83" t="s">
        <v>5882</v>
      </c>
      <c r="BC449" s="54" t="s">
        <v>27</v>
      </c>
      <c r="BD449" s="54" t="str">
        <f t="shared" si="1"/>
        <v>Arequipa</v>
      </c>
      <c r="BE449" s="67" t="s">
        <v>140</v>
      </c>
      <c r="BF449" s="67" t="s">
        <v>141</v>
      </c>
      <c r="BG449" s="67" t="s">
        <v>142</v>
      </c>
      <c r="BH449" s="67"/>
      <c r="BI449" s="67"/>
      <c r="BJ449" s="67"/>
      <c r="BK449" s="67"/>
      <c r="BL449" s="67" t="s">
        <v>145</v>
      </c>
      <c r="BM449" s="67" t="s">
        <v>146</v>
      </c>
      <c r="BN449" s="100">
        <v>150.0</v>
      </c>
      <c r="BO449" s="102" t="s">
        <v>615</v>
      </c>
      <c r="BP449" s="67" t="s">
        <v>141</v>
      </c>
      <c r="BQ449" s="79" t="s">
        <v>141</v>
      </c>
      <c r="BR449" s="67">
        <v>3.0</v>
      </c>
      <c r="BS449" s="102" t="s">
        <v>149</v>
      </c>
      <c r="BT449" s="106"/>
      <c r="BU449" s="107"/>
      <c r="BV449" s="108">
        <f t="shared" si="2"/>
        <v>46255</v>
      </c>
      <c r="BW449" s="108">
        <f t="shared" si="16"/>
        <v>46258</v>
      </c>
      <c r="BX449" s="102" t="str">
        <f t="shared" si="15"/>
        <v>09</v>
      </c>
      <c r="BY449" s="107">
        <f t="shared" si="5"/>
        <v>4</v>
      </c>
      <c r="BZ449" s="107">
        <f t="array" ref="BZ449">IF($A449&lt;&gt;"",INDEX(LISTA!$M$2:$N$27,MATCH($BC449,LISTA!$N$2:$N$27,0),1),"")</f>
        <v>7</v>
      </c>
      <c r="CA449" s="67">
        <f t="shared" si="6"/>
        <v>8</v>
      </c>
      <c r="CB449" s="114" t="str">
        <f t="shared" si="7"/>
        <v/>
      </c>
      <c r="CC449" s="114"/>
    </row>
    <row r="450" ht="15.0" customHeight="1">
      <c r="A450" s="59">
        <v>46242.381720509264</v>
      </c>
      <c r="B450" s="62" t="s">
        <v>429</v>
      </c>
      <c r="C450" s="54" t="s">
        <v>100</v>
      </c>
      <c r="D450" s="56" t="s">
        <v>319</v>
      </c>
      <c r="E450" s="69">
        <v>46247.375</v>
      </c>
      <c r="F450" s="162" t="s">
        <v>5883</v>
      </c>
      <c r="G450" s="60" t="s">
        <v>5884</v>
      </c>
      <c r="H450" s="60" t="s">
        <v>5885</v>
      </c>
      <c r="I450" s="67" t="s">
        <v>350</v>
      </c>
      <c r="J450" s="79" t="s">
        <v>5886</v>
      </c>
      <c r="K450" s="67" t="s">
        <v>1151</v>
      </c>
      <c r="L450" s="79" t="s">
        <v>5887</v>
      </c>
      <c r="M450" s="83" t="s">
        <v>5888</v>
      </c>
      <c r="N450" s="78">
        <v>28762.0</v>
      </c>
      <c r="O450" s="80" t="s">
        <v>31</v>
      </c>
      <c r="P450" s="156" t="s">
        <v>715</v>
      </c>
      <c r="Q450" s="54"/>
      <c r="R450" s="84"/>
      <c r="S450" s="84"/>
      <c r="T450" s="54"/>
      <c r="U450" s="86"/>
      <c r="V450" s="54"/>
      <c r="W450" s="86"/>
      <c r="X450" s="54" t="s">
        <v>1012</v>
      </c>
      <c r="Y450" s="78"/>
      <c r="Z450" s="54"/>
      <c r="AA450" s="70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54" t="s">
        <v>5889</v>
      </c>
      <c r="AR450" s="83" t="s">
        <v>5890</v>
      </c>
      <c r="AS450" s="83" t="s">
        <v>5891</v>
      </c>
      <c r="AT450" s="93" t="s">
        <v>5892</v>
      </c>
      <c r="AU450" s="93" t="s">
        <v>5892</v>
      </c>
      <c r="AV450" s="93" t="s">
        <v>5892</v>
      </c>
      <c r="AW450" s="83" t="s">
        <v>5893</v>
      </c>
      <c r="AX450" s="83">
        <v>5.0</v>
      </c>
      <c r="AY450" s="83">
        <v>0.0</v>
      </c>
      <c r="AZ450" s="83" t="s">
        <v>5894</v>
      </c>
      <c r="BA450" s="83" t="s">
        <v>5895</v>
      </c>
      <c r="BB450" s="83" t="s">
        <v>5896</v>
      </c>
      <c r="BC450" s="54" t="s">
        <v>31</v>
      </c>
      <c r="BD450" s="54" t="str">
        <f t="shared" si="1"/>
        <v>Cusco</v>
      </c>
      <c r="BE450" s="67" t="s">
        <v>143</v>
      </c>
      <c r="BF450" s="67" t="s">
        <v>141</v>
      </c>
      <c r="BG450" s="67" t="s">
        <v>142</v>
      </c>
      <c r="BH450" s="67"/>
      <c r="BI450" s="67"/>
      <c r="BJ450" s="67"/>
      <c r="BK450" s="67"/>
      <c r="BL450" s="67" t="s">
        <v>147</v>
      </c>
      <c r="BM450" s="67" t="s">
        <v>1897</v>
      </c>
      <c r="BN450" s="100">
        <v>99.0</v>
      </c>
      <c r="BO450" s="102" t="s">
        <v>1647</v>
      </c>
      <c r="BP450" s="67" t="s">
        <v>141</v>
      </c>
      <c r="BQ450" s="79" t="s">
        <v>141</v>
      </c>
      <c r="BR450" s="67">
        <v>2.0</v>
      </c>
      <c r="BS450" s="102" t="s">
        <v>149</v>
      </c>
      <c r="BT450" s="106"/>
      <c r="BU450" s="107"/>
      <c r="BV450" s="108">
        <f t="shared" si="2"/>
        <v>46242</v>
      </c>
      <c r="BW450" s="108">
        <f t="shared" si="16"/>
        <v>46247</v>
      </c>
      <c r="BX450" s="102" t="str">
        <f t="shared" si="15"/>
        <v>09</v>
      </c>
      <c r="BY450" s="107">
        <f t="shared" si="5"/>
        <v>4</v>
      </c>
      <c r="BZ450" s="107">
        <f t="array" ref="BZ450">IF($A450&lt;&gt;"",INDEX(LISTA!$M$2:$N$27,MATCH($BC450,LISTA!$N$2:$N$27,0),1),"")</f>
        <v>10</v>
      </c>
      <c r="CA450" s="67">
        <f t="shared" si="6"/>
        <v>8</v>
      </c>
      <c r="CB450" s="114" t="str">
        <f t="shared" si="7"/>
        <v/>
      </c>
      <c r="CC450" s="114"/>
    </row>
    <row r="451" ht="15.0" customHeight="1">
      <c r="A451" s="59">
        <v>46252.767212060186</v>
      </c>
      <c r="B451" s="115" t="s">
        <v>419</v>
      </c>
      <c r="C451" s="54" t="s">
        <v>100</v>
      </c>
      <c r="D451" s="56" t="s">
        <v>319</v>
      </c>
      <c r="E451" s="69">
        <v>46259.375</v>
      </c>
      <c r="F451" s="162"/>
      <c r="G451" s="60" t="s">
        <v>5897</v>
      </c>
      <c r="H451" s="60" t="s">
        <v>5898</v>
      </c>
      <c r="I451" s="67" t="s">
        <v>374</v>
      </c>
      <c r="J451" s="79" t="s">
        <v>5899</v>
      </c>
      <c r="K451" s="67" t="s">
        <v>109</v>
      </c>
      <c r="L451" s="79" t="s">
        <v>5900</v>
      </c>
      <c r="M451" s="83" t="s">
        <v>5901</v>
      </c>
      <c r="N451" s="78">
        <v>28873.0</v>
      </c>
      <c r="O451" s="80" t="s">
        <v>41</v>
      </c>
      <c r="P451" s="70">
        <v>150108.0</v>
      </c>
      <c r="Q451" s="54"/>
      <c r="R451" s="84"/>
      <c r="S451" s="84"/>
      <c r="T451" s="54"/>
      <c r="U451" s="86"/>
      <c r="V451" s="54"/>
      <c r="W451" s="86"/>
      <c r="X451" s="54"/>
      <c r="Y451" s="78"/>
      <c r="Z451" s="54"/>
      <c r="AA451" s="70"/>
      <c r="AB451" s="83"/>
      <c r="AC451" s="83"/>
      <c r="AD451" s="83"/>
      <c r="AE451" s="83"/>
      <c r="AF451" s="83" t="s">
        <v>2284</v>
      </c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54" t="s">
        <v>2146</v>
      </c>
      <c r="AR451" s="83" t="s">
        <v>5550</v>
      </c>
      <c r="AS451" s="83" t="s">
        <v>5902</v>
      </c>
      <c r="AT451" s="93" t="s">
        <v>5899</v>
      </c>
      <c r="AU451" s="93" t="s">
        <v>5899</v>
      </c>
      <c r="AV451" s="93" t="s">
        <v>5899</v>
      </c>
      <c r="AW451" s="83" t="s">
        <v>5903</v>
      </c>
      <c r="AX451" s="83">
        <v>9.0</v>
      </c>
      <c r="AY451" s="83">
        <v>903.0</v>
      </c>
      <c r="AZ451" s="83" t="s">
        <v>5904</v>
      </c>
      <c r="BA451" s="83" t="s">
        <v>1767</v>
      </c>
      <c r="BB451" s="83" t="s">
        <v>5905</v>
      </c>
      <c r="BC451" s="54" t="s">
        <v>41</v>
      </c>
      <c r="BD451" s="54" t="str">
        <f t="shared" si="1"/>
        <v>Chorrillos</v>
      </c>
      <c r="BE451" s="67" t="s">
        <v>140</v>
      </c>
      <c r="BF451" s="67" t="s">
        <v>144</v>
      </c>
      <c r="BG451" s="67" t="s">
        <v>142</v>
      </c>
      <c r="BH451" s="67"/>
      <c r="BI451" s="67"/>
      <c r="BJ451" s="67"/>
      <c r="BK451" s="67"/>
      <c r="BL451" s="67" t="s">
        <v>213</v>
      </c>
      <c r="BM451" s="67" t="s">
        <v>146</v>
      </c>
      <c r="BN451" s="100">
        <v>110.0</v>
      </c>
      <c r="BO451" s="102" t="s">
        <v>182</v>
      </c>
      <c r="BP451" s="67" t="s">
        <v>144</v>
      </c>
      <c r="BQ451" s="79" t="s">
        <v>141</v>
      </c>
      <c r="BR451" s="67" t="s">
        <v>149</v>
      </c>
      <c r="BS451" s="102">
        <v>1.0</v>
      </c>
      <c r="BT451" s="106"/>
      <c r="BU451" s="107"/>
      <c r="BV451" s="108">
        <f t="shared" si="2"/>
        <v>46252</v>
      </c>
      <c r="BW451" s="108">
        <f t="shared" si="16"/>
        <v>46259</v>
      </c>
      <c r="BX451" s="102" t="str">
        <f t="shared" si="15"/>
        <v>09</v>
      </c>
      <c r="BY451" s="107">
        <f t="shared" si="5"/>
        <v>4</v>
      </c>
      <c r="BZ451" s="107">
        <f t="array" ref="BZ451">IF($A451&lt;&gt;"",INDEX(LISTA!$M$2:$N$27,MATCH($BC451,LISTA!$N$2:$N$27,0),1),"")</f>
        <v>1</v>
      </c>
      <c r="CA451" s="67">
        <f t="shared" si="6"/>
        <v>8</v>
      </c>
      <c r="CB451" s="114" t="str">
        <f t="shared" si="7"/>
        <v/>
      </c>
      <c r="CC451" s="114"/>
    </row>
    <row r="452" ht="15.0" customHeight="1">
      <c r="A452" s="59">
        <v>46254.55699848379</v>
      </c>
      <c r="B452" s="62" t="s">
        <v>419</v>
      </c>
      <c r="C452" s="54" t="s">
        <v>100</v>
      </c>
      <c r="D452" s="56" t="s">
        <v>319</v>
      </c>
      <c r="E452" s="69">
        <v>46265.583333333336</v>
      </c>
      <c r="F452" s="162"/>
      <c r="G452" s="60" t="s">
        <v>5906</v>
      </c>
      <c r="H452" s="60" t="s">
        <v>5907</v>
      </c>
      <c r="I452" s="67" t="s">
        <v>350</v>
      </c>
      <c r="J452" s="79" t="s">
        <v>5908</v>
      </c>
      <c r="K452" s="67" t="s">
        <v>109</v>
      </c>
      <c r="L452" s="79" t="s">
        <v>5909</v>
      </c>
      <c r="M452" s="83" t="s">
        <v>5910</v>
      </c>
      <c r="N452" s="78">
        <v>26794.0</v>
      </c>
      <c r="O452" s="80" t="s">
        <v>42</v>
      </c>
      <c r="P452" s="70">
        <v>160101.0</v>
      </c>
      <c r="Q452" s="54"/>
      <c r="R452" s="84"/>
      <c r="S452" s="84"/>
      <c r="T452" s="54"/>
      <c r="U452" s="86"/>
      <c r="V452" s="54"/>
      <c r="W452" s="86"/>
      <c r="X452" s="54"/>
      <c r="Y452" s="78"/>
      <c r="Z452" s="54"/>
      <c r="AA452" s="70"/>
      <c r="AB452" s="83"/>
      <c r="AC452" s="83"/>
      <c r="AD452" s="83"/>
      <c r="AE452" s="83"/>
      <c r="AF452" s="83"/>
      <c r="AG452" s="83" t="s">
        <v>5911</v>
      </c>
      <c r="AH452" s="83"/>
      <c r="AI452" s="83"/>
      <c r="AJ452" s="83"/>
      <c r="AK452" s="83"/>
      <c r="AL452" s="83"/>
      <c r="AM452" s="83"/>
      <c r="AN452" s="83"/>
      <c r="AO452" s="83"/>
      <c r="AP452" s="83"/>
      <c r="AQ452" s="54" t="s">
        <v>2798</v>
      </c>
      <c r="AR452" s="83" t="s">
        <v>754</v>
      </c>
      <c r="AS452" s="83" t="s">
        <v>5912</v>
      </c>
      <c r="AT452" s="93" t="s">
        <v>5908</v>
      </c>
      <c r="AU452" s="93" t="s">
        <v>5908</v>
      </c>
      <c r="AV452" s="93" t="s">
        <v>5908</v>
      </c>
      <c r="AW452" s="83" t="s">
        <v>5913</v>
      </c>
      <c r="AX452" s="83">
        <v>1.0</v>
      </c>
      <c r="AY452" s="83">
        <v>0.0</v>
      </c>
      <c r="AZ452" s="83" t="s">
        <v>5914</v>
      </c>
      <c r="BA452" s="83" t="s">
        <v>5915</v>
      </c>
      <c r="BB452" s="83" t="s">
        <v>5916</v>
      </c>
      <c r="BC452" s="54" t="s">
        <v>42</v>
      </c>
      <c r="BD452" s="54" t="str">
        <f t="shared" si="1"/>
        <v>Ucayali</v>
      </c>
      <c r="BE452" s="67" t="s">
        <v>140</v>
      </c>
      <c r="BF452" s="67" t="s">
        <v>141</v>
      </c>
      <c r="BG452" s="67" t="s">
        <v>142</v>
      </c>
      <c r="BH452" s="67"/>
      <c r="BI452" s="67"/>
      <c r="BJ452" s="67"/>
      <c r="BK452" s="67"/>
      <c r="BL452" s="67" t="s">
        <v>147</v>
      </c>
      <c r="BM452" s="67" t="s">
        <v>146</v>
      </c>
      <c r="BN452" s="100">
        <v>89.0</v>
      </c>
      <c r="BO452" s="102" t="s">
        <v>148</v>
      </c>
      <c r="BP452" s="67" t="s">
        <v>141</v>
      </c>
      <c r="BQ452" s="79" t="s">
        <v>141</v>
      </c>
      <c r="BR452" s="67" t="s">
        <v>149</v>
      </c>
      <c r="BS452" s="102" t="s">
        <v>149</v>
      </c>
      <c r="BT452" s="106"/>
      <c r="BU452" s="107"/>
      <c r="BV452" s="108">
        <f t="shared" si="2"/>
        <v>46254</v>
      </c>
      <c r="BW452" s="108">
        <f t="shared" si="16"/>
        <v>46265</v>
      </c>
      <c r="BX452" s="102" t="str">
        <f t="shared" si="15"/>
        <v>14</v>
      </c>
      <c r="BY452" s="107">
        <f t="shared" si="5"/>
        <v>4</v>
      </c>
      <c r="BZ452" s="107">
        <f t="array" ref="BZ452">IF($A452&lt;&gt;"",INDEX(LISTA!$M$2:$N$27,MATCH($BC452,LISTA!$N$2:$N$27,0),1),"")</f>
        <v>17</v>
      </c>
      <c r="CA452" s="67">
        <f t="shared" si="6"/>
        <v>8</v>
      </c>
      <c r="CB452" s="114" t="str">
        <f t="shared" si="7"/>
        <v/>
      </c>
      <c r="CC452" s="114"/>
    </row>
    <row r="453" ht="15.0" customHeight="1">
      <c r="A453" s="59">
        <v>46254.67738465278</v>
      </c>
      <c r="B453" s="115" t="s">
        <v>419</v>
      </c>
      <c r="C453" s="54" t="s">
        <v>100</v>
      </c>
      <c r="D453" s="56" t="s">
        <v>319</v>
      </c>
      <c r="E453" s="69">
        <v>46267.375</v>
      </c>
      <c r="F453" s="162"/>
      <c r="G453" s="60" t="s">
        <v>5917</v>
      </c>
      <c r="H453" s="60" t="s">
        <v>5918</v>
      </c>
      <c r="I453" s="67" t="s">
        <v>107</v>
      </c>
      <c r="J453" s="79" t="s">
        <v>5919</v>
      </c>
      <c r="K453" s="67" t="s">
        <v>109</v>
      </c>
      <c r="L453" s="79" t="s">
        <v>5920</v>
      </c>
      <c r="M453" s="83" t="s">
        <v>5921</v>
      </c>
      <c r="N453" s="78">
        <v>24013.0</v>
      </c>
      <c r="O453" s="80" t="s">
        <v>52</v>
      </c>
      <c r="P453" s="70">
        <v>250101.0</v>
      </c>
      <c r="Q453" s="54"/>
      <c r="R453" s="84"/>
      <c r="S453" s="84"/>
      <c r="T453" s="54"/>
      <c r="U453" s="86"/>
      <c r="V453" s="54"/>
      <c r="W453" s="86"/>
      <c r="X453" s="54"/>
      <c r="Y453" s="78"/>
      <c r="Z453" s="54"/>
      <c r="AA453" s="70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 t="s">
        <v>1926</v>
      </c>
      <c r="AQ453" s="54" t="s">
        <v>2697</v>
      </c>
      <c r="AR453" s="83" t="s">
        <v>717</v>
      </c>
      <c r="AS453" s="83" t="s">
        <v>5922</v>
      </c>
      <c r="AT453" s="93" t="s">
        <v>5919</v>
      </c>
      <c r="AU453" s="93" t="s">
        <v>5919</v>
      </c>
      <c r="AV453" s="93" t="s">
        <v>5919</v>
      </c>
      <c r="AW453" s="83" t="s">
        <v>5923</v>
      </c>
      <c r="AX453" s="83">
        <v>1.0</v>
      </c>
      <c r="AY453" s="83">
        <v>1.0</v>
      </c>
      <c r="AZ453" s="83" t="s">
        <v>5924</v>
      </c>
      <c r="BA453" s="83" t="s">
        <v>5925</v>
      </c>
      <c r="BB453" s="83" t="s">
        <v>5926</v>
      </c>
      <c r="BC453" s="54" t="s">
        <v>52</v>
      </c>
      <c r="BD453" s="54" t="str">
        <f t="shared" si="1"/>
        <v>Coronel Portillo</v>
      </c>
      <c r="BE453" s="67" t="s">
        <v>143</v>
      </c>
      <c r="BF453" s="67" t="s">
        <v>141</v>
      </c>
      <c r="BG453" s="67" t="s">
        <v>142</v>
      </c>
      <c r="BH453" s="67"/>
      <c r="BI453" s="67"/>
      <c r="BJ453" s="67"/>
      <c r="BK453" s="67"/>
      <c r="BL453" s="67" t="s">
        <v>147</v>
      </c>
      <c r="BM453" s="67" t="s">
        <v>146</v>
      </c>
      <c r="BN453" s="100">
        <v>89.0</v>
      </c>
      <c r="BO453" s="102" t="s">
        <v>148</v>
      </c>
      <c r="BP453" s="67" t="s">
        <v>141</v>
      </c>
      <c r="BQ453" s="79" t="s">
        <v>141</v>
      </c>
      <c r="BR453" s="67" t="s">
        <v>149</v>
      </c>
      <c r="BS453" s="102" t="s">
        <v>149</v>
      </c>
      <c r="BT453" s="106"/>
      <c r="BU453" s="107"/>
      <c r="BV453" s="108">
        <f t="shared" si="2"/>
        <v>46254</v>
      </c>
      <c r="BW453" s="108">
        <f t="shared" si="16"/>
        <v>46267</v>
      </c>
      <c r="BX453" s="102" t="str">
        <f t="shared" si="15"/>
        <v>09</v>
      </c>
      <c r="BY453" s="107">
        <f t="shared" si="5"/>
        <v>4</v>
      </c>
      <c r="BZ453" s="107">
        <f t="array" ref="BZ453">IF($A453&lt;&gt;"",INDEX(LISTA!$M$2:$N$27,MATCH($BC453,LISTA!$N$2:$N$27,0),1),"")</f>
        <v>26</v>
      </c>
      <c r="CA453" s="67">
        <f t="shared" si="6"/>
        <v>8</v>
      </c>
      <c r="CB453" s="114" t="str">
        <f t="shared" si="7"/>
        <v/>
      </c>
      <c r="CC453" s="114"/>
    </row>
    <row r="454" ht="15.0" customHeight="1">
      <c r="A454" s="59">
        <v>46254.640898356476</v>
      </c>
      <c r="B454" s="62" t="s">
        <v>419</v>
      </c>
      <c r="C454" s="54" t="s">
        <v>100</v>
      </c>
      <c r="D454" s="56" t="s">
        <v>319</v>
      </c>
      <c r="E454" s="69">
        <v>46269.0</v>
      </c>
      <c r="F454" s="162"/>
      <c r="G454" s="164" t="s">
        <v>5927</v>
      </c>
      <c r="H454" s="164" t="s">
        <v>5928</v>
      </c>
      <c r="I454" s="67" t="s">
        <v>384</v>
      </c>
      <c r="J454" s="79" t="s">
        <v>5929</v>
      </c>
      <c r="K454" s="67" t="s">
        <v>1151</v>
      </c>
      <c r="L454" s="79" t="s">
        <v>5930</v>
      </c>
      <c r="M454" s="83" t="s">
        <v>5931</v>
      </c>
      <c r="N454" s="78">
        <v>27327.0</v>
      </c>
      <c r="O454" s="80" t="s">
        <v>49</v>
      </c>
      <c r="P454" s="70">
        <v>250101.0</v>
      </c>
      <c r="Q454" s="54"/>
      <c r="R454" s="84"/>
      <c r="S454" s="84"/>
      <c r="T454" s="54"/>
      <c r="U454" s="86"/>
      <c r="V454" s="54"/>
      <c r="W454" s="86"/>
      <c r="X454" s="54"/>
      <c r="Y454" s="78"/>
      <c r="Z454" s="54"/>
      <c r="AA454" s="70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 t="s">
        <v>1926</v>
      </c>
      <c r="AQ454" s="54" t="s">
        <v>5746</v>
      </c>
      <c r="AR454" s="83" t="s">
        <v>5932</v>
      </c>
      <c r="AS454" s="83" t="s">
        <v>5933</v>
      </c>
      <c r="AT454" s="93" t="s">
        <v>5929</v>
      </c>
      <c r="AU454" s="93" t="s">
        <v>5929</v>
      </c>
      <c r="AV454" s="93" t="s">
        <v>5929</v>
      </c>
      <c r="AW454" s="83" t="s">
        <v>5934</v>
      </c>
      <c r="AX454" s="83">
        <v>1.0</v>
      </c>
      <c r="AY454" s="83" t="s">
        <v>2519</v>
      </c>
      <c r="AZ454" s="83" t="s">
        <v>5935</v>
      </c>
      <c r="BA454" s="83" t="s">
        <v>2519</v>
      </c>
      <c r="BB454" s="83" t="s">
        <v>5936</v>
      </c>
      <c r="BC454" s="54" t="s">
        <v>52</v>
      </c>
      <c r="BD454" s="54" t="str">
        <f t="shared" si="1"/>
        <v>Coronel Portillo</v>
      </c>
      <c r="BE454" s="67" t="s">
        <v>143</v>
      </c>
      <c r="BF454" s="67" t="s">
        <v>144</v>
      </c>
      <c r="BG454" s="67" t="s">
        <v>142</v>
      </c>
      <c r="BH454" s="67"/>
      <c r="BI454" s="67"/>
      <c r="BJ454" s="67"/>
      <c r="BK454" s="67"/>
      <c r="BL454" s="67" t="s">
        <v>147</v>
      </c>
      <c r="BM454" s="67" t="s">
        <v>146</v>
      </c>
      <c r="BN454" s="100">
        <v>89.0</v>
      </c>
      <c r="BO454" s="102" t="s">
        <v>148</v>
      </c>
      <c r="BP454" s="67" t="s">
        <v>141</v>
      </c>
      <c r="BQ454" s="79" t="s">
        <v>141</v>
      </c>
      <c r="BR454" s="67" t="s">
        <v>149</v>
      </c>
      <c r="BS454" s="102" t="s">
        <v>149</v>
      </c>
      <c r="BT454" s="106"/>
      <c r="BU454" s="107"/>
      <c r="BV454" s="108">
        <f t="shared" si="2"/>
        <v>46254</v>
      </c>
      <c r="BW454" s="108">
        <f t="shared" si="16"/>
        <v>46269</v>
      </c>
      <c r="BX454" s="102" t="str">
        <f t="shared" si="15"/>
        <v>00</v>
      </c>
      <c r="BY454" s="107">
        <f t="shared" si="5"/>
        <v>4</v>
      </c>
      <c r="BZ454" s="107">
        <f t="array" ref="BZ454">IF($A454&lt;&gt;"",INDEX(LISTA!$M$2:$N$27,MATCH($BC454,LISTA!$N$2:$N$27,0),1),"")</f>
        <v>26</v>
      </c>
      <c r="CA454" s="67">
        <f t="shared" si="6"/>
        <v>8</v>
      </c>
      <c r="CB454" s="114" t="str">
        <f t="shared" si="7"/>
        <v/>
      </c>
      <c r="CC454" s="114"/>
    </row>
    <row r="455" ht="15.0" customHeight="1">
      <c r="A455" s="59">
        <v>46255.442646689815</v>
      </c>
      <c r="B455" s="115" t="s">
        <v>419</v>
      </c>
      <c r="C455" s="54" t="s">
        <v>100</v>
      </c>
      <c r="D455" s="56" t="s">
        <v>319</v>
      </c>
      <c r="E455" s="69">
        <v>46265.583333333336</v>
      </c>
      <c r="F455" s="162"/>
      <c r="G455" s="60" t="s">
        <v>5937</v>
      </c>
      <c r="H455" s="60" t="s">
        <v>5938</v>
      </c>
      <c r="I455" s="67" t="s">
        <v>382</v>
      </c>
      <c r="J455" s="79" t="s">
        <v>5779</v>
      </c>
      <c r="K455" s="67" t="s">
        <v>109</v>
      </c>
      <c r="L455" s="79" t="s">
        <v>5780</v>
      </c>
      <c r="M455" s="83" t="s">
        <v>5781</v>
      </c>
      <c r="N455" s="78">
        <v>32060.0</v>
      </c>
      <c r="O455" s="80" t="s">
        <v>28</v>
      </c>
      <c r="P455" s="156" t="s">
        <v>5782</v>
      </c>
      <c r="Q455" s="54"/>
      <c r="R455" s="84"/>
      <c r="S455" s="84"/>
      <c r="T455" s="54"/>
      <c r="U455" s="86"/>
      <c r="V455" s="54"/>
      <c r="W455" s="86"/>
      <c r="X455" s="54" t="s">
        <v>4723</v>
      </c>
      <c r="Y455" s="78"/>
      <c r="Z455" s="54"/>
      <c r="AA455" s="70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54" t="s">
        <v>5022</v>
      </c>
      <c r="AR455" s="83" t="s">
        <v>5939</v>
      </c>
      <c r="AS455" s="83" t="s">
        <v>5940</v>
      </c>
      <c r="AT455" s="93" t="s">
        <v>5779</v>
      </c>
      <c r="AU455" s="93" t="s">
        <v>5779</v>
      </c>
      <c r="AV455" s="93" t="s">
        <v>5779</v>
      </c>
      <c r="AW455" s="83" t="s">
        <v>5941</v>
      </c>
      <c r="AX455" s="83">
        <v>1.0</v>
      </c>
      <c r="AY455" s="83">
        <v>0.0</v>
      </c>
      <c r="AZ455" s="83" t="s">
        <v>5942</v>
      </c>
      <c r="BA455" s="83" t="s">
        <v>5943</v>
      </c>
      <c r="BB455" s="83" t="s">
        <v>5944</v>
      </c>
      <c r="BC455" s="54" t="s">
        <v>31</v>
      </c>
      <c r="BD455" s="54" t="str">
        <f t="shared" si="1"/>
        <v>La Convención</v>
      </c>
      <c r="BE455" s="67" t="s">
        <v>140</v>
      </c>
      <c r="BF455" s="67" t="s">
        <v>144</v>
      </c>
      <c r="BG455" s="67" t="s">
        <v>142</v>
      </c>
      <c r="BH455" s="67"/>
      <c r="BI455" s="67"/>
      <c r="BJ455" s="67"/>
      <c r="BK455" s="67"/>
      <c r="BL455" s="67" t="s">
        <v>283</v>
      </c>
      <c r="BM455" s="67" t="s">
        <v>146</v>
      </c>
      <c r="BN455" s="100">
        <v>84.0</v>
      </c>
      <c r="BO455" s="102" t="s">
        <v>2305</v>
      </c>
      <c r="BP455" s="67" t="s">
        <v>141</v>
      </c>
      <c r="BQ455" s="79" t="s">
        <v>144</v>
      </c>
      <c r="BR455" s="67" t="s">
        <v>149</v>
      </c>
      <c r="BS455" s="102" t="s">
        <v>149</v>
      </c>
      <c r="BT455" s="106"/>
      <c r="BU455" s="107"/>
      <c r="BV455" s="108">
        <f t="shared" si="2"/>
        <v>46255</v>
      </c>
      <c r="BW455" s="108">
        <f t="shared" si="16"/>
        <v>46265</v>
      </c>
      <c r="BX455" s="102" t="str">
        <f t="shared" si="15"/>
        <v>14</v>
      </c>
      <c r="BY455" s="107">
        <f t="shared" si="5"/>
        <v>4</v>
      </c>
      <c r="BZ455" s="107">
        <f t="array" ref="BZ455">IF($A455&lt;&gt;"",INDEX(LISTA!$M$2:$N$27,MATCH($BC455,LISTA!$N$2:$N$27,0),1),"")</f>
        <v>10</v>
      </c>
      <c r="CA455" s="67">
        <f t="shared" si="6"/>
        <v>8</v>
      </c>
      <c r="CB455" s="114" t="str">
        <f t="shared" si="7"/>
        <v/>
      </c>
      <c r="CC455" s="114"/>
    </row>
    <row r="456" ht="15.0" customHeight="1">
      <c r="A456" s="59">
        <v>46254.372599282404</v>
      </c>
      <c r="B456" s="62" t="s">
        <v>419</v>
      </c>
      <c r="C456" s="54" t="s">
        <v>100</v>
      </c>
      <c r="D456" s="154" t="s">
        <v>319</v>
      </c>
      <c r="E456" s="69">
        <v>46268.375</v>
      </c>
      <c r="F456" s="162"/>
      <c r="G456" s="60" t="s">
        <v>5945</v>
      </c>
      <c r="H456" s="60" t="s">
        <v>5946</v>
      </c>
      <c r="I456" s="67" t="s">
        <v>378</v>
      </c>
      <c r="J456" s="79" t="s">
        <v>5947</v>
      </c>
      <c r="K456" s="67" t="s">
        <v>109</v>
      </c>
      <c r="L456" s="79" t="s">
        <v>5948</v>
      </c>
      <c r="M456" s="83" t="s">
        <v>5949</v>
      </c>
      <c r="N456" s="78">
        <v>19623.0</v>
      </c>
      <c r="O456" s="80" t="s">
        <v>50</v>
      </c>
      <c r="P456" s="70">
        <v>220101.0</v>
      </c>
      <c r="Q456" s="54"/>
      <c r="R456" s="84"/>
      <c r="S456" s="84"/>
      <c r="T456" s="54"/>
      <c r="U456" s="86"/>
      <c r="V456" s="54"/>
      <c r="W456" s="86"/>
      <c r="X456" s="54"/>
      <c r="Y456" s="78"/>
      <c r="Z456" s="54"/>
      <c r="AA456" s="70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 t="s">
        <v>866</v>
      </c>
      <c r="AO456" s="83"/>
      <c r="AP456" s="83"/>
      <c r="AQ456" s="54" t="s">
        <v>5009</v>
      </c>
      <c r="AR456" s="83" t="s">
        <v>5950</v>
      </c>
      <c r="AS456" s="83" t="s">
        <v>5951</v>
      </c>
      <c r="AT456" s="93" t="s">
        <v>5947</v>
      </c>
      <c r="AU456" s="93" t="s">
        <v>5952</v>
      </c>
      <c r="AV456" s="93" t="s">
        <v>5947</v>
      </c>
      <c r="AW456" s="83" t="s">
        <v>5953</v>
      </c>
      <c r="AX456" s="83">
        <v>2.0</v>
      </c>
      <c r="AY456" s="83" t="s">
        <v>2739</v>
      </c>
      <c r="AZ456" s="83" t="s">
        <v>5954</v>
      </c>
      <c r="BA456" s="83" t="s">
        <v>5955</v>
      </c>
      <c r="BB456" s="83" t="s">
        <v>5956</v>
      </c>
      <c r="BC456" s="54" t="s">
        <v>50</v>
      </c>
      <c r="BD456" s="54" t="str">
        <f t="shared" si="1"/>
        <v>Tacna</v>
      </c>
      <c r="BE456" s="67" t="s">
        <v>143</v>
      </c>
      <c r="BF456" s="67" t="s">
        <v>141</v>
      </c>
      <c r="BG456" s="67" t="s">
        <v>142</v>
      </c>
      <c r="BH456" s="67"/>
      <c r="BI456" s="67"/>
      <c r="BJ456" s="67"/>
      <c r="BK456" s="67"/>
      <c r="BL456" s="67" t="s">
        <v>147</v>
      </c>
      <c r="BM456" s="67" t="s">
        <v>146</v>
      </c>
      <c r="BN456" s="100">
        <v>170.0</v>
      </c>
      <c r="BO456" s="102" t="s">
        <v>148</v>
      </c>
      <c r="BP456" s="67" t="s">
        <v>141</v>
      </c>
      <c r="BQ456" s="79" t="s">
        <v>141</v>
      </c>
      <c r="BR456" s="67">
        <v>2.0</v>
      </c>
      <c r="BS456" s="102" t="s">
        <v>149</v>
      </c>
      <c r="BT456" s="106"/>
      <c r="BU456" s="107"/>
      <c r="BV456" s="108">
        <f t="shared" si="2"/>
        <v>46254</v>
      </c>
      <c r="BW456" s="108">
        <f t="shared" si="16"/>
        <v>46268</v>
      </c>
      <c r="BX456" s="102" t="str">
        <f t="shared" si="15"/>
        <v>09</v>
      </c>
      <c r="BY456" s="107">
        <f t="shared" si="5"/>
        <v>4</v>
      </c>
      <c r="BZ456" s="107">
        <f t="array" ref="BZ456">IF($A456&lt;&gt;"",INDEX(LISTA!$M$2:$N$27,MATCH($BC456,LISTA!$N$2:$N$27,0),1),"")</f>
        <v>24</v>
      </c>
      <c r="CA456" s="67">
        <f t="shared" si="6"/>
        <v>8</v>
      </c>
      <c r="CB456" s="114" t="str">
        <f t="shared" si="7"/>
        <v/>
      </c>
      <c r="CC456" s="114"/>
    </row>
    <row r="457" ht="15.0" customHeight="1">
      <c r="A457" s="59">
        <v>46255.69534024305</v>
      </c>
      <c r="B457" s="62" t="s">
        <v>419</v>
      </c>
      <c r="C457" s="54" t="s">
        <v>100</v>
      </c>
      <c r="D457" s="56" t="s">
        <v>319</v>
      </c>
      <c r="E457" s="69">
        <v>46260.375</v>
      </c>
      <c r="F457" s="162"/>
      <c r="G457" s="60" t="s">
        <v>5957</v>
      </c>
      <c r="H457" s="60" t="s">
        <v>5958</v>
      </c>
      <c r="I457" s="67" t="s">
        <v>107</v>
      </c>
      <c r="J457" s="79" t="s">
        <v>5959</v>
      </c>
      <c r="K457" s="67" t="s">
        <v>109</v>
      </c>
      <c r="L457" s="79" t="s">
        <v>5960</v>
      </c>
      <c r="M457" s="83" t="s">
        <v>5961</v>
      </c>
      <c r="N457" s="78">
        <v>23797.0</v>
      </c>
      <c r="O457" s="80" t="s">
        <v>31</v>
      </c>
      <c r="P457" s="156" t="s">
        <v>3509</v>
      </c>
      <c r="Q457" s="54"/>
      <c r="R457" s="84"/>
      <c r="S457" s="84"/>
      <c r="T457" s="54"/>
      <c r="U457" s="86"/>
      <c r="V457" s="54"/>
      <c r="W457" s="86"/>
      <c r="X457" s="54" t="s">
        <v>1012</v>
      </c>
      <c r="Y457" s="78"/>
      <c r="Z457" s="54"/>
      <c r="AA457" s="70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54" t="s">
        <v>4770</v>
      </c>
      <c r="AR457" s="83" t="s">
        <v>5962</v>
      </c>
      <c r="AS457" s="83" t="s">
        <v>5963</v>
      </c>
      <c r="AT457" s="93" t="s">
        <v>5959</v>
      </c>
      <c r="AU457" s="93" t="s">
        <v>5959</v>
      </c>
      <c r="AV457" s="93" t="s">
        <v>5959</v>
      </c>
      <c r="AW457" s="83" t="s">
        <v>5964</v>
      </c>
      <c r="AX457" s="83">
        <v>2.0</v>
      </c>
      <c r="AY457" s="83">
        <v>1.0</v>
      </c>
      <c r="AZ457" s="83" t="s">
        <v>5965</v>
      </c>
      <c r="BA457" s="83" t="s">
        <v>5966</v>
      </c>
      <c r="BB457" s="83" t="s">
        <v>5967</v>
      </c>
      <c r="BC457" s="54" t="s">
        <v>31</v>
      </c>
      <c r="BD457" s="54" t="str">
        <f t="shared" si="1"/>
        <v>Cusco</v>
      </c>
      <c r="BE457" s="67" t="s">
        <v>140</v>
      </c>
      <c r="BF457" s="67" t="s">
        <v>141</v>
      </c>
      <c r="BG457" s="67" t="s">
        <v>142</v>
      </c>
      <c r="BH457" s="67"/>
      <c r="BI457" s="67"/>
      <c r="BJ457" s="67"/>
      <c r="BK457" s="67"/>
      <c r="BL457" s="67" t="s">
        <v>145</v>
      </c>
      <c r="BM457" s="67" t="s">
        <v>146</v>
      </c>
      <c r="BN457" s="100">
        <v>150.0</v>
      </c>
      <c r="BO457" s="102" t="s">
        <v>615</v>
      </c>
      <c r="BP457" s="67" t="s">
        <v>144</v>
      </c>
      <c r="BQ457" s="79" t="s">
        <v>141</v>
      </c>
      <c r="BR457" s="67">
        <v>2.0</v>
      </c>
      <c r="BS457" s="102" t="s">
        <v>149</v>
      </c>
      <c r="BT457" s="106"/>
      <c r="BU457" s="107"/>
      <c r="BV457" s="108">
        <f t="shared" si="2"/>
        <v>46255</v>
      </c>
      <c r="BW457" s="108">
        <f t="shared" si="16"/>
        <v>46260</v>
      </c>
      <c r="BX457" s="102" t="str">
        <f t="shared" si="15"/>
        <v>09</v>
      </c>
      <c r="BY457" s="107">
        <f t="shared" si="5"/>
        <v>4</v>
      </c>
      <c r="BZ457" s="107">
        <f t="array" ref="BZ457">IF($A457&lt;&gt;"",INDEX(LISTA!$M$2:$N$27,MATCH($BC457,LISTA!$N$2:$N$27,0),1),"")</f>
        <v>10</v>
      </c>
      <c r="CA457" s="67">
        <f t="shared" si="6"/>
        <v>8</v>
      </c>
      <c r="CB457" s="114" t="str">
        <f t="shared" si="7"/>
        <v/>
      </c>
      <c r="CC457" s="114"/>
    </row>
    <row r="458" ht="15.0" customHeight="1">
      <c r="A458" s="59">
        <v>46255.784644722225</v>
      </c>
      <c r="B458" s="115" t="s">
        <v>419</v>
      </c>
      <c r="C458" s="54" t="s">
        <v>100</v>
      </c>
      <c r="D458" s="56" t="s">
        <v>319</v>
      </c>
      <c r="E458" s="69">
        <v>46272.375</v>
      </c>
      <c r="F458" s="162"/>
      <c r="G458" s="60" t="s">
        <v>5968</v>
      </c>
      <c r="H458" s="60" t="s">
        <v>5969</v>
      </c>
      <c r="I458" s="67" t="s">
        <v>384</v>
      </c>
      <c r="J458" s="79" t="s">
        <v>5970</v>
      </c>
      <c r="K458" s="67" t="s">
        <v>109</v>
      </c>
      <c r="L458" s="79" t="s">
        <v>5971</v>
      </c>
      <c r="M458" s="83" t="s">
        <v>5972</v>
      </c>
      <c r="N458" s="78">
        <v>36327.0</v>
      </c>
      <c r="O458" s="80" t="s">
        <v>45</v>
      </c>
      <c r="P458" s="156" t="s">
        <v>5973</v>
      </c>
      <c r="Q458" s="54"/>
      <c r="R458" s="84"/>
      <c r="S458" s="84"/>
      <c r="T458" s="54"/>
      <c r="U458" s="86"/>
      <c r="V458" s="54"/>
      <c r="W458" s="86"/>
      <c r="X458" s="54"/>
      <c r="Y458" s="78"/>
      <c r="Z458" s="54"/>
      <c r="AA458" s="70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 t="s">
        <v>1926</v>
      </c>
      <c r="AQ458" s="54" t="s">
        <v>5974</v>
      </c>
      <c r="AR458" s="83" t="s">
        <v>5975</v>
      </c>
      <c r="AS458" s="83" t="s">
        <v>5976</v>
      </c>
      <c r="AT458" s="93" t="s">
        <v>5970</v>
      </c>
      <c r="AU458" s="93" t="s">
        <v>5970</v>
      </c>
      <c r="AV458" s="93" t="s">
        <v>5970</v>
      </c>
      <c r="AW458" s="83" t="s">
        <v>5977</v>
      </c>
      <c r="AX458" s="83">
        <v>1.0</v>
      </c>
      <c r="AY458" s="83" t="s">
        <v>2519</v>
      </c>
      <c r="AZ458" s="83" t="s">
        <v>5978</v>
      </c>
      <c r="BA458" s="83" t="s">
        <v>2519</v>
      </c>
      <c r="BB458" s="83" t="s">
        <v>5979</v>
      </c>
      <c r="BC458" s="54" t="s">
        <v>52</v>
      </c>
      <c r="BD458" s="70" t="str">
        <f t="shared" si="1"/>
        <v>Coronel Portillo</v>
      </c>
      <c r="BE458" s="67" t="s">
        <v>140</v>
      </c>
      <c r="BF458" s="67" t="s">
        <v>141</v>
      </c>
      <c r="BG458" s="67" t="s">
        <v>142</v>
      </c>
      <c r="BH458" s="67"/>
      <c r="BI458" s="67"/>
      <c r="BJ458" s="67"/>
      <c r="BK458" s="67"/>
      <c r="BL458" s="67" t="s">
        <v>147</v>
      </c>
      <c r="BM458" s="67" t="s">
        <v>146</v>
      </c>
      <c r="BN458" s="100">
        <v>89.0</v>
      </c>
      <c r="BO458" s="102" t="s">
        <v>148</v>
      </c>
      <c r="BP458" s="67" t="s">
        <v>141</v>
      </c>
      <c r="BQ458" s="79" t="s">
        <v>141</v>
      </c>
      <c r="BR458" s="67" t="s">
        <v>149</v>
      </c>
      <c r="BS458" s="102">
        <v>1.0</v>
      </c>
      <c r="BT458" s="106"/>
      <c r="BU458" s="107"/>
      <c r="BV458" s="108">
        <f t="shared" si="2"/>
        <v>46255</v>
      </c>
      <c r="BW458" s="108">
        <f t="shared" si="16"/>
        <v>46272</v>
      </c>
      <c r="BX458" s="102" t="str">
        <f t="shared" si="15"/>
        <v>09</v>
      </c>
      <c r="BY458" s="107">
        <f t="shared" si="5"/>
        <v>4</v>
      </c>
      <c r="BZ458" s="107">
        <f t="array" ref="BZ458">IF($A458&lt;&gt;"",INDEX(LISTA!$M$2:$N$27,MATCH($BC458,LISTA!$N$2:$N$27,0),1),"")</f>
        <v>26</v>
      </c>
      <c r="CA458" s="67">
        <f t="shared" si="6"/>
        <v>8</v>
      </c>
      <c r="CB458" s="114" t="str">
        <f t="shared" si="7"/>
        <v/>
      </c>
      <c r="CC458" s="114"/>
    </row>
    <row r="459" ht="15.0" customHeight="1">
      <c r="A459" s="59">
        <v>46256.444109398144</v>
      </c>
      <c r="B459" s="115" t="s">
        <v>419</v>
      </c>
      <c r="C459" s="54" t="s">
        <v>100</v>
      </c>
      <c r="D459" s="56" t="s">
        <v>319</v>
      </c>
      <c r="E459" s="69">
        <v>46259.583333333336</v>
      </c>
      <c r="F459" s="162"/>
      <c r="G459" s="60" t="s">
        <v>5980</v>
      </c>
      <c r="H459" s="60" t="s">
        <v>5981</v>
      </c>
      <c r="I459" s="67" t="s">
        <v>378</v>
      </c>
      <c r="J459" s="79" t="s">
        <v>5982</v>
      </c>
      <c r="K459" s="67" t="s">
        <v>109</v>
      </c>
      <c r="L459" s="79" t="s">
        <v>5983</v>
      </c>
      <c r="M459" s="83" t="s">
        <v>5984</v>
      </c>
      <c r="N459" s="78">
        <v>36155.0</v>
      </c>
      <c r="O459" s="80" t="s">
        <v>41</v>
      </c>
      <c r="P459" s="70">
        <v>140137.0</v>
      </c>
      <c r="Q459" s="54"/>
      <c r="R459" s="84"/>
      <c r="S459" s="84"/>
      <c r="T459" s="54"/>
      <c r="U459" s="86"/>
      <c r="V459" s="54"/>
      <c r="W459" s="86"/>
      <c r="X459" s="54"/>
      <c r="Y459" s="78"/>
      <c r="Z459" s="54"/>
      <c r="AA459" s="70"/>
      <c r="AB459" s="83"/>
      <c r="AC459" s="83"/>
      <c r="AD459" s="83"/>
      <c r="AE459" s="83"/>
      <c r="AF459" s="83" t="s">
        <v>972</v>
      </c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54" t="s">
        <v>2834</v>
      </c>
      <c r="AR459" s="83" t="s">
        <v>5985</v>
      </c>
      <c r="AS459" s="83" t="s">
        <v>5986</v>
      </c>
      <c r="AT459" s="93" t="s">
        <v>5982</v>
      </c>
      <c r="AU459" s="93" t="s">
        <v>5982</v>
      </c>
      <c r="AV459" s="93" t="s">
        <v>5982</v>
      </c>
      <c r="AW459" s="83" t="s">
        <v>5987</v>
      </c>
      <c r="AX459" s="83">
        <v>1.0</v>
      </c>
      <c r="AY459" s="83" t="s">
        <v>5879</v>
      </c>
      <c r="AZ459" s="83" t="s">
        <v>5988</v>
      </c>
      <c r="BA459" s="83" t="s">
        <v>5989</v>
      </c>
      <c r="BB459" s="83" t="s">
        <v>5990</v>
      </c>
      <c r="BC459" s="54" t="s">
        <v>41</v>
      </c>
      <c r="BD459" s="70" t="str">
        <f t="shared" si="1"/>
        <v>San Juan de Lurigancho</v>
      </c>
      <c r="BE459" s="67" t="s">
        <v>140</v>
      </c>
      <c r="BF459" s="67" t="s">
        <v>141</v>
      </c>
      <c r="BG459" s="67" t="s">
        <v>142</v>
      </c>
      <c r="BH459" s="67"/>
      <c r="BI459" s="67"/>
      <c r="BJ459" s="67"/>
      <c r="BK459" s="67"/>
      <c r="BL459" s="67" t="s">
        <v>147</v>
      </c>
      <c r="BM459" s="67" t="s">
        <v>146</v>
      </c>
      <c r="BN459" s="100">
        <v>89.0</v>
      </c>
      <c r="BO459" s="102" t="s">
        <v>148</v>
      </c>
      <c r="BP459" s="67" t="s">
        <v>141</v>
      </c>
      <c r="BQ459" s="79" t="s">
        <v>141</v>
      </c>
      <c r="BR459" s="67" t="s">
        <v>149</v>
      </c>
      <c r="BS459" s="102">
        <v>1.0</v>
      </c>
      <c r="BT459" s="106"/>
      <c r="BU459" s="107"/>
      <c r="BV459" s="108">
        <f t="shared" si="2"/>
        <v>46256</v>
      </c>
      <c r="BW459" s="108">
        <f t="shared" si="16"/>
        <v>46259</v>
      </c>
      <c r="BX459" s="102" t="str">
        <f t="shared" si="15"/>
        <v>14</v>
      </c>
      <c r="BY459" s="107">
        <f t="shared" si="5"/>
        <v>4</v>
      </c>
      <c r="BZ459" s="107">
        <f t="array" ref="BZ459">IF($A459&lt;&gt;"",INDEX(LISTA!$M$2:$N$27,MATCH($BC459,LISTA!$N$2:$N$27,0),1),"")</f>
        <v>1</v>
      </c>
      <c r="CA459" s="67">
        <f t="shared" si="6"/>
        <v>8</v>
      </c>
      <c r="CB459" s="114" t="str">
        <f t="shared" si="7"/>
        <v/>
      </c>
      <c r="CC459" s="114"/>
    </row>
    <row r="460" ht="15.0" customHeight="1">
      <c r="A460" s="59">
        <v>46256.54439585649</v>
      </c>
      <c r="B460" s="62" t="s">
        <v>419</v>
      </c>
      <c r="C460" s="54" t="s">
        <v>100</v>
      </c>
      <c r="D460" s="154" t="s">
        <v>101</v>
      </c>
      <c r="E460" s="69">
        <v>46259.583333333336</v>
      </c>
      <c r="F460" s="162"/>
      <c r="G460" s="60" t="s">
        <v>5991</v>
      </c>
      <c r="H460" s="60" t="s">
        <v>5992</v>
      </c>
      <c r="I460" s="67" t="s">
        <v>374</v>
      </c>
      <c r="J460" s="79" t="s">
        <v>5993</v>
      </c>
      <c r="K460" s="67" t="s">
        <v>109</v>
      </c>
      <c r="L460" s="79" t="s">
        <v>5994</v>
      </c>
      <c r="M460" s="83" t="s">
        <v>5995</v>
      </c>
      <c r="N460" s="78">
        <v>36009.0</v>
      </c>
      <c r="O460" s="80" t="s">
        <v>27</v>
      </c>
      <c r="P460" s="156" t="s">
        <v>5996</v>
      </c>
      <c r="Q460" s="54"/>
      <c r="R460" s="84"/>
      <c r="S460" s="84"/>
      <c r="T460" s="54" t="s">
        <v>122</v>
      </c>
      <c r="U460" s="86"/>
      <c r="V460" s="54"/>
      <c r="W460" s="86"/>
      <c r="X460" s="54"/>
      <c r="Y460" s="78"/>
      <c r="Z460" s="54"/>
      <c r="AA460" s="70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54" t="s">
        <v>5997</v>
      </c>
      <c r="AR460" s="83" t="s">
        <v>5998</v>
      </c>
      <c r="AS460" s="83" t="s">
        <v>5999</v>
      </c>
      <c r="AT460" s="93" t="s">
        <v>5993</v>
      </c>
      <c r="AU460" s="93" t="s">
        <v>5993</v>
      </c>
      <c r="AV460" s="93" t="s">
        <v>5993</v>
      </c>
      <c r="AW460" s="83" t="s">
        <v>6000</v>
      </c>
      <c r="AX460" s="83">
        <v>1.0</v>
      </c>
      <c r="AY460" s="83">
        <v>1.0</v>
      </c>
      <c r="AZ460" s="83" t="s">
        <v>6001</v>
      </c>
      <c r="BA460" s="83" t="s">
        <v>1767</v>
      </c>
      <c r="BB460" s="83" t="s">
        <v>6002</v>
      </c>
      <c r="BC460" s="54" t="s">
        <v>27</v>
      </c>
      <c r="BD460" s="70" t="str">
        <f t="shared" si="1"/>
        <v>Arequipa</v>
      </c>
      <c r="BE460" s="67" t="s">
        <v>140</v>
      </c>
      <c r="BF460" s="67" t="s">
        <v>144</v>
      </c>
      <c r="BG460" s="67" t="s">
        <v>142</v>
      </c>
      <c r="BH460" s="67"/>
      <c r="BI460" s="67"/>
      <c r="BJ460" s="67"/>
      <c r="BK460" s="67"/>
      <c r="BL460" s="67" t="s">
        <v>147</v>
      </c>
      <c r="BM460" s="67" t="s">
        <v>146</v>
      </c>
      <c r="BN460" s="100">
        <v>89.0</v>
      </c>
      <c r="BO460" s="102" t="s">
        <v>148</v>
      </c>
      <c r="BP460" s="67" t="s">
        <v>141</v>
      </c>
      <c r="BQ460" s="79" t="s">
        <v>141</v>
      </c>
      <c r="BR460" s="67" t="s">
        <v>149</v>
      </c>
      <c r="BS460" s="102">
        <v>1.0</v>
      </c>
      <c r="BT460" s="106"/>
      <c r="BU460" s="107"/>
      <c r="BV460" s="108">
        <f t="shared" si="2"/>
        <v>46256</v>
      </c>
      <c r="BW460" s="108">
        <f t="shared" si="16"/>
        <v>46259</v>
      </c>
      <c r="BX460" s="102" t="str">
        <f t="shared" si="15"/>
        <v>14</v>
      </c>
      <c r="BY460" s="107">
        <f t="shared" si="5"/>
        <v>4</v>
      </c>
      <c r="BZ460" s="107">
        <f t="array" ref="BZ460">IF($A460&lt;&gt;"",INDEX(LISTA!$M$2:$N$27,MATCH($BC460,LISTA!$N$2:$N$27,0),1),"")</f>
        <v>7</v>
      </c>
      <c r="CA460" s="67">
        <f t="shared" si="6"/>
        <v>8</v>
      </c>
      <c r="CB460" s="114" t="str">
        <f t="shared" si="7"/>
        <v/>
      </c>
      <c r="CC460" s="114"/>
    </row>
    <row r="461" ht="15.0" customHeight="1">
      <c r="A461" s="59">
        <v>46256.566347141204</v>
      </c>
      <c r="B461" s="115" t="s">
        <v>419</v>
      </c>
      <c r="C461" s="54" t="s">
        <v>100</v>
      </c>
      <c r="D461" s="56" t="s">
        <v>319</v>
      </c>
      <c r="E461" s="69">
        <v>46257.583333333336</v>
      </c>
      <c r="F461" s="162"/>
      <c r="G461" s="60" t="s">
        <v>6003</v>
      </c>
      <c r="H461" s="60" t="s">
        <v>6004</v>
      </c>
      <c r="I461" s="67" t="s">
        <v>382</v>
      </c>
      <c r="J461" s="79" t="s">
        <v>6005</v>
      </c>
      <c r="K461" s="67" t="s">
        <v>109</v>
      </c>
      <c r="L461" s="79" t="s">
        <v>6006</v>
      </c>
      <c r="M461" s="83" t="s">
        <v>6007</v>
      </c>
      <c r="N461" s="78">
        <v>38085.0</v>
      </c>
      <c r="O461" s="80" t="s">
        <v>24</v>
      </c>
      <c r="P461" s="156" t="s">
        <v>2905</v>
      </c>
      <c r="Q461" s="54"/>
      <c r="R461" s="84" t="s">
        <v>450</v>
      </c>
      <c r="S461" s="84"/>
      <c r="T461" s="54"/>
      <c r="U461" s="86"/>
      <c r="V461" s="54"/>
      <c r="W461" s="86"/>
      <c r="X461" s="54"/>
      <c r="Y461" s="78"/>
      <c r="Z461" s="54"/>
      <c r="AA461" s="70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54" t="s">
        <v>6008</v>
      </c>
      <c r="AR461" s="83" t="s">
        <v>6009</v>
      </c>
      <c r="AS461" s="83" t="s">
        <v>6010</v>
      </c>
      <c r="AT461" s="93" t="s">
        <v>6005</v>
      </c>
      <c r="AU461" s="93" t="s">
        <v>6005</v>
      </c>
      <c r="AV461" s="93" t="s">
        <v>6005</v>
      </c>
      <c r="AW461" s="83" t="s">
        <v>6011</v>
      </c>
      <c r="AX461" s="83">
        <v>3.0</v>
      </c>
      <c r="AY461" s="83">
        <v>0.0</v>
      </c>
      <c r="AZ461" s="83" t="s">
        <v>6012</v>
      </c>
      <c r="BA461" s="83" t="s">
        <v>6013</v>
      </c>
      <c r="BB461" s="83" t="s">
        <v>6014</v>
      </c>
      <c r="BC461" s="54" t="s">
        <v>24</v>
      </c>
      <c r="BD461" s="70" t="str">
        <f t="shared" si="1"/>
        <v>Huaraz</v>
      </c>
      <c r="BE461" s="67" t="s">
        <v>140</v>
      </c>
      <c r="BF461" s="67" t="s">
        <v>141</v>
      </c>
      <c r="BG461" s="67" t="s">
        <v>142</v>
      </c>
      <c r="BH461" s="67"/>
      <c r="BI461" s="67"/>
      <c r="BJ461" s="67"/>
      <c r="BK461" s="67"/>
      <c r="BL461" s="67" t="s">
        <v>145</v>
      </c>
      <c r="BM461" s="67" t="s">
        <v>146</v>
      </c>
      <c r="BN461" s="100">
        <v>150.0</v>
      </c>
      <c r="BO461" s="102" t="s">
        <v>615</v>
      </c>
      <c r="BP461" s="67" t="s">
        <v>144</v>
      </c>
      <c r="BQ461" s="79" t="s">
        <v>141</v>
      </c>
      <c r="BR461" s="67">
        <v>2.0</v>
      </c>
      <c r="BS461" s="102" t="s">
        <v>149</v>
      </c>
      <c r="BT461" s="106"/>
      <c r="BU461" s="107"/>
      <c r="BV461" s="108">
        <f t="shared" si="2"/>
        <v>46256</v>
      </c>
      <c r="BW461" s="108">
        <f t="shared" si="16"/>
        <v>46257</v>
      </c>
      <c r="BX461" s="102" t="str">
        <f t="shared" si="15"/>
        <v>14</v>
      </c>
      <c r="BY461" s="107">
        <f t="shared" si="5"/>
        <v>4</v>
      </c>
      <c r="BZ461" s="107">
        <f t="array" ref="BZ461">IF($A461&lt;&gt;"",INDEX(LISTA!$M$2:$N$27,MATCH($BC461,LISTA!$N$2:$N$27,0),1),"")</f>
        <v>5</v>
      </c>
      <c r="CA461" s="67">
        <f t="shared" si="6"/>
        <v>8</v>
      </c>
      <c r="CB461" s="114" t="str">
        <f t="shared" si="7"/>
        <v/>
      </c>
      <c r="CC461" s="114"/>
    </row>
    <row r="462" ht="15.0" customHeight="1">
      <c r="A462" s="59">
        <v>46256.657322280094</v>
      </c>
      <c r="B462" s="115" t="s">
        <v>419</v>
      </c>
      <c r="C462" s="54" t="s">
        <v>100</v>
      </c>
      <c r="D462" s="56" t="s">
        <v>319</v>
      </c>
      <c r="E462" s="69">
        <v>46259.375</v>
      </c>
      <c r="F462" s="162"/>
      <c r="G462" s="60" t="s">
        <v>6015</v>
      </c>
      <c r="H462" s="60" t="s">
        <v>6016</v>
      </c>
      <c r="I462" s="67" t="s">
        <v>405</v>
      </c>
      <c r="J462" s="79" t="s">
        <v>6017</v>
      </c>
      <c r="K462" s="67" t="s">
        <v>109</v>
      </c>
      <c r="L462" s="79" t="s">
        <v>6018</v>
      </c>
      <c r="M462" s="83" t="s">
        <v>6019</v>
      </c>
      <c r="N462" s="78">
        <v>37701.0</v>
      </c>
      <c r="O462" s="80" t="s">
        <v>27</v>
      </c>
      <c r="P462" s="156" t="s">
        <v>1703</v>
      </c>
      <c r="Q462" s="54"/>
      <c r="R462" s="84"/>
      <c r="S462" s="84"/>
      <c r="T462" s="54"/>
      <c r="U462" s="86"/>
      <c r="V462" s="54"/>
      <c r="W462" s="86"/>
      <c r="X462" s="54"/>
      <c r="Y462" s="78"/>
      <c r="Z462" s="54"/>
      <c r="AA462" s="70"/>
      <c r="AB462" s="83"/>
      <c r="AC462" s="83"/>
      <c r="AD462" s="83"/>
      <c r="AE462" s="83"/>
      <c r="AF462" s="83"/>
      <c r="AG462" s="83"/>
      <c r="AH462" s="83"/>
      <c r="AI462" s="83" t="s">
        <v>3065</v>
      </c>
      <c r="AJ462" s="83"/>
      <c r="AK462" s="83"/>
      <c r="AL462" s="83"/>
      <c r="AM462" s="83"/>
      <c r="AN462" s="83"/>
      <c r="AO462" s="83"/>
      <c r="AP462" s="83"/>
      <c r="AQ462" s="54" t="s">
        <v>170</v>
      </c>
      <c r="AR462" s="83" t="s">
        <v>5890</v>
      </c>
      <c r="AS462" s="83" t="s">
        <v>6020</v>
      </c>
      <c r="AT462" s="93" t="s">
        <v>6017</v>
      </c>
      <c r="AU462" s="93" t="s">
        <v>6017</v>
      </c>
      <c r="AV462" s="93" t="s">
        <v>6017</v>
      </c>
      <c r="AW462" s="83" t="s">
        <v>6021</v>
      </c>
      <c r="AX462" s="83">
        <v>1.0</v>
      </c>
      <c r="AY462" s="83" t="s">
        <v>2519</v>
      </c>
      <c r="AZ462" s="83" t="s">
        <v>6022</v>
      </c>
      <c r="BA462" s="83" t="s">
        <v>6023</v>
      </c>
      <c r="BB462" s="83" t="s">
        <v>6024</v>
      </c>
      <c r="BC462" s="54" t="s">
        <v>44</v>
      </c>
      <c r="BD462" s="70" t="str">
        <f t="shared" si="1"/>
        <v>Mariscal Nieto</v>
      </c>
      <c r="BE462" s="67" t="s">
        <v>140</v>
      </c>
      <c r="BF462" s="67" t="s">
        <v>141</v>
      </c>
      <c r="BG462" s="67" t="s">
        <v>142</v>
      </c>
      <c r="BH462" s="67"/>
      <c r="BI462" s="67"/>
      <c r="BJ462" s="67"/>
      <c r="BK462" s="67"/>
      <c r="BL462" s="67" t="s">
        <v>147</v>
      </c>
      <c r="BM462" s="67" t="s">
        <v>146</v>
      </c>
      <c r="BN462" s="100">
        <v>89.0</v>
      </c>
      <c r="BO462" s="102" t="s">
        <v>148</v>
      </c>
      <c r="BP462" s="67" t="s">
        <v>141</v>
      </c>
      <c r="BQ462" s="79" t="s">
        <v>141</v>
      </c>
      <c r="BR462" s="67" t="s">
        <v>149</v>
      </c>
      <c r="BS462" s="102">
        <v>1.0</v>
      </c>
      <c r="BT462" s="106"/>
      <c r="BU462" s="107"/>
      <c r="BV462" s="108">
        <f t="shared" si="2"/>
        <v>46256</v>
      </c>
      <c r="BW462" s="108">
        <f t="shared" si="16"/>
        <v>46259</v>
      </c>
      <c r="BX462" s="102" t="str">
        <f t="shared" si="15"/>
        <v>09</v>
      </c>
      <c r="BY462" s="107">
        <f t="shared" si="5"/>
        <v>4</v>
      </c>
      <c r="BZ462" s="107">
        <f t="array" ref="BZ462">IF($A462&lt;&gt;"",INDEX(LISTA!$M$2:$N$27,MATCH($BC462,LISTA!$N$2:$N$27,0),1),"")</f>
        <v>19</v>
      </c>
      <c r="CA462" s="67">
        <f t="shared" si="6"/>
        <v>8</v>
      </c>
      <c r="CB462" s="114" t="str">
        <f t="shared" si="7"/>
        <v/>
      </c>
      <c r="CC462" s="114"/>
    </row>
    <row r="463" ht="15.0" customHeight="1">
      <c r="A463" s="59">
        <v>46254.75085848379</v>
      </c>
      <c r="B463" s="62" t="s">
        <v>413</v>
      </c>
      <c r="C463" s="54" t="s">
        <v>100</v>
      </c>
      <c r="D463" s="56" t="s">
        <v>319</v>
      </c>
      <c r="E463" s="69">
        <v>46256.583333333336</v>
      </c>
      <c r="F463" s="162" t="s">
        <v>5345</v>
      </c>
      <c r="G463" s="60" t="s">
        <v>6025</v>
      </c>
      <c r="H463" s="60" t="s">
        <v>6026</v>
      </c>
      <c r="I463" s="67" t="s">
        <v>374</v>
      </c>
      <c r="J463" s="79" t="s">
        <v>6027</v>
      </c>
      <c r="K463" s="67" t="s">
        <v>109</v>
      </c>
      <c r="L463" s="79" t="s">
        <v>6028</v>
      </c>
      <c r="M463" s="83" t="s">
        <v>6029</v>
      </c>
      <c r="N463" s="78">
        <v>27705.0</v>
      </c>
      <c r="O463" s="80" t="s">
        <v>24</v>
      </c>
      <c r="P463" s="70">
        <v>110204.0</v>
      </c>
      <c r="Q463" s="54"/>
      <c r="R463" s="84" t="s">
        <v>1284</v>
      </c>
      <c r="S463" s="84"/>
      <c r="T463" s="54"/>
      <c r="U463" s="86"/>
      <c r="V463" s="54"/>
      <c r="W463" s="86"/>
      <c r="X463" s="54"/>
      <c r="Y463" s="78"/>
      <c r="Z463" s="54"/>
      <c r="AA463" s="70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54" t="s">
        <v>4835</v>
      </c>
      <c r="AR463" s="83" t="s">
        <v>6030</v>
      </c>
      <c r="AS463" s="83" t="s">
        <v>6031</v>
      </c>
      <c r="AT463" s="93" t="s">
        <v>6027</v>
      </c>
      <c r="AU463" s="93" t="s">
        <v>6027</v>
      </c>
      <c r="AV463" s="93" t="s">
        <v>6027</v>
      </c>
      <c r="AW463" s="83" t="s">
        <v>6032</v>
      </c>
      <c r="AX463" s="83">
        <v>1.0</v>
      </c>
      <c r="AY463" s="83">
        <v>2.0</v>
      </c>
      <c r="AZ463" s="83" t="s">
        <v>6033</v>
      </c>
      <c r="BA463" s="83" t="s">
        <v>1767</v>
      </c>
      <c r="BB463" s="83" t="s">
        <v>6034</v>
      </c>
      <c r="BC463" s="54" t="s">
        <v>24</v>
      </c>
      <c r="BD463" s="54" t="str">
        <f t="shared" si="1"/>
        <v>Santa</v>
      </c>
      <c r="BE463" s="67" t="s">
        <v>140</v>
      </c>
      <c r="BF463" s="67" t="s">
        <v>141</v>
      </c>
      <c r="BG463" s="67" t="s">
        <v>142</v>
      </c>
      <c r="BH463" s="67"/>
      <c r="BI463" s="67"/>
      <c r="BJ463" s="67"/>
      <c r="BK463" s="67"/>
      <c r="BL463" s="67" t="s">
        <v>147</v>
      </c>
      <c r="BM463" s="67" t="s">
        <v>146</v>
      </c>
      <c r="BN463" s="100">
        <v>89.0</v>
      </c>
      <c r="BO463" s="102" t="s">
        <v>148</v>
      </c>
      <c r="BP463" s="67" t="s">
        <v>141</v>
      </c>
      <c r="BQ463" s="79" t="s">
        <v>141</v>
      </c>
      <c r="BR463" s="67" t="s">
        <v>149</v>
      </c>
      <c r="BS463" s="102">
        <v>1.0</v>
      </c>
      <c r="BT463" s="106"/>
      <c r="BU463" s="107"/>
      <c r="BV463" s="108">
        <f t="shared" si="2"/>
        <v>46254</v>
      </c>
      <c r="BW463" s="108">
        <f t="shared" si="16"/>
        <v>46256</v>
      </c>
      <c r="BX463" s="102" t="str">
        <f t="shared" si="15"/>
        <v>14</v>
      </c>
      <c r="BY463" s="107">
        <f t="shared" si="5"/>
        <v>3</v>
      </c>
      <c r="BZ463" s="107">
        <f t="array" ref="BZ463">IF($A463&lt;&gt;"",INDEX(LISTA!$M$2:$N$27,MATCH($BC463,LISTA!$N$2:$N$27,0),1),"")</f>
        <v>5</v>
      </c>
      <c r="CA463" s="67">
        <f t="shared" si="6"/>
        <v>8</v>
      </c>
      <c r="CB463" s="114" t="str">
        <f t="shared" si="7"/>
        <v/>
      </c>
      <c r="CC463" s="114"/>
    </row>
    <row r="464" ht="15.0" customHeight="1">
      <c r="A464" s="59">
        <v>46246.50897178241</v>
      </c>
      <c r="B464" s="62" t="s">
        <v>413</v>
      </c>
      <c r="C464" s="54" t="s">
        <v>100</v>
      </c>
      <c r="D464" s="56" t="s">
        <v>319</v>
      </c>
      <c r="E464" s="69">
        <v>46248.583333333336</v>
      </c>
      <c r="F464" s="162" t="s">
        <v>6035</v>
      </c>
      <c r="G464" s="60" t="s">
        <v>6036</v>
      </c>
      <c r="H464" s="60" t="s">
        <v>6037</v>
      </c>
      <c r="I464" s="67" t="s">
        <v>378</v>
      </c>
      <c r="J464" s="79" t="s">
        <v>6038</v>
      </c>
      <c r="K464" s="67" t="s">
        <v>109</v>
      </c>
      <c r="L464" s="79" t="s">
        <v>6039</v>
      </c>
      <c r="M464" s="83" t="s">
        <v>6040</v>
      </c>
      <c r="N464" s="78">
        <v>25861.0</v>
      </c>
      <c r="O464" s="80" t="s">
        <v>41</v>
      </c>
      <c r="P464" s="70">
        <v>140136.0</v>
      </c>
      <c r="Q464" s="54"/>
      <c r="R464" s="84"/>
      <c r="S464" s="84"/>
      <c r="T464" s="54"/>
      <c r="U464" s="86"/>
      <c r="V464" s="54"/>
      <c r="W464" s="86"/>
      <c r="X464" s="54"/>
      <c r="Y464" s="78"/>
      <c r="Z464" s="54"/>
      <c r="AA464" s="70"/>
      <c r="AB464" s="83"/>
      <c r="AC464" s="83"/>
      <c r="AD464" s="83"/>
      <c r="AE464" s="83"/>
      <c r="AF464" s="83" t="s">
        <v>507</v>
      </c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54" t="s">
        <v>2146</v>
      </c>
      <c r="AR464" s="83" t="s">
        <v>6041</v>
      </c>
      <c r="AS464" s="83" t="s">
        <v>6042</v>
      </c>
      <c r="AT464" s="93" t="s">
        <v>6038</v>
      </c>
      <c r="AU464" s="93" t="s">
        <v>6038</v>
      </c>
      <c r="AV464" s="93" t="s">
        <v>6038</v>
      </c>
      <c r="AW464" s="83" t="s">
        <v>6043</v>
      </c>
      <c r="AX464" s="83">
        <v>2.0</v>
      </c>
      <c r="AY464" s="83" t="s">
        <v>2739</v>
      </c>
      <c r="AZ464" s="83" t="s">
        <v>6044</v>
      </c>
      <c r="BA464" s="83" t="s">
        <v>6045</v>
      </c>
      <c r="BB464" s="83" t="s">
        <v>6046</v>
      </c>
      <c r="BC464" s="54" t="s">
        <v>41</v>
      </c>
      <c r="BD464" s="54" t="str">
        <f t="shared" si="1"/>
        <v>San Juan de Miraflores</v>
      </c>
      <c r="BE464" s="67" t="s">
        <v>140</v>
      </c>
      <c r="BF464" s="67" t="s">
        <v>141</v>
      </c>
      <c r="BG464" s="67" t="s">
        <v>142</v>
      </c>
      <c r="BH464" s="67"/>
      <c r="BI464" s="67"/>
      <c r="BJ464" s="67"/>
      <c r="BK464" s="67"/>
      <c r="BL464" s="67" t="s">
        <v>145</v>
      </c>
      <c r="BM464" s="67" t="s">
        <v>146</v>
      </c>
      <c r="BN464" s="100">
        <v>170.0</v>
      </c>
      <c r="BO464" s="102" t="s">
        <v>148</v>
      </c>
      <c r="BP464" s="67" t="s">
        <v>144</v>
      </c>
      <c r="BQ464" s="79" t="s">
        <v>141</v>
      </c>
      <c r="BR464" s="67">
        <v>2.0</v>
      </c>
      <c r="BS464" s="102">
        <v>1.0</v>
      </c>
      <c r="BT464" s="106"/>
      <c r="BU464" s="107"/>
      <c r="BV464" s="108">
        <f t="shared" si="2"/>
        <v>46246</v>
      </c>
      <c r="BW464" s="108">
        <f t="shared" si="16"/>
        <v>46248</v>
      </c>
      <c r="BX464" s="102" t="str">
        <f t="shared" si="15"/>
        <v>14</v>
      </c>
      <c r="BY464" s="107">
        <f t="shared" si="5"/>
        <v>3</v>
      </c>
      <c r="BZ464" s="107">
        <f t="array" ref="BZ464">IF($A464&lt;&gt;"",INDEX(LISTA!$M$2:$N$27,MATCH($BC464,LISTA!$N$2:$N$27,0),1),"")</f>
        <v>1</v>
      </c>
      <c r="CA464" s="67">
        <f t="shared" si="6"/>
        <v>8</v>
      </c>
      <c r="CB464" s="114" t="str">
        <f t="shared" si="7"/>
        <v/>
      </c>
      <c r="CC464" s="114"/>
    </row>
    <row r="465" ht="15.0" customHeight="1">
      <c r="A465" s="59">
        <v>46238.642546840274</v>
      </c>
      <c r="B465" s="115" t="s">
        <v>413</v>
      </c>
      <c r="C465" s="54" t="s">
        <v>100</v>
      </c>
      <c r="D465" s="56" t="s">
        <v>319</v>
      </c>
      <c r="E465" s="69">
        <v>46241.583333333336</v>
      </c>
      <c r="F465" s="162" t="s">
        <v>6035</v>
      </c>
      <c r="G465" s="60" t="s">
        <v>6047</v>
      </c>
      <c r="H465" s="60" t="s">
        <v>6048</v>
      </c>
      <c r="I465" s="67" t="s">
        <v>350</v>
      </c>
      <c r="J465" s="79" t="s">
        <v>6049</v>
      </c>
      <c r="K465" s="67" t="s">
        <v>109</v>
      </c>
      <c r="L465" s="79" t="s">
        <v>6050</v>
      </c>
      <c r="M465" s="83" t="s">
        <v>6051</v>
      </c>
      <c r="N465" s="78">
        <v>34606.0</v>
      </c>
      <c r="O465" s="80" t="s">
        <v>37</v>
      </c>
      <c r="P465" s="70">
        <v>150715.0</v>
      </c>
      <c r="Q465" s="54"/>
      <c r="R465" s="84"/>
      <c r="S465" s="84"/>
      <c r="T465" s="54"/>
      <c r="U465" s="86"/>
      <c r="V465" s="54"/>
      <c r="W465" s="86"/>
      <c r="X465" s="54"/>
      <c r="Y465" s="78"/>
      <c r="Z465" s="54"/>
      <c r="AA465" s="70"/>
      <c r="AB465" s="83"/>
      <c r="AC465" s="83"/>
      <c r="AD465" s="83"/>
      <c r="AE465" s="83"/>
      <c r="AF465" s="83" t="s">
        <v>1355</v>
      </c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54" t="s">
        <v>127</v>
      </c>
      <c r="AR465" s="83" t="s">
        <v>5536</v>
      </c>
      <c r="AS465" s="83" t="s">
        <v>6052</v>
      </c>
      <c r="AT465" s="93" t="s">
        <v>6049</v>
      </c>
      <c r="AU465" s="93" t="s">
        <v>6049</v>
      </c>
      <c r="AV465" s="93" t="s">
        <v>6049</v>
      </c>
      <c r="AW465" s="83" t="s">
        <v>6053</v>
      </c>
      <c r="AX465" s="83">
        <v>1.0</v>
      </c>
      <c r="AY465" s="83">
        <v>0.0</v>
      </c>
      <c r="AZ465" s="83" t="s">
        <v>6054</v>
      </c>
      <c r="BA465" s="83" t="s">
        <v>6055</v>
      </c>
      <c r="BB465" s="83" t="s">
        <v>6056</v>
      </c>
      <c r="BC465" s="54" t="s">
        <v>41</v>
      </c>
      <c r="BD465" s="54" t="str">
        <f t="shared" si="1"/>
        <v>Villa María del Triunfo</v>
      </c>
      <c r="BE465" s="67" t="s">
        <v>140</v>
      </c>
      <c r="BF465" s="67" t="s">
        <v>141</v>
      </c>
      <c r="BG465" s="67" t="s">
        <v>142</v>
      </c>
      <c r="BH465" s="67"/>
      <c r="BI465" s="67"/>
      <c r="BJ465" s="67"/>
      <c r="BK465" s="67"/>
      <c r="BL465" s="67" t="s">
        <v>145</v>
      </c>
      <c r="BM465" s="67" t="s">
        <v>146</v>
      </c>
      <c r="BN465" s="100">
        <v>150.0</v>
      </c>
      <c r="BO465" s="102" t="s">
        <v>615</v>
      </c>
      <c r="BP465" s="67" t="s">
        <v>141</v>
      </c>
      <c r="BQ465" s="79" t="s">
        <v>141</v>
      </c>
      <c r="BR465" s="67">
        <v>1.0</v>
      </c>
      <c r="BS465" s="102" t="s">
        <v>149</v>
      </c>
      <c r="BT465" s="106"/>
      <c r="BU465" s="107"/>
      <c r="BV465" s="108">
        <f t="shared" si="2"/>
        <v>46238</v>
      </c>
      <c r="BW465" s="108">
        <f t="shared" si="16"/>
        <v>46241</v>
      </c>
      <c r="BX465" s="102" t="str">
        <f t="shared" si="15"/>
        <v>14</v>
      </c>
      <c r="BY465" s="107">
        <f t="shared" si="5"/>
        <v>3</v>
      </c>
      <c r="BZ465" s="107">
        <f t="array" ref="BZ465">IF($A465&lt;&gt;"",INDEX(LISTA!$M$2:$N$27,MATCH($BC465,LISTA!$N$2:$N$27,0),1),"")</f>
        <v>1</v>
      </c>
      <c r="CA465" s="67">
        <f t="shared" si="6"/>
        <v>8</v>
      </c>
      <c r="CB465" s="114" t="str">
        <f t="shared" si="7"/>
        <v/>
      </c>
      <c r="CC465" s="114"/>
    </row>
    <row r="466" ht="15.0" customHeight="1">
      <c r="A466" s="59">
        <v>46237.77964356482</v>
      </c>
      <c r="B466" s="115" t="s">
        <v>413</v>
      </c>
      <c r="C466" s="54" t="s">
        <v>100</v>
      </c>
      <c r="D466" s="56" t="s">
        <v>319</v>
      </c>
      <c r="E466" s="69">
        <v>46238.583333333336</v>
      </c>
      <c r="F466" s="162"/>
      <c r="G466" s="60" t="s">
        <v>6057</v>
      </c>
      <c r="H466" s="60" t="s">
        <v>6058</v>
      </c>
      <c r="I466" s="67" t="s">
        <v>350</v>
      </c>
      <c r="J466" s="79" t="s">
        <v>6059</v>
      </c>
      <c r="K466" s="67" t="s">
        <v>109</v>
      </c>
      <c r="L466" s="79" t="s">
        <v>6060</v>
      </c>
      <c r="M466" s="83" t="s">
        <v>6061</v>
      </c>
      <c r="N466" s="78">
        <v>28956.0</v>
      </c>
      <c r="O466" s="80" t="s">
        <v>49</v>
      </c>
      <c r="P466" s="70">
        <v>220901.0</v>
      </c>
      <c r="Q466" s="54"/>
      <c r="R466" s="84"/>
      <c r="S466" s="84"/>
      <c r="T466" s="54"/>
      <c r="U466" s="86"/>
      <c r="V466" s="54"/>
      <c r="W466" s="86"/>
      <c r="X466" s="54"/>
      <c r="Y466" s="78"/>
      <c r="Z466" s="54"/>
      <c r="AA466" s="70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 t="s">
        <v>166</v>
      </c>
      <c r="AN466" s="83"/>
      <c r="AO466" s="83"/>
      <c r="AP466" s="83"/>
      <c r="AQ466" s="54" t="s">
        <v>2710</v>
      </c>
      <c r="AR466" s="83" t="s">
        <v>6062</v>
      </c>
      <c r="AS466" s="83" t="s">
        <v>6063</v>
      </c>
      <c r="AT466" s="93" t="s">
        <v>6064</v>
      </c>
      <c r="AU466" s="93" t="s">
        <v>6064</v>
      </c>
      <c r="AV466" s="93" t="s">
        <v>6064</v>
      </c>
      <c r="AW466" s="83" t="s">
        <v>6065</v>
      </c>
      <c r="AX466" s="83">
        <v>1.0</v>
      </c>
      <c r="AY466" s="83">
        <v>0.0</v>
      </c>
      <c r="AZ466" s="83" t="s">
        <v>6066</v>
      </c>
      <c r="BA466" s="83" t="s">
        <v>4934</v>
      </c>
      <c r="BB466" s="83" t="s">
        <v>6067</v>
      </c>
      <c r="BC466" s="54" t="s">
        <v>49</v>
      </c>
      <c r="BD466" s="54" t="str">
        <f t="shared" si="1"/>
        <v>San Martín</v>
      </c>
      <c r="BE466" s="67" t="s">
        <v>140</v>
      </c>
      <c r="BF466" s="67" t="s">
        <v>141</v>
      </c>
      <c r="BG466" s="67" t="s">
        <v>142</v>
      </c>
      <c r="BH466" s="67"/>
      <c r="BI466" s="67"/>
      <c r="BJ466" s="67"/>
      <c r="BK466" s="67"/>
      <c r="BL466" s="67" t="s">
        <v>147</v>
      </c>
      <c r="BM466" s="67" t="s">
        <v>146</v>
      </c>
      <c r="BN466" s="100">
        <v>89.0</v>
      </c>
      <c r="BO466" s="102" t="s">
        <v>148</v>
      </c>
      <c r="BP466" s="67" t="s">
        <v>141</v>
      </c>
      <c r="BQ466" s="79" t="s">
        <v>141</v>
      </c>
      <c r="BR466" s="67" t="s">
        <v>149</v>
      </c>
      <c r="BS466" s="102">
        <v>1.0</v>
      </c>
      <c r="BT466" s="106"/>
      <c r="BU466" s="107"/>
      <c r="BV466" s="108">
        <f t="shared" si="2"/>
        <v>46237</v>
      </c>
      <c r="BW466" s="108">
        <f t="shared" si="16"/>
        <v>46238</v>
      </c>
      <c r="BX466" s="102" t="str">
        <f t="shared" si="15"/>
        <v>14</v>
      </c>
      <c r="BY466" s="107">
        <f t="shared" si="5"/>
        <v>3</v>
      </c>
      <c r="BZ466" s="107">
        <f t="array" ref="BZ466">IF($A466&lt;&gt;"",INDEX(LISTA!$M$2:$N$27,MATCH($BC466,LISTA!$N$2:$N$27,0),1),"")</f>
        <v>23</v>
      </c>
      <c r="CA466" s="67">
        <f t="shared" si="6"/>
        <v>8</v>
      </c>
      <c r="CB466" s="114" t="str">
        <f t="shared" si="7"/>
        <v/>
      </c>
      <c r="CC466" s="114"/>
    </row>
    <row r="467" ht="15.0" customHeight="1">
      <c r="A467" s="59">
        <v>46238.46970980324</v>
      </c>
      <c r="B467" s="115" t="s">
        <v>413</v>
      </c>
      <c r="C467" s="54" t="s">
        <v>100</v>
      </c>
      <c r="D467" s="56" t="s">
        <v>331</v>
      </c>
      <c r="E467" s="69">
        <v>46239.583333333336</v>
      </c>
      <c r="F467" s="162"/>
      <c r="G467" s="60" t="s">
        <v>6068</v>
      </c>
      <c r="H467" s="60" t="s">
        <v>6069</v>
      </c>
      <c r="I467" s="67" t="s">
        <v>350</v>
      </c>
      <c r="J467" s="79" t="s">
        <v>6070</v>
      </c>
      <c r="K467" s="67" t="s">
        <v>109</v>
      </c>
      <c r="L467" s="79" t="s">
        <v>6071</v>
      </c>
      <c r="M467" s="83" t="s">
        <v>6072</v>
      </c>
      <c r="N467" s="78">
        <v>27508.0</v>
      </c>
      <c r="O467" s="80" t="s">
        <v>29</v>
      </c>
      <c r="P467" s="156" t="s">
        <v>6073</v>
      </c>
      <c r="Q467" s="54"/>
      <c r="R467" s="84"/>
      <c r="S467" s="84"/>
      <c r="T467" s="54"/>
      <c r="U467" s="86"/>
      <c r="V467" s="54"/>
      <c r="W467" s="86"/>
      <c r="X467" s="54"/>
      <c r="Y467" s="78"/>
      <c r="Z467" s="54"/>
      <c r="AA467" s="70"/>
      <c r="AB467" s="83"/>
      <c r="AC467" s="83"/>
      <c r="AD467" s="83" t="s">
        <v>805</v>
      </c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54" t="s">
        <v>6074</v>
      </c>
      <c r="AR467" s="83" t="s">
        <v>5045</v>
      </c>
      <c r="AS467" s="83" t="s">
        <v>6075</v>
      </c>
      <c r="AT467" s="93" t="s">
        <v>6076</v>
      </c>
      <c r="AU467" s="93" t="s">
        <v>6076</v>
      </c>
      <c r="AV467" s="93" t="s">
        <v>6076</v>
      </c>
      <c r="AW467" s="83" t="s">
        <v>6077</v>
      </c>
      <c r="AX467" s="83">
        <v>3.0</v>
      </c>
      <c r="AY467" s="83">
        <v>8.0</v>
      </c>
      <c r="AZ467" s="83" t="s">
        <v>6078</v>
      </c>
      <c r="BA467" s="83" t="s">
        <v>6079</v>
      </c>
      <c r="BB467" s="83" t="s">
        <v>6080</v>
      </c>
      <c r="BC467" s="54" t="s">
        <v>40</v>
      </c>
      <c r="BD467" s="54" t="str">
        <f t="shared" si="1"/>
        <v>Chiclayo</v>
      </c>
      <c r="BE467" s="67" t="s">
        <v>140</v>
      </c>
      <c r="BF467" s="67" t="s">
        <v>141</v>
      </c>
      <c r="BG467" s="67" t="s">
        <v>142</v>
      </c>
      <c r="BH467" s="67"/>
      <c r="BI467" s="67"/>
      <c r="BJ467" s="67"/>
      <c r="BK467" s="67"/>
      <c r="BL467" s="67" t="s">
        <v>145</v>
      </c>
      <c r="BM467" s="67" t="s">
        <v>146</v>
      </c>
      <c r="BN467" s="100">
        <v>170.0</v>
      </c>
      <c r="BO467" s="102" t="s">
        <v>148</v>
      </c>
      <c r="BP467" s="67" t="s">
        <v>141</v>
      </c>
      <c r="BQ467" s="79" t="s">
        <v>141</v>
      </c>
      <c r="BR467" s="67">
        <v>2.0</v>
      </c>
      <c r="BS467" s="102">
        <v>1.0</v>
      </c>
      <c r="BT467" s="106"/>
      <c r="BU467" s="107"/>
      <c r="BV467" s="108">
        <f t="shared" si="2"/>
        <v>46238</v>
      </c>
      <c r="BW467" s="108">
        <f t="shared" si="16"/>
        <v>46239</v>
      </c>
      <c r="BX467" s="102" t="str">
        <f t="shared" si="15"/>
        <v>14</v>
      </c>
      <c r="BY467" s="107">
        <f t="shared" si="5"/>
        <v>3</v>
      </c>
      <c r="BZ467" s="107">
        <f t="array" ref="BZ467">IF($A467&lt;&gt;"",INDEX(LISTA!$M$2:$N$27,MATCH($BC467,LISTA!$N$2:$N$27,0),1),"")</f>
        <v>16</v>
      </c>
      <c r="CA467" s="67">
        <f t="shared" si="6"/>
        <v>8</v>
      </c>
      <c r="CB467" s="114" t="str">
        <f t="shared" si="7"/>
        <v/>
      </c>
      <c r="CC467" s="114"/>
    </row>
    <row r="468" ht="15.0" customHeight="1">
      <c r="A468" s="59">
        <v>46241.465637754634</v>
      </c>
      <c r="B468" s="115" t="s">
        <v>413</v>
      </c>
      <c r="C468" s="54" t="s">
        <v>100</v>
      </c>
      <c r="D468" s="56" t="s">
        <v>331</v>
      </c>
      <c r="E468" s="69">
        <v>46245.375</v>
      </c>
      <c r="F468" s="162" t="s">
        <v>6035</v>
      </c>
      <c r="G468" s="60" t="s">
        <v>6081</v>
      </c>
      <c r="H468" s="60" t="s">
        <v>6082</v>
      </c>
      <c r="I468" s="67" t="s">
        <v>378</v>
      </c>
      <c r="J468" s="79" t="s">
        <v>6083</v>
      </c>
      <c r="K468" s="67" t="s">
        <v>109</v>
      </c>
      <c r="L468" s="79" t="s">
        <v>6084</v>
      </c>
      <c r="M468" s="83" t="s">
        <v>6085</v>
      </c>
      <c r="N468" s="78">
        <v>29935.0</v>
      </c>
      <c r="O468" s="80" t="s">
        <v>40</v>
      </c>
      <c r="P468" s="70">
        <v>130101.0</v>
      </c>
      <c r="Q468" s="54"/>
      <c r="R468" s="84"/>
      <c r="S468" s="84"/>
      <c r="T468" s="54"/>
      <c r="U468" s="86"/>
      <c r="V468" s="54"/>
      <c r="W468" s="86"/>
      <c r="X468" s="54"/>
      <c r="Y468" s="78"/>
      <c r="Z468" s="54"/>
      <c r="AA468" s="70"/>
      <c r="AB468" s="83"/>
      <c r="AC468" s="83"/>
      <c r="AD468" s="83" t="s">
        <v>805</v>
      </c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54" t="s">
        <v>6086</v>
      </c>
      <c r="AR468" s="83" t="s">
        <v>6087</v>
      </c>
      <c r="AS468" s="83" t="s">
        <v>6088</v>
      </c>
      <c r="AT468" s="93" t="s">
        <v>6083</v>
      </c>
      <c r="AU468" s="93" t="s">
        <v>6083</v>
      </c>
      <c r="AV468" s="93" t="s">
        <v>6083</v>
      </c>
      <c r="AW468" s="83" t="s">
        <v>6089</v>
      </c>
      <c r="AX468" s="83">
        <v>1.0</v>
      </c>
      <c r="AY468" s="83" t="s">
        <v>2739</v>
      </c>
      <c r="AZ468" s="83" t="s">
        <v>6090</v>
      </c>
      <c r="BA468" s="83" t="s">
        <v>6091</v>
      </c>
      <c r="BB468" s="83" t="s">
        <v>6092</v>
      </c>
      <c r="BC468" s="54" t="s">
        <v>40</v>
      </c>
      <c r="BD468" s="54" t="str">
        <f t="shared" si="1"/>
        <v>Chiclayo</v>
      </c>
      <c r="BE468" s="67" t="s">
        <v>140</v>
      </c>
      <c r="BF468" s="67" t="s">
        <v>141</v>
      </c>
      <c r="BG468" s="67" t="s">
        <v>142</v>
      </c>
      <c r="BH468" s="67"/>
      <c r="BI468" s="67"/>
      <c r="BJ468" s="67"/>
      <c r="BK468" s="67"/>
      <c r="BL468" s="67" t="s">
        <v>145</v>
      </c>
      <c r="BM468" s="67" t="s">
        <v>146</v>
      </c>
      <c r="BN468" s="100">
        <v>170.0</v>
      </c>
      <c r="BO468" s="102" t="s">
        <v>148</v>
      </c>
      <c r="BP468" s="67" t="s">
        <v>144</v>
      </c>
      <c r="BQ468" s="79"/>
      <c r="BR468" s="67">
        <v>2.0</v>
      </c>
      <c r="BS468" s="102">
        <v>1.0</v>
      </c>
      <c r="BT468" s="106"/>
      <c r="BU468" s="107"/>
      <c r="BV468" s="108">
        <f t="shared" si="2"/>
        <v>46241</v>
      </c>
      <c r="BW468" s="108">
        <f t="shared" si="16"/>
        <v>46245</v>
      </c>
      <c r="BX468" s="102" t="str">
        <f t="shared" si="15"/>
        <v>09</v>
      </c>
      <c r="BY468" s="107">
        <f t="shared" si="5"/>
        <v>3</v>
      </c>
      <c r="BZ468" s="107">
        <f t="array" ref="BZ468">IF($A468&lt;&gt;"",INDEX(LISTA!$M$2:$N$27,MATCH($BC468,LISTA!$N$2:$N$27,0),1),"")</f>
        <v>16</v>
      </c>
      <c r="CA468" s="67">
        <f t="shared" si="6"/>
        <v>8</v>
      </c>
      <c r="CB468" s="114" t="str">
        <f t="shared" si="7"/>
        <v/>
      </c>
      <c r="CC468" s="114"/>
    </row>
    <row r="469" ht="15.0" customHeight="1">
      <c r="A469" s="59">
        <v>46256.494176736116</v>
      </c>
      <c r="B469" s="115" t="s">
        <v>413</v>
      </c>
      <c r="C469" s="54" t="s">
        <v>100</v>
      </c>
      <c r="D469" s="56" t="s">
        <v>319</v>
      </c>
      <c r="E469" s="69">
        <v>46257.583333333336</v>
      </c>
      <c r="F469" s="162" t="s">
        <v>6093</v>
      </c>
      <c r="G469" s="60" t="s">
        <v>6094</v>
      </c>
      <c r="H469" s="60" t="s">
        <v>6095</v>
      </c>
      <c r="I469" s="67" t="s">
        <v>382</v>
      </c>
      <c r="J469" s="79" t="s">
        <v>6096</v>
      </c>
      <c r="K469" s="67" t="s">
        <v>109</v>
      </c>
      <c r="L469" s="79" t="s">
        <v>6097</v>
      </c>
      <c r="M469" s="83" t="s">
        <v>6098</v>
      </c>
      <c r="N469" s="78">
        <v>26075.0</v>
      </c>
      <c r="O469" s="80" t="s">
        <v>48</v>
      </c>
      <c r="P469" s="70">
        <v>210000.0</v>
      </c>
      <c r="Q469" s="54"/>
      <c r="R469" s="84"/>
      <c r="S469" s="84"/>
      <c r="T469" s="54" t="s">
        <v>122</v>
      </c>
      <c r="U469" s="86"/>
      <c r="V469" s="54"/>
      <c r="W469" s="86"/>
      <c r="X469" s="54"/>
      <c r="Y469" s="78"/>
      <c r="Z469" s="54"/>
      <c r="AA469" s="70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54" t="s">
        <v>6099</v>
      </c>
      <c r="AR469" s="83" t="s">
        <v>3006</v>
      </c>
      <c r="AS469" s="83" t="s">
        <v>6100</v>
      </c>
      <c r="AT469" s="93" t="s">
        <v>6096</v>
      </c>
      <c r="AU469" s="93" t="s">
        <v>6096</v>
      </c>
      <c r="AV469" s="93" t="s">
        <v>6096</v>
      </c>
      <c r="AW469" s="83" t="s">
        <v>6101</v>
      </c>
      <c r="AX469" s="83">
        <v>2.0</v>
      </c>
      <c r="AY469" s="83">
        <v>0.0</v>
      </c>
      <c r="AZ469" s="83" t="s">
        <v>6102</v>
      </c>
      <c r="BA469" s="83" t="s">
        <v>6103</v>
      </c>
      <c r="BB469" s="83" t="s">
        <v>6104</v>
      </c>
      <c r="BC469" s="54" t="s">
        <v>27</v>
      </c>
      <c r="BD469" s="70" t="str">
        <f t="shared" si="1"/>
        <v>Arequipa</v>
      </c>
      <c r="BE469" s="67" t="s">
        <v>140</v>
      </c>
      <c r="BF469" s="67" t="s">
        <v>144</v>
      </c>
      <c r="BG469" s="67" t="s">
        <v>142</v>
      </c>
      <c r="BH469" s="67"/>
      <c r="BI469" s="67"/>
      <c r="BJ469" s="67"/>
      <c r="BK469" s="67"/>
      <c r="BL469" s="67" t="s">
        <v>145</v>
      </c>
      <c r="BM469" s="67" t="s">
        <v>146</v>
      </c>
      <c r="BN469" s="100">
        <v>170.0</v>
      </c>
      <c r="BO469" s="102" t="s">
        <v>148</v>
      </c>
      <c r="BP469" s="67" t="s">
        <v>144</v>
      </c>
      <c r="BQ469" s="79" t="s">
        <v>141</v>
      </c>
      <c r="BR469" s="67">
        <v>2.0</v>
      </c>
      <c r="BS469" s="102">
        <v>1.0</v>
      </c>
      <c r="BT469" s="106"/>
      <c r="BU469" s="107"/>
      <c r="BV469" s="108">
        <f t="shared" si="2"/>
        <v>46256</v>
      </c>
      <c r="BW469" s="108">
        <f t="shared" si="16"/>
        <v>46257</v>
      </c>
      <c r="BX469" s="102" t="str">
        <f t="shared" si="15"/>
        <v>14</v>
      </c>
      <c r="BY469" s="107">
        <f t="shared" si="5"/>
        <v>3</v>
      </c>
      <c r="BZ469" s="107">
        <f t="array" ref="BZ469">IF($A469&lt;&gt;"",INDEX(LISTA!$M$2:$N$27,MATCH($BC469,LISTA!$N$2:$N$27,0),1),"")</f>
        <v>7</v>
      </c>
      <c r="CA469" s="67">
        <f t="shared" si="6"/>
        <v>8</v>
      </c>
      <c r="CB469" s="114" t="str">
        <f t="shared" si="7"/>
        <v/>
      </c>
      <c r="CC469" s="114"/>
    </row>
    <row r="470" ht="15.0" customHeight="1">
      <c r="A470" s="59">
        <v>46240.74451390046</v>
      </c>
      <c r="B470" s="115" t="s">
        <v>411</v>
      </c>
      <c r="C470" s="54" t="s">
        <v>100</v>
      </c>
      <c r="D470" s="56" t="s">
        <v>319</v>
      </c>
      <c r="E470" s="69">
        <v>46242.375</v>
      </c>
      <c r="F470" s="162" t="s">
        <v>6105</v>
      </c>
      <c r="G470" s="60" t="s">
        <v>6106</v>
      </c>
      <c r="H470" s="60" t="s">
        <v>6107</v>
      </c>
      <c r="I470" s="67" t="s">
        <v>374</v>
      </c>
      <c r="J470" s="79" t="s">
        <v>6108</v>
      </c>
      <c r="K470" s="67" t="s">
        <v>109</v>
      </c>
      <c r="L470" s="79" t="s">
        <v>6109</v>
      </c>
      <c r="M470" s="83" t="s">
        <v>6110</v>
      </c>
      <c r="N470" s="78">
        <v>29028.0</v>
      </c>
      <c r="O470" s="80" t="s">
        <v>23</v>
      </c>
      <c r="P470" s="156" t="s">
        <v>4399</v>
      </c>
      <c r="Q470" s="54" t="s">
        <v>4400</v>
      </c>
      <c r="R470" s="84"/>
      <c r="S470" s="84"/>
      <c r="T470" s="54"/>
      <c r="U470" s="86"/>
      <c r="V470" s="54"/>
      <c r="W470" s="86"/>
      <c r="X470" s="54"/>
      <c r="Y470" s="78"/>
      <c r="Z470" s="54"/>
      <c r="AA470" s="70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54" t="s">
        <v>1484</v>
      </c>
      <c r="AR470" s="83" t="s">
        <v>125</v>
      </c>
      <c r="AS470" s="83" t="s">
        <v>6111</v>
      </c>
      <c r="AT470" s="93" t="s">
        <v>6108</v>
      </c>
      <c r="AU470" s="93" t="s">
        <v>6108</v>
      </c>
      <c r="AV470" s="93" t="s">
        <v>6108</v>
      </c>
      <c r="AW470" s="83" t="s">
        <v>6112</v>
      </c>
      <c r="AX470" s="83">
        <v>1.0</v>
      </c>
      <c r="AY470" s="83">
        <v>1.0</v>
      </c>
      <c r="AZ470" s="83" t="s">
        <v>6113</v>
      </c>
      <c r="BA470" s="83" t="s">
        <v>1767</v>
      </c>
      <c r="BB470" s="83" t="s">
        <v>6114</v>
      </c>
      <c r="BC470" s="54" t="s">
        <v>23</v>
      </c>
      <c r="BD470" s="54" t="str">
        <f t="shared" si="1"/>
        <v>Chachapoyas</v>
      </c>
      <c r="BE470" s="67" t="s">
        <v>140</v>
      </c>
      <c r="BF470" s="67" t="s">
        <v>141</v>
      </c>
      <c r="BG470" s="67" t="s">
        <v>142</v>
      </c>
      <c r="BH470" s="67"/>
      <c r="BI470" s="67"/>
      <c r="BJ470" s="67"/>
      <c r="BK470" s="67"/>
      <c r="BL470" s="67" t="s">
        <v>213</v>
      </c>
      <c r="BM470" s="67" t="s">
        <v>146</v>
      </c>
      <c r="BN470" s="100">
        <v>110.0</v>
      </c>
      <c r="BO470" s="102" t="s">
        <v>182</v>
      </c>
      <c r="BP470" s="67" t="s">
        <v>144</v>
      </c>
      <c r="BQ470" s="79" t="s">
        <v>141</v>
      </c>
      <c r="BR470" s="67" t="s">
        <v>149</v>
      </c>
      <c r="BS470" s="102">
        <v>1.0</v>
      </c>
      <c r="BT470" s="106"/>
      <c r="BU470" s="107"/>
      <c r="BV470" s="108">
        <f t="shared" si="2"/>
        <v>46240</v>
      </c>
      <c r="BW470" s="108">
        <f t="shared" si="16"/>
        <v>46242</v>
      </c>
      <c r="BX470" s="102" t="str">
        <f t="shared" si="15"/>
        <v>09</v>
      </c>
      <c r="BY470" s="107">
        <f t="shared" si="5"/>
        <v>3</v>
      </c>
      <c r="BZ470" s="107">
        <f t="array" ref="BZ470">IF($A470&lt;&gt;"",INDEX(LISTA!$M$2:$N$27,MATCH($BC470,LISTA!$N$2:$N$27,0),1),"")</f>
        <v>4</v>
      </c>
      <c r="CA470" s="67">
        <f t="shared" si="6"/>
        <v>8</v>
      </c>
      <c r="CB470" s="114" t="str">
        <f t="shared" si="7"/>
        <v/>
      </c>
      <c r="CC470" s="114"/>
    </row>
    <row r="471" ht="15.0" customHeight="1">
      <c r="A471" s="59">
        <v>46241.39422908565</v>
      </c>
      <c r="B471" s="115" t="s">
        <v>409</v>
      </c>
      <c r="C471" s="54" t="s">
        <v>100</v>
      </c>
      <c r="D471" s="56" t="s">
        <v>331</v>
      </c>
      <c r="E471" s="69">
        <v>46243.291666666664</v>
      </c>
      <c r="F471" s="162"/>
      <c r="G471" s="60" t="s">
        <v>6115</v>
      </c>
      <c r="H471" s="60" t="s">
        <v>6116</v>
      </c>
      <c r="I471" s="67" t="s">
        <v>378</v>
      </c>
      <c r="J471" s="79" t="s">
        <v>6117</v>
      </c>
      <c r="K471" s="67" t="s">
        <v>109</v>
      </c>
      <c r="L471" s="79" t="s">
        <v>6118</v>
      </c>
      <c r="M471" s="83" t="s">
        <v>6119</v>
      </c>
      <c r="N471" s="78">
        <v>18568.0</v>
      </c>
      <c r="O471" s="80" t="s">
        <v>48</v>
      </c>
      <c r="P471" s="70">
        <v>200101.0</v>
      </c>
      <c r="Q471" s="54"/>
      <c r="R471" s="84"/>
      <c r="S471" s="84"/>
      <c r="T471" s="54" t="s">
        <v>122</v>
      </c>
      <c r="U471" s="86"/>
      <c r="V471" s="54"/>
      <c r="W471" s="86"/>
      <c r="X471" s="54"/>
      <c r="Y471" s="78"/>
      <c r="Z471" s="54"/>
      <c r="AA471" s="70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54" t="s">
        <v>6120</v>
      </c>
      <c r="AR471" s="83" t="s">
        <v>6121</v>
      </c>
      <c r="AS471" s="83" t="s">
        <v>6122</v>
      </c>
      <c r="AT471" s="93" t="s">
        <v>6123</v>
      </c>
      <c r="AU471" s="93" t="s">
        <v>6123</v>
      </c>
      <c r="AV471" s="93" t="s">
        <v>6123</v>
      </c>
      <c r="AW471" s="83" t="s">
        <v>6124</v>
      </c>
      <c r="AX471" s="83">
        <v>1.0</v>
      </c>
      <c r="AY471" s="83" t="s">
        <v>2739</v>
      </c>
      <c r="AZ471" s="83" t="s">
        <v>6125</v>
      </c>
      <c r="BA471" s="83" t="s">
        <v>6126</v>
      </c>
      <c r="BB471" s="83" t="s">
        <v>6127</v>
      </c>
      <c r="BC471" s="54" t="s">
        <v>27</v>
      </c>
      <c r="BD471" s="54" t="str">
        <f t="shared" si="1"/>
        <v>Arequipa</v>
      </c>
      <c r="BE471" s="67" t="s">
        <v>143</v>
      </c>
      <c r="BF471" s="67" t="s">
        <v>141</v>
      </c>
      <c r="BG471" s="67" t="s">
        <v>142</v>
      </c>
      <c r="BH471" s="67"/>
      <c r="BI471" s="67"/>
      <c r="BJ471" s="67"/>
      <c r="BK471" s="67"/>
      <c r="BL471" s="67" t="s">
        <v>145</v>
      </c>
      <c r="BM471" s="67" t="s">
        <v>1897</v>
      </c>
      <c r="BN471" s="100">
        <v>99.0</v>
      </c>
      <c r="BO471" s="102" t="s">
        <v>1647</v>
      </c>
      <c r="BP471" s="67" t="s">
        <v>144</v>
      </c>
      <c r="BQ471" s="79" t="s">
        <v>141</v>
      </c>
      <c r="BR471" s="67">
        <v>3.0</v>
      </c>
      <c r="BS471" s="102" t="s">
        <v>149</v>
      </c>
      <c r="BT471" s="106"/>
      <c r="BU471" s="107"/>
      <c r="BV471" s="108">
        <f t="shared" si="2"/>
        <v>46241</v>
      </c>
      <c r="BW471" s="108">
        <f t="shared" si="16"/>
        <v>46243</v>
      </c>
      <c r="BX471" s="102" t="str">
        <f t="shared" si="15"/>
        <v>07</v>
      </c>
      <c r="BY471" s="107">
        <f t="shared" si="5"/>
        <v>3</v>
      </c>
      <c r="BZ471" s="107">
        <f t="array" ref="BZ471">IF($A471&lt;&gt;"",INDEX(LISTA!$M$2:$N$27,MATCH($BC471,LISTA!$N$2:$N$27,0),1),"")</f>
        <v>7</v>
      </c>
      <c r="CA471" s="67">
        <f t="shared" si="6"/>
        <v>8</v>
      </c>
      <c r="CB471" s="114" t="str">
        <f t="shared" si="7"/>
        <v/>
      </c>
      <c r="CC471" s="114"/>
    </row>
    <row r="472" ht="15.0" customHeight="1">
      <c r="A472" s="59">
        <v>46237.51916083333</v>
      </c>
      <c r="B472" s="62" t="s">
        <v>412</v>
      </c>
      <c r="C472" s="54" t="s">
        <v>100</v>
      </c>
      <c r="D472" s="56" t="s">
        <v>319</v>
      </c>
      <c r="E472" s="69">
        <v>46251.583333333336</v>
      </c>
      <c r="F472" s="162" t="s">
        <v>6128</v>
      </c>
      <c r="G472" s="60" t="s">
        <v>6129</v>
      </c>
      <c r="H472" s="60" t="s">
        <v>6130</v>
      </c>
      <c r="I472" s="67" t="s">
        <v>350</v>
      </c>
      <c r="J472" s="79" t="s">
        <v>6131</v>
      </c>
      <c r="K472" s="67" t="s">
        <v>109</v>
      </c>
      <c r="L472" s="79" t="s">
        <v>6132</v>
      </c>
      <c r="M472" s="83" t="s">
        <v>6133</v>
      </c>
      <c r="N472" s="78">
        <v>20888.0</v>
      </c>
      <c r="O472" s="80" t="s">
        <v>36</v>
      </c>
      <c r="P472" s="70">
        <v>10014.0</v>
      </c>
      <c r="Q472" s="54"/>
      <c r="R472" s="84"/>
      <c r="S472" s="84"/>
      <c r="T472" s="54"/>
      <c r="U472" s="86"/>
      <c r="V472" s="54"/>
      <c r="W472" s="86"/>
      <c r="X472" s="54"/>
      <c r="Y472" s="78"/>
      <c r="Z472" s="54"/>
      <c r="AA472" s="70"/>
      <c r="AB472" s="83" t="s">
        <v>6134</v>
      </c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54" t="s">
        <v>2173</v>
      </c>
      <c r="AR472" s="83" t="s">
        <v>2749</v>
      </c>
      <c r="AS472" s="83" t="s">
        <v>6135</v>
      </c>
      <c r="AT472" s="93" t="s">
        <v>6136</v>
      </c>
      <c r="AU472" s="93" t="s">
        <v>6136</v>
      </c>
      <c r="AV472" s="93" t="s">
        <v>6136</v>
      </c>
      <c r="AW472" s="83" t="s">
        <v>6137</v>
      </c>
      <c r="AX472" s="83">
        <v>1.0</v>
      </c>
      <c r="AY472" s="83">
        <v>1.0</v>
      </c>
      <c r="AZ472" s="83" t="s">
        <v>6138</v>
      </c>
      <c r="BA472" s="83" t="s">
        <v>6139</v>
      </c>
      <c r="BB472" s="83" t="s">
        <v>6140</v>
      </c>
      <c r="BC472" s="54" t="s">
        <v>36</v>
      </c>
      <c r="BD472" s="54" t="str">
        <f t="shared" si="1"/>
        <v>Chupaca</v>
      </c>
      <c r="BE472" s="67" t="s">
        <v>140</v>
      </c>
      <c r="BF472" s="67" t="s">
        <v>144</v>
      </c>
      <c r="BG472" s="67" t="s">
        <v>142</v>
      </c>
      <c r="BH472" s="67"/>
      <c r="BI472" s="67"/>
      <c r="BJ472" s="67"/>
      <c r="BK472" s="67"/>
      <c r="BL472" s="67" t="s">
        <v>145</v>
      </c>
      <c r="BM472" s="67" t="s">
        <v>146</v>
      </c>
      <c r="BN472" s="100">
        <v>150.0</v>
      </c>
      <c r="BO472" s="102" t="s">
        <v>615</v>
      </c>
      <c r="BP472" s="67" t="s">
        <v>141</v>
      </c>
      <c r="BQ472" s="79" t="s">
        <v>141</v>
      </c>
      <c r="BR472" s="67">
        <v>1.0</v>
      </c>
      <c r="BS472" s="102" t="s">
        <v>149</v>
      </c>
      <c r="BT472" s="106"/>
      <c r="BU472" s="107"/>
      <c r="BV472" s="108">
        <f t="shared" si="2"/>
        <v>46237</v>
      </c>
      <c r="BW472" s="108">
        <f t="shared" si="16"/>
        <v>46251</v>
      </c>
      <c r="BX472" s="102" t="str">
        <f t="shared" si="15"/>
        <v>14</v>
      </c>
      <c r="BY472" s="107">
        <f t="shared" si="5"/>
        <v>3</v>
      </c>
      <c r="BZ472" s="107">
        <f t="array" ref="BZ472">IF($A472&lt;&gt;"",INDEX(LISTA!$M$2:$N$27,MATCH($BC472,LISTA!$N$2:$N$27,0),1),"")</f>
        <v>14</v>
      </c>
      <c r="CA472" s="67">
        <f t="shared" si="6"/>
        <v>8</v>
      </c>
      <c r="CB472" s="114" t="str">
        <f t="shared" si="7"/>
        <v/>
      </c>
      <c r="CC472" s="114"/>
    </row>
    <row r="473" ht="15.0" customHeight="1">
      <c r="A473" s="59">
        <v>46241.476366469906</v>
      </c>
      <c r="B473" s="115" t="s">
        <v>412</v>
      </c>
      <c r="C473" s="54" t="s">
        <v>100</v>
      </c>
      <c r="D473" s="56" t="s">
        <v>101</v>
      </c>
      <c r="E473" s="69">
        <v>46242.375</v>
      </c>
      <c r="F473" s="162" t="s">
        <v>4207</v>
      </c>
      <c r="G473" s="60" t="s">
        <v>6141</v>
      </c>
      <c r="H473" s="60" t="s">
        <v>6142</v>
      </c>
      <c r="I473" s="67" t="s">
        <v>350</v>
      </c>
      <c r="J473" s="79" t="s">
        <v>6143</v>
      </c>
      <c r="K473" s="67" t="s">
        <v>109</v>
      </c>
      <c r="L473" s="79" t="s">
        <v>6144</v>
      </c>
      <c r="M473" s="83" t="s">
        <v>6145</v>
      </c>
      <c r="N473" s="78">
        <v>33982.0</v>
      </c>
      <c r="O473" s="80" t="s">
        <v>41</v>
      </c>
      <c r="P473" s="70">
        <v>1004.0</v>
      </c>
      <c r="Q473" s="54"/>
      <c r="R473" s="84"/>
      <c r="S473" s="84"/>
      <c r="T473" s="54"/>
      <c r="U473" s="86"/>
      <c r="V473" s="54"/>
      <c r="W473" s="86"/>
      <c r="X473" s="54"/>
      <c r="Y473" s="78"/>
      <c r="Z473" s="54"/>
      <c r="AA473" s="70"/>
      <c r="AB473" s="83"/>
      <c r="AC473" s="83"/>
      <c r="AD473" s="83"/>
      <c r="AE473" s="83"/>
      <c r="AF473" s="83" t="s">
        <v>2284</v>
      </c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54" t="s">
        <v>6146</v>
      </c>
      <c r="AR473" s="83" t="s">
        <v>6147</v>
      </c>
      <c r="AS473" s="83" t="s">
        <v>6148</v>
      </c>
      <c r="AT473" s="93" t="s">
        <v>6143</v>
      </c>
      <c r="AU473" s="93" t="s">
        <v>6143</v>
      </c>
      <c r="AV473" s="93" t="s">
        <v>6143</v>
      </c>
      <c r="AW473" s="83" t="s">
        <v>6149</v>
      </c>
      <c r="AX473" s="83">
        <v>4.0</v>
      </c>
      <c r="AY473" s="83">
        <v>402.0</v>
      </c>
      <c r="AZ473" s="83" t="s">
        <v>6150</v>
      </c>
      <c r="BA473" s="83" t="s">
        <v>6151</v>
      </c>
      <c r="BB473" s="83" t="s">
        <v>6152</v>
      </c>
      <c r="BC473" s="54" t="s">
        <v>41</v>
      </c>
      <c r="BD473" s="54" t="str">
        <f t="shared" si="1"/>
        <v>Chorrillos</v>
      </c>
      <c r="BE473" s="67" t="s">
        <v>143</v>
      </c>
      <c r="BF473" s="67" t="s">
        <v>141</v>
      </c>
      <c r="BG473" s="67" t="s">
        <v>142</v>
      </c>
      <c r="BH473" s="67"/>
      <c r="BI473" s="67"/>
      <c r="BJ473" s="67"/>
      <c r="BK473" s="67"/>
      <c r="BL473" s="67" t="s">
        <v>147</v>
      </c>
      <c r="BM473" s="67" t="s">
        <v>146</v>
      </c>
      <c r="BN473" s="100">
        <v>89.0</v>
      </c>
      <c r="BO473" s="102" t="s">
        <v>148</v>
      </c>
      <c r="BP473" s="67" t="s">
        <v>141</v>
      </c>
      <c r="BQ473" s="79" t="s">
        <v>141</v>
      </c>
      <c r="BR473" s="67" t="s">
        <v>149</v>
      </c>
      <c r="BS473" s="102" t="s">
        <v>149</v>
      </c>
      <c r="BT473" s="106"/>
      <c r="BU473" s="107"/>
      <c r="BV473" s="108">
        <f t="shared" si="2"/>
        <v>46241</v>
      </c>
      <c r="BW473" s="108">
        <f t="shared" si="16"/>
        <v>46242</v>
      </c>
      <c r="BX473" s="102" t="str">
        <f t="shared" si="15"/>
        <v>09</v>
      </c>
      <c r="BY473" s="107">
        <f t="shared" si="5"/>
        <v>3</v>
      </c>
      <c r="BZ473" s="107">
        <f t="array" ref="BZ473">IF($A473&lt;&gt;"",INDEX(LISTA!$M$2:$N$27,MATCH($BC473,LISTA!$N$2:$N$27,0),1),"")</f>
        <v>1</v>
      </c>
      <c r="CA473" s="67">
        <f t="shared" si="6"/>
        <v>8</v>
      </c>
      <c r="CB473" s="114" t="str">
        <f t="shared" si="7"/>
        <v/>
      </c>
      <c r="CC473" s="114"/>
    </row>
    <row r="474" ht="15.0" customHeight="1">
      <c r="A474" s="59">
        <v>46253.79024076389</v>
      </c>
      <c r="B474" s="62" t="s">
        <v>410</v>
      </c>
      <c r="C474" s="54" t="s">
        <v>100</v>
      </c>
      <c r="D474" s="56" t="s">
        <v>319</v>
      </c>
      <c r="E474" s="69">
        <v>46254.375</v>
      </c>
      <c r="F474" s="162" t="s">
        <v>5345</v>
      </c>
      <c r="G474" s="60" t="s">
        <v>6153</v>
      </c>
      <c r="H474" s="60" t="s">
        <v>6154</v>
      </c>
      <c r="I474" s="67" t="s">
        <v>405</v>
      </c>
      <c r="J474" s="79" t="s">
        <v>6155</v>
      </c>
      <c r="K474" s="67" t="s">
        <v>109</v>
      </c>
      <c r="L474" s="79" t="s">
        <v>6156</v>
      </c>
      <c r="M474" s="83" t="s">
        <v>6157</v>
      </c>
      <c r="N474" s="78">
        <v>33193.0</v>
      </c>
      <c r="O474" s="80" t="s">
        <v>39</v>
      </c>
      <c r="P474" s="156" t="s">
        <v>1154</v>
      </c>
      <c r="Q474" s="54"/>
      <c r="R474" s="84" t="s">
        <v>1284</v>
      </c>
      <c r="S474" s="84"/>
      <c r="T474" s="54"/>
      <c r="U474" s="86"/>
      <c r="V474" s="54"/>
      <c r="W474" s="86"/>
      <c r="X474" s="54"/>
      <c r="Y474" s="78"/>
      <c r="Z474" s="54"/>
      <c r="AA474" s="70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54" t="s">
        <v>1072</v>
      </c>
      <c r="AR474" s="83" t="s">
        <v>310</v>
      </c>
      <c r="AS474" s="83" t="s">
        <v>6158</v>
      </c>
      <c r="AT474" s="93" t="s">
        <v>6159</v>
      </c>
      <c r="AU474" s="93" t="s">
        <v>6159</v>
      </c>
      <c r="AV474" s="93" t="s">
        <v>6159</v>
      </c>
      <c r="AW474" s="83" t="s">
        <v>6160</v>
      </c>
      <c r="AX474" s="83">
        <v>1.0</v>
      </c>
      <c r="AY474" s="83" t="s">
        <v>2519</v>
      </c>
      <c r="AZ474" s="83" t="s">
        <v>6161</v>
      </c>
      <c r="BA474" s="83" t="s">
        <v>6162</v>
      </c>
      <c r="BB474" s="83" t="s">
        <v>1407</v>
      </c>
      <c r="BC474" s="54" t="s">
        <v>24</v>
      </c>
      <c r="BD474" s="54" t="str">
        <f t="shared" si="1"/>
        <v>Santa</v>
      </c>
      <c r="BE474" s="67" t="s">
        <v>140</v>
      </c>
      <c r="BF474" s="67" t="s">
        <v>141</v>
      </c>
      <c r="BG474" s="67" t="s">
        <v>142</v>
      </c>
      <c r="BH474" s="67"/>
      <c r="BI474" s="67"/>
      <c r="BJ474" s="67"/>
      <c r="BK474" s="67"/>
      <c r="BL474" s="67" t="s">
        <v>145</v>
      </c>
      <c r="BM474" s="67" t="s">
        <v>146</v>
      </c>
      <c r="BN474" s="100">
        <v>170.0</v>
      </c>
      <c r="BO474" s="102" t="s">
        <v>148</v>
      </c>
      <c r="BP474" s="67" t="s">
        <v>144</v>
      </c>
      <c r="BQ474" s="79" t="s">
        <v>141</v>
      </c>
      <c r="BR474" s="67">
        <v>2.0</v>
      </c>
      <c r="BS474" s="102">
        <v>1.0</v>
      </c>
      <c r="BT474" s="106"/>
      <c r="BU474" s="107"/>
      <c r="BV474" s="108">
        <f t="shared" si="2"/>
        <v>46253</v>
      </c>
      <c r="BW474" s="108">
        <f t="shared" si="16"/>
        <v>46254</v>
      </c>
      <c r="BX474" s="102" t="str">
        <f t="shared" si="15"/>
        <v>09</v>
      </c>
      <c r="BY474" s="107">
        <f t="shared" si="5"/>
        <v>3</v>
      </c>
      <c r="BZ474" s="107">
        <f t="array" ref="BZ474">IF($A474&lt;&gt;"",INDEX(LISTA!$M$2:$N$27,MATCH($BC474,LISTA!$N$2:$N$27,0),1),"")</f>
        <v>5</v>
      </c>
      <c r="CA474" s="67">
        <f t="shared" si="6"/>
        <v>8</v>
      </c>
      <c r="CB474" s="114" t="str">
        <f t="shared" si="7"/>
        <v/>
      </c>
      <c r="CC474" s="114"/>
    </row>
    <row r="475" ht="15.0" customHeight="1">
      <c r="A475" s="59">
        <v>46251.475266180554</v>
      </c>
      <c r="B475" s="62" t="s">
        <v>410</v>
      </c>
      <c r="C475" s="54" t="s">
        <v>100</v>
      </c>
      <c r="D475" s="56" t="s">
        <v>319</v>
      </c>
      <c r="E475" s="69">
        <v>46252.375</v>
      </c>
      <c r="F475" s="162" t="s">
        <v>5345</v>
      </c>
      <c r="G475" s="60" t="s">
        <v>6163</v>
      </c>
      <c r="H475" s="60" t="s">
        <v>6164</v>
      </c>
      <c r="I475" s="67" t="s">
        <v>407</v>
      </c>
      <c r="J475" s="79" t="s">
        <v>6165</v>
      </c>
      <c r="K475" s="67" t="s">
        <v>109</v>
      </c>
      <c r="L475" s="79" t="s">
        <v>6166</v>
      </c>
      <c r="M475" s="83" t="s">
        <v>6167</v>
      </c>
      <c r="N475" s="78">
        <v>35047.0</v>
      </c>
      <c r="O475" s="80" t="s">
        <v>51</v>
      </c>
      <c r="P475" s="70">
        <v>240101.0</v>
      </c>
      <c r="Q475" s="54"/>
      <c r="R475" s="84"/>
      <c r="S475" s="84"/>
      <c r="T475" s="54"/>
      <c r="U475" s="86"/>
      <c r="V475" s="54"/>
      <c r="W475" s="86"/>
      <c r="X475" s="54"/>
      <c r="Y475" s="78"/>
      <c r="Z475" s="54"/>
      <c r="AA475" s="70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 t="s">
        <v>1207</v>
      </c>
      <c r="AP475" s="83"/>
      <c r="AQ475" s="54" t="s">
        <v>6168</v>
      </c>
      <c r="AR475" s="83" t="s">
        <v>6169</v>
      </c>
      <c r="AS475" s="83" t="s">
        <v>6170</v>
      </c>
      <c r="AT475" s="93" t="s">
        <v>6165</v>
      </c>
      <c r="AU475" s="93" t="s">
        <v>6171</v>
      </c>
      <c r="AV475" s="93" t="s">
        <v>6165</v>
      </c>
      <c r="AW475" s="83" t="s">
        <v>6172</v>
      </c>
      <c r="AX475" s="83">
        <v>1.0</v>
      </c>
      <c r="AY475" s="83">
        <v>0.0</v>
      </c>
      <c r="AZ475" s="83" t="s">
        <v>6173</v>
      </c>
      <c r="BA475" s="83" t="s">
        <v>6174</v>
      </c>
      <c r="BB475" s="83" t="s">
        <v>6175</v>
      </c>
      <c r="BC475" s="54" t="s">
        <v>51</v>
      </c>
      <c r="BD475" s="54" t="str">
        <f t="shared" si="1"/>
        <v>Tumbes</v>
      </c>
      <c r="BE475" s="67" t="s">
        <v>140</v>
      </c>
      <c r="BF475" s="67" t="s">
        <v>141</v>
      </c>
      <c r="BG475" s="67" t="s">
        <v>142</v>
      </c>
      <c r="BH475" s="67"/>
      <c r="BI475" s="67"/>
      <c r="BJ475" s="67"/>
      <c r="BK475" s="67"/>
      <c r="BL475" s="67" t="s">
        <v>145</v>
      </c>
      <c r="BM475" s="67" t="s">
        <v>146</v>
      </c>
      <c r="BN475" s="100">
        <v>150.0</v>
      </c>
      <c r="BO475" s="102" t="s">
        <v>615</v>
      </c>
      <c r="BP475" s="67" t="s">
        <v>144</v>
      </c>
      <c r="BQ475" s="79" t="s">
        <v>141</v>
      </c>
      <c r="BR475" s="67">
        <v>2.0</v>
      </c>
      <c r="BS475" s="102" t="s">
        <v>149</v>
      </c>
      <c r="BT475" s="106"/>
      <c r="BU475" s="107"/>
      <c r="BV475" s="108">
        <f t="shared" si="2"/>
        <v>46251</v>
      </c>
      <c r="BW475" s="108">
        <f t="shared" si="16"/>
        <v>46252</v>
      </c>
      <c r="BX475" s="102" t="str">
        <f t="shared" si="15"/>
        <v>09</v>
      </c>
      <c r="BY475" s="107">
        <f t="shared" si="5"/>
        <v>3</v>
      </c>
      <c r="BZ475" s="107">
        <f t="array" ref="BZ475">IF($A475&lt;&gt;"",INDEX(LISTA!$M$2:$N$27,MATCH($BC475,LISTA!$N$2:$N$27,0),1),"")</f>
        <v>25</v>
      </c>
      <c r="CA475" s="67">
        <f t="shared" si="6"/>
        <v>8</v>
      </c>
      <c r="CB475" s="114" t="str">
        <f t="shared" si="7"/>
        <v/>
      </c>
      <c r="CC475" s="114"/>
    </row>
    <row r="476" ht="15.0" customHeight="1">
      <c r="A476" s="59">
        <v>46246.49264633102</v>
      </c>
      <c r="B476" s="62" t="s">
        <v>410</v>
      </c>
      <c r="C476" s="54" t="s">
        <v>100</v>
      </c>
      <c r="D476" s="56" t="s">
        <v>319</v>
      </c>
      <c r="E476" s="69">
        <v>46251.583333333336</v>
      </c>
      <c r="F476" s="162" t="s">
        <v>6176</v>
      </c>
      <c r="G476" s="60" t="s">
        <v>6177</v>
      </c>
      <c r="H476" s="60" t="s">
        <v>6178</v>
      </c>
      <c r="I476" s="67" t="s">
        <v>384</v>
      </c>
      <c r="J476" s="79" t="s">
        <v>6179</v>
      </c>
      <c r="K476" s="67" t="s">
        <v>109</v>
      </c>
      <c r="L476" s="79" t="s">
        <v>6180</v>
      </c>
      <c r="M476" s="83" t="s">
        <v>6181</v>
      </c>
      <c r="N476" s="78">
        <v>30039.0</v>
      </c>
      <c r="O476" s="80" t="s">
        <v>24</v>
      </c>
      <c r="P476" s="156" t="s">
        <v>6182</v>
      </c>
      <c r="Q476" s="54"/>
      <c r="R476" s="84" t="s">
        <v>6183</v>
      </c>
      <c r="S476" s="84"/>
      <c r="T476" s="54"/>
      <c r="U476" s="86"/>
      <c r="V476" s="54"/>
      <c r="W476" s="86"/>
      <c r="X476" s="54"/>
      <c r="Y476" s="78"/>
      <c r="Z476" s="54"/>
      <c r="AA476" s="70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54" t="s">
        <v>6168</v>
      </c>
      <c r="AR476" s="83" t="s">
        <v>2723</v>
      </c>
      <c r="AS476" s="83" t="s">
        <v>6184</v>
      </c>
      <c r="AT476" s="93" t="s">
        <v>6179</v>
      </c>
      <c r="AU476" s="93" t="s">
        <v>6179</v>
      </c>
      <c r="AV476" s="93" t="s">
        <v>6179</v>
      </c>
      <c r="AW476" s="83" t="s">
        <v>6185</v>
      </c>
      <c r="AX476" s="83">
        <v>1.0</v>
      </c>
      <c r="AY476" s="83" t="s">
        <v>2519</v>
      </c>
      <c r="AZ476" s="83" t="s">
        <v>6186</v>
      </c>
      <c r="BA476" s="83" t="s">
        <v>2519</v>
      </c>
      <c r="BB476" s="83" t="s">
        <v>6187</v>
      </c>
      <c r="BC476" s="54" t="s">
        <v>24</v>
      </c>
      <c r="BD476" s="54" t="str">
        <f t="shared" si="1"/>
        <v>Casma</v>
      </c>
      <c r="BE476" s="67" t="s">
        <v>140</v>
      </c>
      <c r="BF476" s="67" t="s">
        <v>144</v>
      </c>
      <c r="BG476" s="67" t="s">
        <v>142</v>
      </c>
      <c r="BH476" s="67"/>
      <c r="BI476" s="67"/>
      <c r="BJ476" s="67"/>
      <c r="BK476" s="67"/>
      <c r="BL476" s="67" t="s">
        <v>145</v>
      </c>
      <c r="BM476" s="67" t="s">
        <v>146</v>
      </c>
      <c r="BN476" s="100">
        <v>150.0</v>
      </c>
      <c r="BO476" s="102" t="s">
        <v>615</v>
      </c>
      <c r="BP476" s="67" t="s">
        <v>144</v>
      </c>
      <c r="BQ476" s="79" t="s">
        <v>141</v>
      </c>
      <c r="BR476" s="67">
        <v>2.0</v>
      </c>
      <c r="BS476" s="102" t="s">
        <v>149</v>
      </c>
      <c r="BT476" s="106"/>
      <c r="BU476" s="107"/>
      <c r="BV476" s="108">
        <f t="shared" si="2"/>
        <v>46246</v>
      </c>
      <c r="BW476" s="108">
        <f t="shared" si="16"/>
        <v>46251</v>
      </c>
      <c r="BX476" s="102" t="str">
        <f t="shared" si="15"/>
        <v>14</v>
      </c>
      <c r="BY476" s="107">
        <f t="shared" si="5"/>
        <v>3</v>
      </c>
      <c r="BZ476" s="107">
        <f t="array" ref="BZ476">IF($A476&lt;&gt;"",INDEX(LISTA!$M$2:$N$27,MATCH($BC476,LISTA!$N$2:$N$27,0),1),"")</f>
        <v>5</v>
      </c>
      <c r="CA476" s="67">
        <f t="shared" si="6"/>
        <v>8</v>
      </c>
      <c r="CB476" s="114" t="str">
        <f t="shared" si="7"/>
        <v/>
      </c>
      <c r="CC476" s="114"/>
    </row>
    <row r="477" ht="15.0" customHeight="1">
      <c r="A477" s="59">
        <v>46242.632336712966</v>
      </c>
      <c r="B477" s="115" t="s">
        <v>410</v>
      </c>
      <c r="C477" s="54" t="s">
        <v>100</v>
      </c>
      <c r="D477" s="56" t="s">
        <v>319</v>
      </c>
      <c r="E477" s="69">
        <v>46245.375</v>
      </c>
      <c r="F477" s="162" t="s">
        <v>5345</v>
      </c>
      <c r="G477" s="60" t="s">
        <v>6188</v>
      </c>
      <c r="H477" s="60" t="s">
        <v>6189</v>
      </c>
      <c r="I477" s="67" t="s">
        <v>107</v>
      </c>
      <c r="J477" s="79" t="s">
        <v>6190</v>
      </c>
      <c r="K477" s="67" t="s">
        <v>109</v>
      </c>
      <c r="L477" s="79" t="s">
        <v>6191</v>
      </c>
      <c r="M477" s="83" t="s">
        <v>6192</v>
      </c>
      <c r="N477" s="78">
        <v>22511.0</v>
      </c>
      <c r="O477" s="80" t="s">
        <v>29</v>
      </c>
      <c r="P477" s="156" t="s">
        <v>4641</v>
      </c>
      <c r="Q477" s="54"/>
      <c r="R477" s="84"/>
      <c r="S477" s="84"/>
      <c r="T477" s="54"/>
      <c r="U477" s="86"/>
      <c r="V477" s="54" t="s">
        <v>4236</v>
      </c>
      <c r="W477" s="86"/>
      <c r="X477" s="54"/>
      <c r="Y477" s="78"/>
      <c r="Z477" s="54"/>
      <c r="AA477" s="70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54" t="s">
        <v>6168</v>
      </c>
      <c r="AR477" s="83" t="s">
        <v>6193</v>
      </c>
      <c r="AS477" s="83" t="s">
        <v>6194</v>
      </c>
      <c r="AT477" s="93" t="s">
        <v>6190</v>
      </c>
      <c r="AU477" s="93" t="s">
        <v>6190</v>
      </c>
      <c r="AV477" s="93" t="s">
        <v>6190</v>
      </c>
      <c r="AW477" s="83" t="s">
        <v>6195</v>
      </c>
      <c r="AX477" s="83">
        <v>3.0</v>
      </c>
      <c r="AY477" s="83">
        <v>1.0</v>
      </c>
      <c r="AZ477" s="83" t="s">
        <v>6196</v>
      </c>
      <c r="BA477" s="83" t="s">
        <v>6197</v>
      </c>
      <c r="BB477" s="83" t="s">
        <v>6198</v>
      </c>
      <c r="BC477" s="54" t="s">
        <v>29</v>
      </c>
      <c r="BD477" s="54" t="str">
        <f t="shared" si="1"/>
        <v>Jaén</v>
      </c>
      <c r="BE477" s="67" t="s">
        <v>140</v>
      </c>
      <c r="BF477" s="67" t="s">
        <v>141</v>
      </c>
      <c r="BG477" s="67" t="s">
        <v>142</v>
      </c>
      <c r="BH477" s="67"/>
      <c r="BI477" s="67"/>
      <c r="BJ477" s="67"/>
      <c r="BK477" s="67"/>
      <c r="BL477" s="67" t="s">
        <v>147</v>
      </c>
      <c r="BM477" s="67" t="s">
        <v>146</v>
      </c>
      <c r="BN477" s="100">
        <v>89.0</v>
      </c>
      <c r="BO477" s="102" t="s">
        <v>148</v>
      </c>
      <c r="BP477" s="67" t="s">
        <v>141</v>
      </c>
      <c r="BQ477" s="79" t="s">
        <v>141</v>
      </c>
      <c r="BR477" s="67" t="s">
        <v>149</v>
      </c>
      <c r="BS477" s="102">
        <v>1.0</v>
      </c>
      <c r="BT477" s="106"/>
      <c r="BU477" s="107"/>
      <c r="BV477" s="108">
        <f t="shared" si="2"/>
        <v>46242</v>
      </c>
      <c r="BW477" s="108">
        <f t="shared" si="16"/>
        <v>46245</v>
      </c>
      <c r="BX477" s="102" t="str">
        <f t="shared" si="15"/>
        <v>09</v>
      </c>
      <c r="BY477" s="107">
        <f t="shared" si="5"/>
        <v>3</v>
      </c>
      <c r="BZ477" s="107">
        <f t="array" ref="BZ477">IF($A477&lt;&gt;"",INDEX(LISTA!$M$2:$N$27,MATCH($BC477,LISTA!$N$2:$N$27,0),1),"")</f>
        <v>9</v>
      </c>
      <c r="CA477" s="67">
        <f t="shared" si="6"/>
        <v>8</v>
      </c>
      <c r="CB477" s="114" t="str">
        <f t="shared" si="7"/>
        <v/>
      </c>
      <c r="CC477" s="114"/>
    </row>
    <row r="478" ht="15.0" customHeight="1">
      <c r="A478" s="59">
        <v>46235.484618622686</v>
      </c>
      <c r="B478" s="115" t="s">
        <v>410</v>
      </c>
      <c r="C478" s="54" t="s">
        <v>100</v>
      </c>
      <c r="D478" s="56" t="s">
        <v>319</v>
      </c>
      <c r="E478" s="69">
        <v>46239.375</v>
      </c>
      <c r="F478" s="162" t="s">
        <v>5345</v>
      </c>
      <c r="G478" s="60" t="s">
        <v>6199</v>
      </c>
      <c r="H478" s="60" t="s">
        <v>6200</v>
      </c>
      <c r="I478" s="67" t="s">
        <v>293</v>
      </c>
      <c r="J478" s="79" t="s">
        <v>6201</v>
      </c>
      <c r="K478" s="67" t="s">
        <v>109</v>
      </c>
      <c r="L478" s="79" t="s">
        <v>6202</v>
      </c>
      <c r="M478" s="83" t="s">
        <v>6203</v>
      </c>
      <c r="N478" s="78">
        <v>26908.0</v>
      </c>
      <c r="O478" s="80" t="s">
        <v>27</v>
      </c>
      <c r="P478" s="156" t="s">
        <v>2760</v>
      </c>
      <c r="Q478" s="54"/>
      <c r="R478" s="84"/>
      <c r="S478" s="84"/>
      <c r="T478" s="54" t="s">
        <v>6204</v>
      </c>
      <c r="U478" s="86"/>
      <c r="V478" s="54"/>
      <c r="W478" s="86"/>
      <c r="X478" s="54"/>
      <c r="Y478" s="78"/>
      <c r="Z478" s="54"/>
      <c r="AA478" s="70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54" t="s">
        <v>6205</v>
      </c>
      <c r="AR478" s="83" t="s">
        <v>2656</v>
      </c>
      <c r="AS478" s="83" t="s">
        <v>6206</v>
      </c>
      <c r="AT478" s="93" t="s">
        <v>6201</v>
      </c>
      <c r="AU478" s="93" t="s">
        <v>6201</v>
      </c>
      <c r="AV478" s="93" t="s">
        <v>6201</v>
      </c>
      <c r="AW478" s="83" t="s">
        <v>6207</v>
      </c>
      <c r="AX478" s="83">
        <v>2.0</v>
      </c>
      <c r="AY478" s="83">
        <v>0.0</v>
      </c>
      <c r="AZ478" s="83" t="s">
        <v>6208</v>
      </c>
      <c r="BA478" s="83" t="s">
        <v>6209</v>
      </c>
      <c r="BB478" s="83" t="s">
        <v>6210</v>
      </c>
      <c r="BC478" s="54" t="s">
        <v>27</v>
      </c>
      <c r="BD478" s="54" t="str">
        <f t="shared" si="1"/>
        <v>Islay</v>
      </c>
      <c r="BE478" s="67" t="s">
        <v>140</v>
      </c>
      <c r="BF478" s="67" t="s">
        <v>144</v>
      </c>
      <c r="BG478" s="67" t="s">
        <v>142</v>
      </c>
      <c r="BH478" s="67"/>
      <c r="BI478" s="67"/>
      <c r="BJ478" s="67"/>
      <c r="BK478" s="67"/>
      <c r="BL478" s="67" t="s">
        <v>145</v>
      </c>
      <c r="BM478" s="67" t="s">
        <v>146</v>
      </c>
      <c r="BN478" s="100">
        <v>150.0</v>
      </c>
      <c r="BO478" s="102" t="s">
        <v>148</v>
      </c>
      <c r="BP478" s="67" t="s">
        <v>144</v>
      </c>
      <c r="BQ478" s="79" t="s">
        <v>141</v>
      </c>
      <c r="BR478" s="67">
        <v>2.0</v>
      </c>
      <c r="BS478" s="102" t="s">
        <v>149</v>
      </c>
      <c r="BT478" s="106"/>
      <c r="BU478" s="107"/>
      <c r="BV478" s="108">
        <f t="shared" si="2"/>
        <v>46235</v>
      </c>
      <c r="BW478" s="108">
        <f t="shared" si="16"/>
        <v>46239</v>
      </c>
      <c r="BX478" s="102" t="str">
        <f t="shared" si="15"/>
        <v>09</v>
      </c>
      <c r="BY478" s="107">
        <f t="shared" si="5"/>
        <v>3</v>
      </c>
      <c r="BZ478" s="107">
        <f t="array" ref="BZ478">IF($A478&lt;&gt;"",INDEX(LISTA!$M$2:$N$27,MATCH($BC478,LISTA!$N$2:$N$27,0),1),"")</f>
        <v>7</v>
      </c>
      <c r="CA478" s="67">
        <f t="shared" si="6"/>
        <v>8</v>
      </c>
      <c r="CB478" s="114" t="str">
        <f t="shared" si="7"/>
        <v/>
      </c>
      <c r="CC478" s="114"/>
    </row>
    <row r="479" ht="15.0" customHeight="1">
      <c r="A479" s="59">
        <v>46256.60078700232</v>
      </c>
      <c r="B479" s="62" t="s">
        <v>414</v>
      </c>
      <c r="C479" s="54" t="s">
        <v>100</v>
      </c>
      <c r="D479" s="56" t="s">
        <v>319</v>
      </c>
      <c r="E479" s="69">
        <v>46258.583333333336</v>
      </c>
      <c r="F479" s="162"/>
      <c r="G479" s="60" t="s">
        <v>6211</v>
      </c>
      <c r="H479" s="60" t="s">
        <v>6212</v>
      </c>
      <c r="I479" s="67" t="s">
        <v>350</v>
      </c>
      <c r="J479" s="79" t="s">
        <v>6213</v>
      </c>
      <c r="K479" s="67" t="s">
        <v>109</v>
      </c>
      <c r="L479" s="79" t="s">
        <v>6214</v>
      </c>
      <c r="M479" s="83" t="s">
        <v>6215</v>
      </c>
      <c r="N479" s="78">
        <v>30253.0</v>
      </c>
      <c r="O479" s="80" t="s">
        <v>41</v>
      </c>
      <c r="P479" s="70">
        <v>150121.0</v>
      </c>
      <c r="Q479" s="54"/>
      <c r="R479" s="84"/>
      <c r="S479" s="84"/>
      <c r="T479" s="54"/>
      <c r="U479" s="86"/>
      <c r="V479" s="54"/>
      <c r="W479" s="86"/>
      <c r="X479" s="54"/>
      <c r="Y479" s="78"/>
      <c r="Z479" s="54"/>
      <c r="AA479" s="70"/>
      <c r="AB479" s="83"/>
      <c r="AC479" s="83"/>
      <c r="AD479" s="83"/>
      <c r="AE479" s="83"/>
      <c r="AF479" s="83" t="s">
        <v>2197</v>
      </c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54" t="s">
        <v>2173</v>
      </c>
      <c r="AR479" s="83" t="s">
        <v>6216</v>
      </c>
      <c r="AS479" s="83" t="s">
        <v>6217</v>
      </c>
      <c r="AT479" s="93" t="s">
        <v>6213</v>
      </c>
      <c r="AU479" s="93" t="s">
        <v>6213</v>
      </c>
      <c r="AV479" s="93" t="s">
        <v>6213</v>
      </c>
      <c r="AW479" s="83" t="s">
        <v>6218</v>
      </c>
      <c r="AX479" s="83">
        <v>3.0</v>
      </c>
      <c r="AY479" s="83">
        <v>0.0</v>
      </c>
      <c r="AZ479" s="83" t="s">
        <v>6219</v>
      </c>
      <c r="BA479" s="83" t="s">
        <v>6220</v>
      </c>
      <c r="BB479" s="83" t="s">
        <v>6221</v>
      </c>
      <c r="BC479" s="54" t="s">
        <v>41</v>
      </c>
      <c r="BD479" s="70" t="str">
        <f t="shared" si="1"/>
        <v>El Agustino</v>
      </c>
      <c r="BE479" s="67" t="s">
        <v>140</v>
      </c>
      <c r="BF479" s="67" t="s">
        <v>141</v>
      </c>
      <c r="BG479" s="67" t="s">
        <v>142</v>
      </c>
      <c r="BH479" s="67"/>
      <c r="BI479" s="67"/>
      <c r="BJ479" s="67"/>
      <c r="BK479" s="67"/>
      <c r="BL479" s="67" t="s">
        <v>145</v>
      </c>
      <c r="BM479" s="67" t="s">
        <v>146</v>
      </c>
      <c r="BN479" s="100">
        <v>170.0</v>
      </c>
      <c r="BO479" s="102" t="s">
        <v>148</v>
      </c>
      <c r="BP479" s="67" t="s">
        <v>144</v>
      </c>
      <c r="BQ479" s="79" t="s">
        <v>141</v>
      </c>
      <c r="BR479" s="67">
        <v>2.0</v>
      </c>
      <c r="BS479" s="102">
        <v>2.0</v>
      </c>
      <c r="BT479" s="106"/>
      <c r="BU479" s="107"/>
      <c r="BV479" s="108">
        <f t="shared" si="2"/>
        <v>46256</v>
      </c>
      <c r="BW479" s="108">
        <f t="shared" si="16"/>
        <v>46258</v>
      </c>
      <c r="BX479" s="102" t="str">
        <f t="shared" si="15"/>
        <v>14</v>
      </c>
      <c r="BY479" s="107">
        <f t="shared" si="5"/>
        <v>3</v>
      </c>
      <c r="BZ479" s="107">
        <f t="array" ref="BZ479">IF($A479&lt;&gt;"",INDEX(LISTA!$M$2:$N$27,MATCH($BC479,LISTA!$N$2:$N$27,0),1),"")</f>
        <v>1</v>
      </c>
      <c r="CA479" s="67">
        <f t="shared" si="6"/>
        <v>8</v>
      </c>
      <c r="CB479" s="114" t="str">
        <f t="shared" si="7"/>
        <v/>
      </c>
      <c r="CC479" s="114"/>
    </row>
    <row r="480" ht="15.0" customHeight="1">
      <c r="A480" s="59">
        <v>46242.625624189815</v>
      </c>
      <c r="B480" s="115" t="s">
        <v>375</v>
      </c>
      <c r="C480" s="54" t="s">
        <v>100</v>
      </c>
      <c r="D480" s="56" t="s">
        <v>319</v>
      </c>
      <c r="E480" s="69">
        <v>46244.583333333336</v>
      </c>
      <c r="F480" s="162" t="s">
        <v>6222</v>
      </c>
      <c r="G480" s="60" t="s">
        <v>6223</v>
      </c>
      <c r="H480" s="60" t="s">
        <v>6224</v>
      </c>
      <c r="I480" s="67" t="s">
        <v>374</v>
      </c>
      <c r="J480" s="79" t="s">
        <v>6225</v>
      </c>
      <c r="K480" s="67" t="s">
        <v>109</v>
      </c>
      <c r="L480" s="79" t="s">
        <v>6226</v>
      </c>
      <c r="M480" s="83" t="s">
        <v>6139</v>
      </c>
      <c r="N480" s="78">
        <v>13956.0</v>
      </c>
      <c r="O480" s="80" t="s">
        <v>32</v>
      </c>
      <c r="P480" s="156" t="s">
        <v>6227</v>
      </c>
      <c r="Q480" s="54"/>
      <c r="R480" s="84"/>
      <c r="S480" s="84"/>
      <c r="T480" s="54"/>
      <c r="U480" s="86"/>
      <c r="V480" s="54"/>
      <c r="W480" s="86"/>
      <c r="X480" s="54"/>
      <c r="Y480" s="78"/>
      <c r="Z480" s="54"/>
      <c r="AA480" s="70"/>
      <c r="AB480" s="83" t="s">
        <v>766</v>
      </c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54" t="s">
        <v>6228</v>
      </c>
      <c r="AR480" s="83" t="s">
        <v>6229</v>
      </c>
      <c r="AS480" s="83" t="s">
        <v>6230</v>
      </c>
      <c r="AT480" s="93" t="s">
        <v>6226</v>
      </c>
      <c r="AU480" s="93" t="s">
        <v>6226</v>
      </c>
      <c r="AV480" s="93" t="s">
        <v>6226</v>
      </c>
      <c r="AW480" s="83" t="s">
        <v>6231</v>
      </c>
      <c r="AX480" s="83">
        <v>1.0</v>
      </c>
      <c r="AY480" s="83">
        <v>1.0</v>
      </c>
      <c r="AZ480" s="83" t="s">
        <v>6232</v>
      </c>
      <c r="BA480" s="83" t="s">
        <v>1767</v>
      </c>
      <c r="BB480" s="83" t="s">
        <v>6233</v>
      </c>
      <c r="BC480" s="54" t="s">
        <v>36</v>
      </c>
      <c r="BD480" s="54" t="str">
        <f t="shared" si="1"/>
        <v>Huancayo</v>
      </c>
      <c r="BE480" s="67" t="s">
        <v>140</v>
      </c>
      <c r="BF480" s="67" t="s">
        <v>141</v>
      </c>
      <c r="BG480" s="67" t="s">
        <v>142</v>
      </c>
      <c r="BH480" s="67"/>
      <c r="BI480" s="67"/>
      <c r="BJ480" s="67"/>
      <c r="BK480" s="67"/>
      <c r="BL480" s="67" t="s">
        <v>145</v>
      </c>
      <c r="BM480" s="67" t="s">
        <v>146</v>
      </c>
      <c r="BN480" s="100">
        <v>150.0</v>
      </c>
      <c r="BO480" s="102" t="s">
        <v>615</v>
      </c>
      <c r="BP480" s="67" t="s">
        <v>141</v>
      </c>
      <c r="BQ480" s="79" t="s">
        <v>141</v>
      </c>
      <c r="BR480" s="67">
        <v>2.0</v>
      </c>
      <c r="BS480" s="102" t="s">
        <v>149</v>
      </c>
      <c r="BT480" s="106"/>
      <c r="BU480" s="107"/>
      <c r="BV480" s="108">
        <f t="shared" si="2"/>
        <v>46242</v>
      </c>
      <c r="BW480" s="108">
        <f t="shared" si="16"/>
        <v>46244</v>
      </c>
      <c r="BX480" s="102" t="str">
        <f t="shared" si="15"/>
        <v>14</v>
      </c>
      <c r="BY480" s="107">
        <f t="shared" si="5"/>
        <v>2</v>
      </c>
      <c r="BZ480" s="107">
        <f t="array" ref="BZ480">IF($A480&lt;&gt;"",INDEX(LISTA!$M$2:$N$27,MATCH($BC480,LISTA!$N$2:$N$27,0),1),"")</f>
        <v>14</v>
      </c>
      <c r="CA480" s="67">
        <f t="shared" si="6"/>
        <v>8</v>
      </c>
      <c r="CB480" s="114" t="str">
        <f t="shared" si="7"/>
        <v/>
      </c>
      <c r="CC480" s="114"/>
    </row>
    <row r="481" ht="15.0" customHeight="1">
      <c r="A481" s="59">
        <v>46244.45045803241</v>
      </c>
      <c r="B481" s="62" t="s">
        <v>379</v>
      </c>
      <c r="C481" s="54" t="s">
        <v>100</v>
      </c>
      <c r="D481" s="56" t="s">
        <v>319</v>
      </c>
      <c r="E481" s="69">
        <v>46245.583333333336</v>
      </c>
      <c r="F481" s="162"/>
      <c r="G481" s="60" t="s">
        <v>6234</v>
      </c>
      <c r="H481" s="60" t="s">
        <v>6235</v>
      </c>
      <c r="I481" s="67" t="s">
        <v>386</v>
      </c>
      <c r="J481" s="79" t="s">
        <v>6236</v>
      </c>
      <c r="K481" s="67" t="s">
        <v>109</v>
      </c>
      <c r="L481" s="79" t="s">
        <v>6237</v>
      </c>
      <c r="M481" s="83" t="s">
        <v>6238</v>
      </c>
      <c r="N481" s="78">
        <v>24217.0</v>
      </c>
      <c r="O481" s="80" t="s">
        <v>46</v>
      </c>
      <c r="P481" s="70">
        <v>200601.0</v>
      </c>
      <c r="Q481" s="54"/>
      <c r="R481" s="84"/>
      <c r="S481" s="84"/>
      <c r="T481" s="54"/>
      <c r="U481" s="86"/>
      <c r="V481" s="54"/>
      <c r="W481" s="86"/>
      <c r="X481" s="54"/>
      <c r="Y481" s="78"/>
      <c r="Z481" s="54"/>
      <c r="AA481" s="70"/>
      <c r="AB481" s="83"/>
      <c r="AC481" s="83"/>
      <c r="AD481" s="83" t="s">
        <v>805</v>
      </c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54" t="s">
        <v>6239</v>
      </c>
      <c r="AR481" s="83" t="s">
        <v>6240</v>
      </c>
      <c r="AS481" s="83" t="s">
        <v>6241</v>
      </c>
      <c r="AT481" s="93" t="s">
        <v>6242</v>
      </c>
      <c r="AU481" s="93" t="s">
        <v>6242</v>
      </c>
      <c r="AV481" s="93" t="s">
        <v>6242</v>
      </c>
      <c r="AW481" s="83" t="s">
        <v>6243</v>
      </c>
      <c r="AX481" s="83">
        <v>1.0</v>
      </c>
      <c r="AY481" s="83" t="s">
        <v>1657</v>
      </c>
      <c r="AZ481" s="83" t="s">
        <v>6244</v>
      </c>
      <c r="BA481" s="83" t="s">
        <v>6245</v>
      </c>
      <c r="BB481" s="83" t="s">
        <v>6246</v>
      </c>
      <c r="BC481" s="54" t="s">
        <v>40</v>
      </c>
      <c r="BD481" s="54" t="str">
        <f t="shared" si="1"/>
        <v>Chiclayo</v>
      </c>
      <c r="BE481" s="67" t="s">
        <v>143</v>
      </c>
      <c r="BF481" s="67" t="s">
        <v>141</v>
      </c>
      <c r="BG481" s="67" t="s">
        <v>142</v>
      </c>
      <c r="BH481" s="67"/>
      <c r="BI481" s="67"/>
      <c r="BJ481" s="67"/>
      <c r="BK481" s="67"/>
      <c r="BL481" s="67" t="s">
        <v>147</v>
      </c>
      <c r="BM481" s="67" t="s">
        <v>146</v>
      </c>
      <c r="BN481" s="100">
        <v>89.0</v>
      </c>
      <c r="BO481" s="102" t="s">
        <v>148</v>
      </c>
      <c r="BP481" s="67" t="s">
        <v>141</v>
      </c>
      <c r="BQ481" s="79" t="s">
        <v>141</v>
      </c>
      <c r="BR481" s="67" t="s">
        <v>149</v>
      </c>
      <c r="BS481" s="102" t="s">
        <v>149</v>
      </c>
      <c r="BT481" s="106"/>
      <c r="BU481" s="107"/>
      <c r="BV481" s="108">
        <f t="shared" si="2"/>
        <v>46244</v>
      </c>
      <c r="BW481" s="108">
        <f t="shared" si="16"/>
        <v>46245</v>
      </c>
      <c r="BX481" s="102" t="str">
        <f t="shared" si="15"/>
        <v>14</v>
      </c>
      <c r="BY481" s="107">
        <f t="shared" si="5"/>
        <v>2</v>
      </c>
      <c r="BZ481" s="107">
        <f t="array" ref="BZ481">IF($A481&lt;&gt;"",INDEX(LISTA!$M$2:$N$27,MATCH($BC481,LISTA!$N$2:$N$27,0),1),"")</f>
        <v>16</v>
      </c>
      <c r="CA481" s="67">
        <f t="shared" si="6"/>
        <v>8</v>
      </c>
      <c r="CB481" s="114" t="str">
        <f t="shared" si="7"/>
        <v/>
      </c>
      <c r="CC481" s="114"/>
    </row>
    <row r="482" ht="15.0" customHeight="1">
      <c r="A482" s="59">
        <v>46242.52097491898</v>
      </c>
      <c r="B482" s="62" t="s">
        <v>379</v>
      </c>
      <c r="C482" s="54" t="s">
        <v>100</v>
      </c>
      <c r="D482" s="56" t="s">
        <v>319</v>
      </c>
      <c r="E482" s="69">
        <v>46244.583333333336</v>
      </c>
      <c r="F482" s="162" t="s">
        <v>6247</v>
      </c>
      <c r="G482" s="60" t="s">
        <v>6248</v>
      </c>
      <c r="H482" s="60" t="s">
        <v>6249</v>
      </c>
      <c r="I482" s="67" t="s">
        <v>384</v>
      </c>
      <c r="J482" s="79" t="s">
        <v>6250</v>
      </c>
      <c r="K482" s="67" t="s">
        <v>109</v>
      </c>
      <c r="L482" s="79" t="s">
        <v>6251</v>
      </c>
      <c r="M482" s="83" t="s">
        <v>6252</v>
      </c>
      <c r="N482" s="78">
        <v>24690.0</v>
      </c>
      <c r="O482" s="80" t="s">
        <v>41</v>
      </c>
      <c r="P482" s="70">
        <v>250101.0</v>
      </c>
      <c r="Q482" s="54"/>
      <c r="R482" s="84"/>
      <c r="S482" s="84"/>
      <c r="T482" s="54"/>
      <c r="U482" s="86"/>
      <c r="V482" s="54"/>
      <c r="W482" s="86"/>
      <c r="X482" s="54"/>
      <c r="Y482" s="78"/>
      <c r="Z482" s="54"/>
      <c r="AA482" s="70"/>
      <c r="AB482" s="83"/>
      <c r="AC482" s="83"/>
      <c r="AD482" s="83"/>
      <c r="AE482" s="83"/>
      <c r="AF482" s="83" t="s">
        <v>2197</v>
      </c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54" t="s">
        <v>127</v>
      </c>
      <c r="AR482" s="83" t="s">
        <v>6253</v>
      </c>
      <c r="AS482" s="83" t="s">
        <v>6254</v>
      </c>
      <c r="AT482" s="93" t="s">
        <v>6255</v>
      </c>
      <c r="AU482" s="93" t="s">
        <v>6255</v>
      </c>
      <c r="AV482" s="93" t="s">
        <v>6255</v>
      </c>
      <c r="AW482" s="83" t="s">
        <v>6256</v>
      </c>
      <c r="AX482" s="83">
        <v>1.0</v>
      </c>
      <c r="AY482" s="83" t="s">
        <v>2519</v>
      </c>
      <c r="AZ482" s="83" t="s">
        <v>6257</v>
      </c>
      <c r="BA482" s="83" t="s">
        <v>6258</v>
      </c>
      <c r="BB482" s="83" t="s">
        <v>6259</v>
      </c>
      <c r="BC482" s="54" t="s">
        <v>41</v>
      </c>
      <c r="BD482" s="54" t="str">
        <f t="shared" si="1"/>
        <v>El Agustino</v>
      </c>
      <c r="BE482" s="67" t="s">
        <v>140</v>
      </c>
      <c r="BF482" s="67" t="s">
        <v>141</v>
      </c>
      <c r="BG482" s="67" t="s">
        <v>142</v>
      </c>
      <c r="BH482" s="67"/>
      <c r="BI482" s="67"/>
      <c r="BJ482" s="67"/>
      <c r="BK482" s="67"/>
      <c r="BL482" s="67" t="s">
        <v>145</v>
      </c>
      <c r="BM482" s="67" t="s">
        <v>146</v>
      </c>
      <c r="BN482" s="100">
        <v>150.0</v>
      </c>
      <c r="BO482" s="102" t="s">
        <v>615</v>
      </c>
      <c r="BP482" s="67" t="s">
        <v>144</v>
      </c>
      <c r="BQ482" s="79" t="s">
        <v>141</v>
      </c>
      <c r="BR482" s="67">
        <v>2.0</v>
      </c>
      <c r="BS482" s="102" t="s">
        <v>149</v>
      </c>
      <c r="BT482" s="106"/>
      <c r="BU482" s="107"/>
      <c r="BV482" s="108">
        <f t="shared" si="2"/>
        <v>46242</v>
      </c>
      <c r="BW482" s="108">
        <f t="shared" si="16"/>
        <v>46244</v>
      </c>
      <c r="BX482" s="102" t="str">
        <f t="shared" si="15"/>
        <v>14</v>
      </c>
      <c r="BY482" s="107">
        <f t="shared" si="5"/>
        <v>2</v>
      </c>
      <c r="BZ482" s="107">
        <f t="array" ref="BZ482">IF($A482&lt;&gt;"",INDEX(LISTA!$M$2:$N$27,MATCH($BC482,LISTA!$N$2:$N$27,0),1),"")</f>
        <v>1</v>
      </c>
      <c r="CA482" s="67">
        <f t="shared" si="6"/>
        <v>8</v>
      </c>
      <c r="CB482" s="114" t="str">
        <f t="shared" si="7"/>
        <v/>
      </c>
      <c r="CC482" s="114"/>
    </row>
    <row r="483" ht="15.0" customHeight="1">
      <c r="A483" s="59">
        <v>46237.62312011574</v>
      </c>
      <c r="B483" s="115" t="s">
        <v>379</v>
      </c>
      <c r="C483" s="54" t="s">
        <v>100</v>
      </c>
      <c r="D483" s="56" t="s">
        <v>319</v>
      </c>
      <c r="E483" s="69">
        <v>46244.375</v>
      </c>
      <c r="F483" s="162"/>
      <c r="G483" s="60" t="s">
        <v>6260</v>
      </c>
      <c r="H483" s="60" t="s">
        <v>6261</v>
      </c>
      <c r="I483" s="67" t="s">
        <v>107</v>
      </c>
      <c r="J483" s="79" t="s">
        <v>6262</v>
      </c>
      <c r="K483" s="67" t="s">
        <v>109</v>
      </c>
      <c r="L483" s="79" t="s">
        <v>6263</v>
      </c>
      <c r="M483" s="83" t="s">
        <v>6264</v>
      </c>
      <c r="N483" s="78">
        <v>28423.0</v>
      </c>
      <c r="O483" s="80" t="s">
        <v>27</v>
      </c>
      <c r="P483" s="156" t="s">
        <v>1703</v>
      </c>
      <c r="Q483" s="54"/>
      <c r="R483" s="84"/>
      <c r="S483" s="84"/>
      <c r="T483" s="54" t="s">
        <v>122</v>
      </c>
      <c r="U483" s="86"/>
      <c r="V483" s="54"/>
      <c r="W483" s="86"/>
      <c r="X483" s="54"/>
      <c r="Y483" s="78"/>
      <c r="Z483" s="54"/>
      <c r="AA483" s="70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54" t="s">
        <v>6265</v>
      </c>
      <c r="AR483" s="83" t="s">
        <v>6266</v>
      </c>
      <c r="AS483" s="83" t="s">
        <v>6267</v>
      </c>
      <c r="AT483" s="93" t="s">
        <v>6262</v>
      </c>
      <c r="AU483" s="93" t="s">
        <v>6262</v>
      </c>
      <c r="AV483" s="93" t="s">
        <v>6262</v>
      </c>
      <c r="AW483" s="83" t="s">
        <v>6268</v>
      </c>
      <c r="AX483" s="83">
        <v>1.0</v>
      </c>
      <c r="AY483" s="83">
        <v>1.0</v>
      </c>
      <c r="AZ483" s="83" t="s">
        <v>6269</v>
      </c>
      <c r="BA483" s="83" t="s">
        <v>6270</v>
      </c>
      <c r="BB483" s="83" t="s">
        <v>6271</v>
      </c>
      <c r="BC483" s="54" t="s">
        <v>27</v>
      </c>
      <c r="BD483" s="54" t="str">
        <f t="shared" si="1"/>
        <v>Arequipa</v>
      </c>
      <c r="BE483" s="67" t="s">
        <v>140</v>
      </c>
      <c r="BF483" s="67" t="s">
        <v>144</v>
      </c>
      <c r="BG483" s="67" t="s">
        <v>142</v>
      </c>
      <c r="BH483" s="67"/>
      <c r="BI483" s="67"/>
      <c r="BJ483" s="67"/>
      <c r="BK483" s="67"/>
      <c r="BL483" s="67" t="s">
        <v>145</v>
      </c>
      <c r="BM483" s="67" t="s">
        <v>146</v>
      </c>
      <c r="BN483" s="100">
        <v>150.0</v>
      </c>
      <c r="BO483" s="102" t="s">
        <v>615</v>
      </c>
      <c r="BP483" s="67" t="s">
        <v>144</v>
      </c>
      <c r="BQ483" s="79" t="s">
        <v>141</v>
      </c>
      <c r="BR483" s="67">
        <v>2.0</v>
      </c>
      <c r="BS483" s="102" t="s">
        <v>149</v>
      </c>
      <c r="BT483" s="106"/>
      <c r="BU483" s="107"/>
      <c r="BV483" s="108">
        <f t="shared" si="2"/>
        <v>46237</v>
      </c>
      <c r="BW483" s="108">
        <f t="shared" si="16"/>
        <v>46244</v>
      </c>
      <c r="BX483" s="102" t="str">
        <f t="shared" si="15"/>
        <v>09</v>
      </c>
      <c r="BY483" s="107">
        <f t="shared" si="5"/>
        <v>2</v>
      </c>
      <c r="BZ483" s="107">
        <f t="array" ref="BZ483">IF($A483&lt;&gt;"",INDEX(LISTA!$M$2:$N$27,MATCH($BC483,LISTA!$N$2:$N$27,0),1),"")</f>
        <v>7</v>
      </c>
      <c r="CA483" s="67">
        <f t="shared" si="6"/>
        <v>8</v>
      </c>
      <c r="CB483" s="114" t="str">
        <f t="shared" si="7"/>
        <v/>
      </c>
      <c r="CC483" s="114"/>
    </row>
    <row r="484" ht="15.0" customHeight="1">
      <c r="A484" s="59">
        <v>46255.80014987268</v>
      </c>
      <c r="B484" s="62" t="s">
        <v>398</v>
      </c>
      <c r="C484" s="54" t="s">
        <v>100</v>
      </c>
      <c r="D484" s="56" t="s">
        <v>319</v>
      </c>
      <c r="E484" s="69">
        <v>46258.583333333336</v>
      </c>
      <c r="F484" s="162" t="s">
        <v>6272</v>
      </c>
      <c r="G484" s="60" t="s">
        <v>6273</v>
      </c>
      <c r="H484" s="60" t="s">
        <v>6274</v>
      </c>
      <c r="I484" s="67" t="s">
        <v>374</v>
      </c>
      <c r="J484" s="79" t="s">
        <v>6275</v>
      </c>
      <c r="K484" s="67" t="s">
        <v>109</v>
      </c>
      <c r="L484" s="79" t="s">
        <v>6276</v>
      </c>
      <c r="M484" s="83" t="s">
        <v>6277</v>
      </c>
      <c r="N484" s="78">
        <v>33390.0</v>
      </c>
      <c r="O484" s="80" t="s">
        <v>37</v>
      </c>
      <c r="P484" s="156" t="s">
        <v>3317</v>
      </c>
      <c r="Q484" s="54"/>
      <c r="R484" s="84"/>
      <c r="S484" s="84"/>
      <c r="T484" s="54"/>
      <c r="U484" s="86"/>
      <c r="V484" s="54"/>
      <c r="W484" s="86"/>
      <c r="X484" s="54"/>
      <c r="Y484" s="78"/>
      <c r="Z484" s="54"/>
      <c r="AA484" s="70"/>
      <c r="AB484" s="83"/>
      <c r="AC484" s="83"/>
      <c r="AD484" s="83"/>
      <c r="AE484" s="83"/>
      <c r="AF484" s="83" t="s">
        <v>268</v>
      </c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54" t="s">
        <v>1911</v>
      </c>
      <c r="AR484" s="83" t="s">
        <v>717</v>
      </c>
      <c r="AS484" s="83" t="s">
        <v>6278</v>
      </c>
      <c r="AT484" s="93" t="s">
        <v>6275</v>
      </c>
      <c r="AU484" s="93" t="s">
        <v>6275</v>
      </c>
      <c r="AV484" s="93" t="s">
        <v>6275</v>
      </c>
      <c r="AW484" s="83" t="s">
        <v>6279</v>
      </c>
      <c r="AX484" s="83">
        <v>17.0</v>
      </c>
      <c r="AY484" s="83" t="s">
        <v>1767</v>
      </c>
      <c r="AZ484" s="83" t="s">
        <v>6280</v>
      </c>
      <c r="BA484" s="83" t="s">
        <v>1767</v>
      </c>
      <c r="BB484" s="83" t="s">
        <v>2114</v>
      </c>
      <c r="BC484" s="54" t="s">
        <v>41</v>
      </c>
      <c r="BD484" s="70" t="str">
        <f t="shared" si="1"/>
        <v>Lince</v>
      </c>
      <c r="BE484" s="67" t="s">
        <v>140</v>
      </c>
      <c r="BF484" s="67" t="s">
        <v>141</v>
      </c>
      <c r="BG484" s="67" t="s">
        <v>142</v>
      </c>
      <c r="BH484" s="67"/>
      <c r="BI484" s="67"/>
      <c r="BJ484" s="67"/>
      <c r="BK484" s="67"/>
      <c r="BL484" s="67" t="s">
        <v>147</v>
      </c>
      <c r="BM484" s="67" t="s">
        <v>146</v>
      </c>
      <c r="BN484" s="100">
        <v>89.0</v>
      </c>
      <c r="BO484" s="102" t="s">
        <v>148</v>
      </c>
      <c r="BP484" s="67" t="s">
        <v>141</v>
      </c>
      <c r="BQ484" s="79"/>
      <c r="BR484" s="67" t="s">
        <v>149</v>
      </c>
      <c r="BS484" s="102">
        <v>1.0</v>
      </c>
      <c r="BT484" s="106"/>
      <c r="BU484" s="107"/>
      <c r="BV484" s="108">
        <f t="shared" si="2"/>
        <v>46255</v>
      </c>
      <c r="BW484" s="108">
        <f t="shared" si="16"/>
        <v>46258</v>
      </c>
      <c r="BX484" s="102" t="str">
        <f t="shared" si="15"/>
        <v>14</v>
      </c>
      <c r="BY484" s="107">
        <f t="shared" si="5"/>
        <v>2</v>
      </c>
      <c r="BZ484" s="107">
        <f t="array" ref="BZ484">IF($A484&lt;&gt;"",INDEX(LISTA!$M$2:$N$27,MATCH($BC484,LISTA!$N$2:$N$27,0),1),"")</f>
        <v>1</v>
      </c>
      <c r="CA484" s="67">
        <f t="shared" si="6"/>
        <v>8</v>
      </c>
      <c r="CB484" s="114" t="str">
        <f t="shared" si="7"/>
        <v/>
      </c>
      <c r="CC484" s="114"/>
    </row>
    <row r="485" ht="15.0" customHeight="1">
      <c r="A485" s="59">
        <v>46248.76696277778</v>
      </c>
      <c r="B485" s="62" t="s">
        <v>398</v>
      </c>
      <c r="C485" s="54" t="s">
        <v>100</v>
      </c>
      <c r="D485" s="56" t="s">
        <v>319</v>
      </c>
      <c r="E485" s="69">
        <v>46251.583333333336</v>
      </c>
      <c r="F485" s="162"/>
      <c r="G485" s="60" t="s">
        <v>6281</v>
      </c>
      <c r="H485" s="60" t="s">
        <v>6282</v>
      </c>
      <c r="I485" s="67" t="s">
        <v>407</v>
      </c>
      <c r="J485" s="79" t="s">
        <v>6283</v>
      </c>
      <c r="K485" s="67" t="s">
        <v>109</v>
      </c>
      <c r="L485" s="79" t="s">
        <v>6284</v>
      </c>
      <c r="M485" s="83" t="s">
        <v>6285</v>
      </c>
      <c r="N485" s="78">
        <v>28891.0</v>
      </c>
      <c r="O485" s="80" t="s">
        <v>44</v>
      </c>
      <c r="P485" s="70">
        <v>180101.0</v>
      </c>
      <c r="Q485" s="54"/>
      <c r="R485" s="84"/>
      <c r="S485" s="84"/>
      <c r="T485" s="54" t="s">
        <v>122</v>
      </c>
      <c r="U485" s="86"/>
      <c r="V485" s="54"/>
      <c r="W485" s="86"/>
      <c r="X485" s="54"/>
      <c r="Y485" s="78"/>
      <c r="Z485" s="54"/>
      <c r="AA485" s="70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54" t="s">
        <v>1860</v>
      </c>
      <c r="AR485" s="83" t="s">
        <v>4630</v>
      </c>
      <c r="AS485" s="83" t="s">
        <v>6286</v>
      </c>
      <c r="AT485" s="93" t="s">
        <v>6283</v>
      </c>
      <c r="AU485" s="93" t="s">
        <v>6283</v>
      </c>
      <c r="AV485" s="93" t="s">
        <v>6283</v>
      </c>
      <c r="AW485" s="83" t="s">
        <v>6287</v>
      </c>
      <c r="AX485" s="83">
        <v>2.0</v>
      </c>
      <c r="AY485" s="83">
        <v>0.0</v>
      </c>
      <c r="AZ485" s="83" t="s">
        <v>6288</v>
      </c>
      <c r="BA485" s="83" t="s">
        <v>6289</v>
      </c>
      <c r="BB485" s="83" t="s">
        <v>6290</v>
      </c>
      <c r="BC485" s="54" t="s">
        <v>27</v>
      </c>
      <c r="BD485" s="54" t="str">
        <f t="shared" si="1"/>
        <v>Arequipa</v>
      </c>
      <c r="BE485" s="67" t="s">
        <v>140</v>
      </c>
      <c r="BF485" s="67" t="s">
        <v>141</v>
      </c>
      <c r="BG485" s="67" t="s">
        <v>142</v>
      </c>
      <c r="BH485" s="67"/>
      <c r="BI485" s="67"/>
      <c r="BJ485" s="67"/>
      <c r="BK485" s="67"/>
      <c r="BL485" s="67" t="s">
        <v>147</v>
      </c>
      <c r="BM485" s="67" t="s">
        <v>146</v>
      </c>
      <c r="BN485" s="100">
        <v>89.0</v>
      </c>
      <c r="BO485" s="102" t="s">
        <v>148</v>
      </c>
      <c r="BP485" s="67" t="s">
        <v>141</v>
      </c>
      <c r="BQ485" s="79" t="s">
        <v>141</v>
      </c>
      <c r="BR485" s="67" t="s">
        <v>149</v>
      </c>
      <c r="BS485" s="102">
        <v>1.0</v>
      </c>
      <c r="BT485" s="106"/>
      <c r="BU485" s="107"/>
      <c r="BV485" s="108">
        <f t="shared" si="2"/>
        <v>46248</v>
      </c>
      <c r="BW485" s="108">
        <f t="shared" si="16"/>
        <v>46251</v>
      </c>
      <c r="BX485" s="102" t="str">
        <f t="shared" si="15"/>
        <v>14</v>
      </c>
      <c r="BY485" s="107">
        <f t="shared" si="5"/>
        <v>2</v>
      </c>
      <c r="BZ485" s="107">
        <f t="array" ref="BZ485">IF($A485&lt;&gt;"",INDEX(LISTA!$M$2:$N$27,MATCH($BC485,LISTA!$N$2:$N$27,0),1),"")</f>
        <v>7</v>
      </c>
      <c r="CA485" s="67">
        <f t="shared" si="6"/>
        <v>8</v>
      </c>
      <c r="CB485" s="114" t="str">
        <f t="shared" si="7"/>
        <v/>
      </c>
      <c r="CC485" s="114"/>
    </row>
    <row r="486" ht="15.0" customHeight="1">
      <c r="A486" s="59">
        <v>46249.48647376157</v>
      </c>
      <c r="B486" s="62" t="s">
        <v>398</v>
      </c>
      <c r="C486" s="54" t="s">
        <v>100</v>
      </c>
      <c r="D486" s="56" t="s">
        <v>319</v>
      </c>
      <c r="E486" s="69">
        <v>46251.375</v>
      </c>
      <c r="F486" s="162" t="s">
        <v>6291</v>
      </c>
      <c r="G486" s="60" t="s">
        <v>6292</v>
      </c>
      <c r="H486" s="60" t="s">
        <v>6293</v>
      </c>
      <c r="I486" s="67" t="s">
        <v>386</v>
      </c>
      <c r="J486" s="79" t="s">
        <v>6294</v>
      </c>
      <c r="K486" s="67" t="s">
        <v>109</v>
      </c>
      <c r="L486" s="79" t="s">
        <v>6295</v>
      </c>
      <c r="M486" s="83" t="s">
        <v>6296</v>
      </c>
      <c r="N486" s="78">
        <v>33214.0</v>
      </c>
      <c r="O486" s="80" t="s">
        <v>31</v>
      </c>
      <c r="P486" s="156" t="s">
        <v>1652</v>
      </c>
      <c r="Q486" s="54"/>
      <c r="R486" s="84"/>
      <c r="S486" s="84"/>
      <c r="T486" s="54"/>
      <c r="U486" s="86"/>
      <c r="V486" s="54"/>
      <c r="W486" s="86"/>
      <c r="X486" s="54"/>
      <c r="Y486" s="78"/>
      <c r="Z486" s="54"/>
      <c r="AA486" s="70"/>
      <c r="AB486" s="83"/>
      <c r="AC486" s="83"/>
      <c r="AD486" s="83"/>
      <c r="AE486" s="83"/>
      <c r="AF486" s="83" t="s">
        <v>972</v>
      </c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54" t="s">
        <v>6297</v>
      </c>
      <c r="AR486" s="83" t="s">
        <v>6298</v>
      </c>
      <c r="AS486" s="83" t="s">
        <v>6299</v>
      </c>
      <c r="AT486" s="93" t="s">
        <v>6294</v>
      </c>
      <c r="AU486" s="93" t="s">
        <v>6294</v>
      </c>
      <c r="AV486" s="93" t="s">
        <v>6294</v>
      </c>
      <c r="AW486" s="83" t="s">
        <v>6300</v>
      </c>
      <c r="AX486" s="83">
        <v>9.0</v>
      </c>
      <c r="AY486" s="83" t="s">
        <v>1657</v>
      </c>
      <c r="AZ486" s="83" t="s">
        <v>6301</v>
      </c>
      <c r="BA486" s="83" t="s">
        <v>6302</v>
      </c>
      <c r="BB486" s="83" t="s">
        <v>6303</v>
      </c>
      <c r="BC486" s="54" t="s">
        <v>41</v>
      </c>
      <c r="BD486" s="54" t="str">
        <f t="shared" si="1"/>
        <v>San Juan de Lurigancho</v>
      </c>
      <c r="BE486" s="67" t="s">
        <v>140</v>
      </c>
      <c r="BF486" s="67" t="s">
        <v>144</v>
      </c>
      <c r="BG486" s="67" t="s">
        <v>142</v>
      </c>
      <c r="BH486" s="67"/>
      <c r="BI486" s="67"/>
      <c r="BJ486" s="67"/>
      <c r="BK486" s="67"/>
      <c r="BL486" s="67" t="s">
        <v>145</v>
      </c>
      <c r="BM486" s="67" t="s">
        <v>146</v>
      </c>
      <c r="BN486" s="100">
        <v>150.0</v>
      </c>
      <c r="BO486" s="102" t="s">
        <v>615</v>
      </c>
      <c r="BP486" s="67" t="s">
        <v>141</v>
      </c>
      <c r="BQ486" s="79" t="s">
        <v>141</v>
      </c>
      <c r="BR486" s="67">
        <v>2.0</v>
      </c>
      <c r="BS486" s="102" t="s">
        <v>149</v>
      </c>
      <c r="BT486" s="106"/>
      <c r="BU486" s="107"/>
      <c r="BV486" s="108">
        <f t="shared" si="2"/>
        <v>46249</v>
      </c>
      <c r="BW486" s="108">
        <f t="shared" si="16"/>
        <v>46251</v>
      </c>
      <c r="BX486" s="102" t="str">
        <f t="shared" si="15"/>
        <v>09</v>
      </c>
      <c r="BY486" s="107">
        <f t="shared" si="5"/>
        <v>2</v>
      </c>
      <c r="BZ486" s="107">
        <f t="array" ref="BZ486">IF($A486&lt;&gt;"",INDEX(LISTA!$M$2:$N$27,MATCH($BC486,LISTA!$N$2:$N$27,0),1),"")</f>
        <v>1</v>
      </c>
      <c r="CA486" s="67">
        <f t="shared" si="6"/>
        <v>8</v>
      </c>
      <c r="CB486" s="114" t="str">
        <f t="shared" si="7"/>
        <v/>
      </c>
      <c r="CC486" s="114"/>
    </row>
    <row r="487" ht="15.0" customHeight="1">
      <c r="A487" s="59">
        <v>46240.498865925925</v>
      </c>
      <c r="B487" s="115" t="s">
        <v>398</v>
      </c>
      <c r="C487" s="54" t="s">
        <v>100</v>
      </c>
      <c r="D487" s="56" t="s">
        <v>319</v>
      </c>
      <c r="E487" s="69">
        <v>46241.583333333336</v>
      </c>
      <c r="F487" s="162" t="s">
        <v>6304</v>
      </c>
      <c r="G487" s="60" t="s">
        <v>6305</v>
      </c>
      <c r="H487" s="60" t="s">
        <v>6306</v>
      </c>
      <c r="I487" s="67" t="s">
        <v>386</v>
      </c>
      <c r="J487" s="79" t="s">
        <v>6307</v>
      </c>
      <c r="K487" s="67" t="s">
        <v>109</v>
      </c>
      <c r="L487" s="79" t="s">
        <v>6308</v>
      </c>
      <c r="M487" s="83" t="s">
        <v>6309</v>
      </c>
      <c r="N487" s="78">
        <v>32049.0</v>
      </c>
      <c r="O487" s="80" t="s">
        <v>36</v>
      </c>
      <c r="P487" s="70">
        <v>120101.0</v>
      </c>
      <c r="Q487" s="54"/>
      <c r="R487" s="84"/>
      <c r="S487" s="84"/>
      <c r="T487" s="54"/>
      <c r="U487" s="86"/>
      <c r="V487" s="54"/>
      <c r="W487" s="86"/>
      <c r="X487" s="54"/>
      <c r="Y487" s="78"/>
      <c r="Z487" s="54"/>
      <c r="AA487" s="70"/>
      <c r="AB487" s="83" t="s">
        <v>766</v>
      </c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54" t="s">
        <v>6310</v>
      </c>
      <c r="AR487" s="83" t="s">
        <v>6311</v>
      </c>
      <c r="AS487" s="83" t="s">
        <v>6312</v>
      </c>
      <c r="AT487" s="93" t="s">
        <v>6307</v>
      </c>
      <c r="AU487" s="93" t="s">
        <v>6307</v>
      </c>
      <c r="AV487" s="93" t="s">
        <v>6307</v>
      </c>
      <c r="AW487" s="83" t="s">
        <v>6313</v>
      </c>
      <c r="AX487" s="83">
        <v>2.0</v>
      </c>
      <c r="AY487" s="83" t="s">
        <v>1657</v>
      </c>
      <c r="AZ487" s="83" t="s">
        <v>6314</v>
      </c>
      <c r="BA487" s="83" t="s">
        <v>6315</v>
      </c>
      <c r="BB487" s="83" t="s">
        <v>6316</v>
      </c>
      <c r="BC487" s="54" t="s">
        <v>36</v>
      </c>
      <c r="BD487" s="54" t="str">
        <f t="shared" si="1"/>
        <v>Huancayo</v>
      </c>
      <c r="BE487" s="67" t="s">
        <v>140</v>
      </c>
      <c r="BF487" s="67" t="s">
        <v>144</v>
      </c>
      <c r="BG487" s="67" t="s">
        <v>142</v>
      </c>
      <c r="BH487" s="67"/>
      <c r="BI487" s="67"/>
      <c r="BJ487" s="67"/>
      <c r="BK487" s="67"/>
      <c r="BL487" s="67" t="s">
        <v>145</v>
      </c>
      <c r="BM487" s="67" t="s">
        <v>146</v>
      </c>
      <c r="BN487" s="100">
        <v>170.0</v>
      </c>
      <c r="BO487" s="102" t="s">
        <v>148</v>
      </c>
      <c r="BP487" s="67" t="s">
        <v>144</v>
      </c>
      <c r="BQ487" s="79" t="s">
        <v>141</v>
      </c>
      <c r="BR487" s="67">
        <v>4.0</v>
      </c>
      <c r="BS487" s="102">
        <v>1.0</v>
      </c>
      <c r="BT487" s="106"/>
      <c r="BU487" s="107"/>
      <c r="BV487" s="108">
        <f t="shared" si="2"/>
        <v>46240</v>
      </c>
      <c r="BW487" s="108">
        <f t="shared" si="16"/>
        <v>46241</v>
      </c>
      <c r="BX487" s="102" t="str">
        <f t="shared" si="15"/>
        <v>14</v>
      </c>
      <c r="BY487" s="107">
        <f t="shared" si="5"/>
        <v>2</v>
      </c>
      <c r="BZ487" s="107">
        <f t="array" ref="BZ487">IF($A487&lt;&gt;"",INDEX(LISTA!$M$2:$N$27,MATCH($BC487,LISTA!$N$2:$N$27,0),1),"")</f>
        <v>14</v>
      </c>
      <c r="CA487" s="67">
        <f t="shared" si="6"/>
        <v>8</v>
      </c>
      <c r="CB487" s="114" t="str">
        <f t="shared" si="7"/>
        <v/>
      </c>
      <c r="CC487" s="114"/>
    </row>
    <row r="488" ht="15.0" customHeight="1">
      <c r="A488" s="59">
        <v>46251.417189699074</v>
      </c>
      <c r="B488" s="62" t="s">
        <v>406</v>
      </c>
      <c r="C488" s="54" t="s">
        <v>100</v>
      </c>
      <c r="D488" s="56" t="s">
        <v>101</v>
      </c>
      <c r="E488" s="69">
        <v>46255.375</v>
      </c>
      <c r="F488" s="167" t="s">
        <v>4036</v>
      </c>
      <c r="G488" s="60" t="s">
        <v>6317</v>
      </c>
      <c r="H488" s="60" t="s">
        <v>6318</v>
      </c>
      <c r="I488" s="67" t="s">
        <v>350</v>
      </c>
      <c r="J488" s="79" t="s">
        <v>6319</v>
      </c>
      <c r="K488" s="67" t="s">
        <v>109</v>
      </c>
      <c r="L488" s="79" t="s">
        <v>6320</v>
      </c>
      <c r="M488" s="83" t="s">
        <v>6321</v>
      </c>
      <c r="N488" s="78">
        <v>26894.0</v>
      </c>
      <c r="O488" s="80" t="s">
        <v>39</v>
      </c>
      <c r="P488" s="70">
        <v>131101.0</v>
      </c>
      <c r="Q488" s="54"/>
      <c r="R488" s="84"/>
      <c r="S488" s="84"/>
      <c r="T488" s="54"/>
      <c r="U488" s="86"/>
      <c r="V488" s="54"/>
      <c r="W488" s="86"/>
      <c r="X488" s="54"/>
      <c r="Y488" s="78"/>
      <c r="Z488" s="54"/>
      <c r="AA488" s="70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 t="s">
        <v>892</v>
      </c>
      <c r="AM488" s="83"/>
      <c r="AN488" s="83"/>
      <c r="AO488" s="83"/>
      <c r="AP488" s="83"/>
      <c r="AQ488" s="54" t="s">
        <v>1880</v>
      </c>
      <c r="AR488" s="83" t="s">
        <v>1504</v>
      </c>
      <c r="AS488" s="83" t="s">
        <v>6322</v>
      </c>
      <c r="AT488" s="93" t="s">
        <v>6319</v>
      </c>
      <c r="AU488" s="93" t="s">
        <v>6319</v>
      </c>
      <c r="AV488" s="93" t="s">
        <v>6319</v>
      </c>
      <c r="AW488" s="83" t="s">
        <v>6323</v>
      </c>
      <c r="AX488" s="83">
        <v>3.0</v>
      </c>
      <c r="AY488" s="83">
        <v>0.0</v>
      </c>
      <c r="AZ488" s="83" t="s">
        <v>6324</v>
      </c>
      <c r="BA488" s="83" t="s">
        <v>6325</v>
      </c>
      <c r="BB488" s="83" t="s">
        <v>6326</v>
      </c>
      <c r="BC488" s="54" t="s">
        <v>48</v>
      </c>
      <c r="BD488" s="54" t="str">
        <f t="shared" si="1"/>
        <v>San Román</v>
      </c>
      <c r="BE488" s="67" t="s">
        <v>140</v>
      </c>
      <c r="BF488" s="67" t="s">
        <v>144</v>
      </c>
      <c r="BG488" s="67" t="s">
        <v>142</v>
      </c>
      <c r="BH488" s="67"/>
      <c r="BI488" s="67"/>
      <c r="BJ488" s="67"/>
      <c r="BK488" s="67"/>
      <c r="BL488" s="67" t="s">
        <v>145</v>
      </c>
      <c r="BM488" s="67" t="s">
        <v>146</v>
      </c>
      <c r="BN488" s="100">
        <v>150.0</v>
      </c>
      <c r="BO488" s="102" t="s">
        <v>615</v>
      </c>
      <c r="BP488" s="67" t="s">
        <v>141</v>
      </c>
      <c r="BQ488" s="79" t="s">
        <v>141</v>
      </c>
      <c r="BR488" s="67" t="s">
        <v>149</v>
      </c>
      <c r="BS488" s="102" t="s">
        <v>149</v>
      </c>
      <c r="BT488" s="106"/>
      <c r="BU488" s="107"/>
      <c r="BV488" s="108">
        <f t="shared" si="2"/>
        <v>46251</v>
      </c>
      <c r="BW488" s="108">
        <f t="shared" si="16"/>
        <v>46255</v>
      </c>
      <c r="BX488" s="102" t="str">
        <f t="shared" si="15"/>
        <v>09</v>
      </c>
      <c r="BY488" s="107">
        <f t="shared" si="5"/>
        <v>2</v>
      </c>
      <c r="BZ488" s="107">
        <f t="array" ref="BZ488">IF($A488&lt;&gt;"",INDEX(LISTA!$M$2:$N$27,MATCH($BC488,LISTA!$N$2:$N$27,0),1),"")</f>
        <v>22</v>
      </c>
      <c r="CA488" s="67">
        <f t="shared" si="6"/>
        <v>8</v>
      </c>
      <c r="CB488" s="114" t="str">
        <f t="shared" si="7"/>
        <v/>
      </c>
      <c r="CC488" s="114"/>
    </row>
    <row r="489" ht="15.0" customHeight="1">
      <c r="A489" s="59">
        <v>46254.71855677084</v>
      </c>
      <c r="B489" s="62" t="s">
        <v>406</v>
      </c>
      <c r="C489" s="54" t="s">
        <v>100</v>
      </c>
      <c r="D489" s="56" t="s">
        <v>319</v>
      </c>
      <c r="E489" s="69">
        <v>46255.375</v>
      </c>
      <c r="F489" s="162" t="s">
        <v>4036</v>
      </c>
      <c r="G489" s="60" t="s">
        <v>6327</v>
      </c>
      <c r="H489" s="60" t="s">
        <v>6328</v>
      </c>
      <c r="I489" s="67" t="s">
        <v>374</v>
      </c>
      <c r="J489" s="79" t="s">
        <v>6329</v>
      </c>
      <c r="K489" s="67" t="s">
        <v>109</v>
      </c>
      <c r="L489" s="79" t="s">
        <v>6330</v>
      </c>
      <c r="M489" s="83" t="s">
        <v>6331</v>
      </c>
      <c r="N489" s="78">
        <v>30253.0</v>
      </c>
      <c r="O489" s="80" t="s">
        <v>48</v>
      </c>
      <c r="P489" s="70">
        <v>211101.0</v>
      </c>
      <c r="Q489" s="54"/>
      <c r="R489" s="84"/>
      <c r="S489" s="84"/>
      <c r="T489" s="54"/>
      <c r="U489" s="86"/>
      <c r="V489" s="54"/>
      <c r="W489" s="86"/>
      <c r="X489" s="54"/>
      <c r="Y489" s="78"/>
      <c r="Z489" s="54"/>
      <c r="AA489" s="70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 t="s">
        <v>892</v>
      </c>
      <c r="AM489" s="83"/>
      <c r="AN489" s="83"/>
      <c r="AO489" s="83"/>
      <c r="AP489" s="83"/>
      <c r="AQ489" s="54" t="s">
        <v>6332</v>
      </c>
      <c r="AR489" s="83" t="s">
        <v>6333</v>
      </c>
      <c r="AS489" s="83" t="s">
        <v>6334</v>
      </c>
      <c r="AT489" s="93" t="s">
        <v>6329</v>
      </c>
      <c r="AU489" s="93" t="s">
        <v>6329</v>
      </c>
      <c r="AV489" s="93" t="s">
        <v>6329</v>
      </c>
      <c r="AW489" s="83" t="s">
        <v>6335</v>
      </c>
      <c r="AX489" s="83">
        <v>1.0</v>
      </c>
      <c r="AY489" s="83">
        <v>1.0</v>
      </c>
      <c r="AZ489" s="83" t="s">
        <v>6336</v>
      </c>
      <c r="BA489" s="83" t="s">
        <v>1767</v>
      </c>
      <c r="BB489" s="83" t="s">
        <v>6337</v>
      </c>
      <c r="BC489" s="54" t="s">
        <v>48</v>
      </c>
      <c r="BD489" s="54" t="str">
        <f t="shared" si="1"/>
        <v>San Román</v>
      </c>
      <c r="BE489" s="67" t="s">
        <v>140</v>
      </c>
      <c r="BF489" s="67" t="s">
        <v>141</v>
      </c>
      <c r="BG489" s="67" t="s">
        <v>142</v>
      </c>
      <c r="BH489" s="67"/>
      <c r="BI489" s="67"/>
      <c r="BJ489" s="67"/>
      <c r="BK489" s="67"/>
      <c r="BL489" s="67" t="s">
        <v>283</v>
      </c>
      <c r="BM489" s="67" t="s">
        <v>146</v>
      </c>
      <c r="BN489" s="100">
        <v>84.0</v>
      </c>
      <c r="BO489" s="102" t="s">
        <v>2305</v>
      </c>
      <c r="BP489" s="67" t="s">
        <v>141</v>
      </c>
      <c r="BQ489" s="79" t="s">
        <v>144</v>
      </c>
      <c r="BR489" s="67" t="s">
        <v>149</v>
      </c>
      <c r="BS489" s="102" t="s">
        <v>149</v>
      </c>
      <c r="BT489" s="106"/>
      <c r="BU489" s="107"/>
      <c r="BV489" s="108">
        <f t="shared" si="2"/>
        <v>46254</v>
      </c>
      <c r="BW489" s="108">
        <f t="shared" si="16"/>
        <v>46255</v>
      </c>
      <c r="BX489" s="102" t="str">
        <f t="shared" si="15"/>
        <v>09</v>
      </c>
      <c r="BY489" s="107">
        <f t="shared" si="5"/>
        <v>2</v>
      </c>
      <c r="BZ489" s="107">
        <f t="array" ref="BZ489">IF($A489&lt;&gt;"",INDEX(LISTA!$M$2:$N$27,MATCH($BC489,LISTA!$N$2:$N$27,0),1),"")</f>
        <v>22</v>
      </c>
      <c r="CA489" s="67">
        <f t="shared" si="6"/>
        <v>8</v>
      </c>
      <c r="CB489" s="114" t="str">
        <f t="shared" si="7"/>
        <v/>
      </c>
      <c r="CC489" s="114"/>
    </row>
    <row r="490" ht="15.0" customHeight="1">
      <c r="A490" s="59">
        <v>46245.51978141203</v>
      </c>
      <c r="B490" s="62" t="s">
        <v>406</v>
      </c>
      <c r="C490" s="54" t="s">
        <v>100</v>
      </c>
      <c r="D490" s="56" t="s">
        <v>319</v>
      </c>
      <c r="E490" s="69">
        <v>46252.583333333336</v>
      </c>
      <c r="F490" s="162" t="s">
        <v>4036</v>
      </c>
      <c r="G490" s="60" t="s">
        <v>6338</v>
      </c>
      <c r="H490" s="60" t="s">
        <v>6339</v>
      </c>
      <c r="I490" s="67" t="s">
        <v>386</v>
      </c>
      <c r="J490" s="79" t="s">
        <v>6340</v>
      </c>
      <c r="K490" s="67" t="s">
        <v>109</v>
      </c>
      <c r="L490" s="79" t="s">
        <v>6341</v>
      </c>
      <c r="M490" s="83" t="s">
        <v>6342</v>
      </c>
      <c r="N490" s="78">
        <v>26551.0</v>
      </c>
      <c r="O490" s="80" t="s">
        <v>41</v>
      </c>
      <c r="P490" s="70">
        <v>150101.0</v>
      </c>
      <c r="Q490" s="54"/>
      <c r="R490" s="84"/>
      <c r="S490" s="84"/>
      <c r="T490" s="54"/>
      <c r="U490" s="86"/>
      <c r="V490" s="54"/>
      <c r="W490" s="86"/>
      <c r="X490" s="54"/>
      <c r="Y490" s="78"/>
      <c r="Z490" s="54"/>
      <c r="AA490" s="70"/>
      <c r="AB490" s="83"/>
      <c r="AC490" s="83"/>
      <c r="AD490" s="83"/>
      <c r="AE490" s="83"/>
      <c r="AF490" s="83" t="s">
        <v>467</v>
      </c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54" t="s">
        <v>2015</v>
      </c>
      <c r="AR490" s="83" t="s">
        <v>6343</v>
      </c>
      <c r="AS490" s="83" t="s">
        <v>6344</v>
      </c>
      <c r="AT490" s="93" t="s">
        <v>6340</v>
      </c>
      <c r="AU490" s="93" t="s">
        <v>6340</v>
      </c>
      <c r="AV490" s="93" t="s">
        <v>6340</v>
      </c>
      <c r="AW490" s="83" t="s">
        <v>6345</v>
      </c>
      <c r="AX490" s="83">
        <v>4.0</v>
      </c>
      <c r="AY490" s="83" t="s">
        <v>1657</v>
      </c>
      <c r="AZ490" s="83" t="s">
        <v>6346</v>
      </c>
      <c r="BA490" s="83" t="s">
        <v>6347</v>
      </c>
      <c r="BB490" s="83" t="s">
        <v>6348</v>
      </c>
      <c r="BC490" s="54" t="s">
        <v>41</v>
      </c>
      <c r="BD490" s="54" t="str">
        <f t="shared" si="1"/>
        <v>Surquillo</v>
      </c>
      <c r="BE490" s="67" t="s">
        <v>140</v>
      </c>
      <c r="BF490" s="67" t="s">
        <v>141</v>
      </c>
      <c r="BG490" s="67" t="s">
        <v>142</v>
      </c>
      <c r="BH490" s="67"/>
      <c r="BI490" s="67"/>
      <c r="BJ490" s="67"/>
      <c r="BK490" s="67"/>
      <c r="BL490" s="67" t="s">
        <v>147</v>
      </c>
      <c r="BM490" s="67" t="s">
        <v>146</v>
      </c>
      <c r="BN490" s="100">
        <v>89.0</v>
      </c>
      <c r="BO490" s="102" t="s">
        <v>148</v>
      </c>
      <c r="BP490" s="67" t="s">
        <v>141</v>
      </c>
      <c r="BQ490" s="79" t="s">
        <v>141</v>
      </c>
      <c r="BR490" s="67" t="s">
        <v>149</v>
      </c>
      <c r="BS490" s="102">
        <v>1.0</v>
      </c>
      <c r="BT490" s="106"/>
      <c r="BU490" s="107"/>
      <c r="BV490" s="108">
        <f t="shared" si="2"/>
        <v>46245</v>
      </c>
      <c r="BW490" s="108">
        <f t="shared" si="16"/>
        <v>46252</v>
      </c>
      <c r="BX490" s="102" t="str">
        <f t="shared" si="15"/>
        <v>14</v>
      </c>
      <c r="BY490" s="107">
        <f t="shared" si="5"/>
        <v>2</v>
      </c>
      <c r="BZ490" s="107">
        <f t="array" ref="BZ490">IF($A490&lt;&gt;"",INDEX(LISTA!$M$2:$N$27,MATCH($BC490,LISTA!$N$2:$N$27,0),1),"")</f>
        <v>1</v>
      </c>
      <c r="CA490" s="67">
        <f t="shared" si="6"/>
        <v>8</v>
      </c>
      <c r="CB490" s="114" t="str">
        <f t="shared" si="7"/>
        <v/>
      </c>
      <c r="CC490" s="114"/>
    </row>
    <row r="491" ht="15.0" customHeight="1">
      <c r="A491" s="59">
        <v>46246.67400827546</v>
      </c>
      <c r="B491" s="62" t="s">
        <v>381</v>
      </c>
      <c r="C491" s="54" t="s">
        <v>100</v>
      </c>
      <c r="D491" s="56" t="s">
        <v>319</v>
      </c>
      <c r="E491" s="69">
        <v>46251.583333333336</v>
      </c>
      <c r="F491" s="162" t="s">
        <v>6349</v>
      </c>
      <c r="G491" s="60" t="s">
        <v>6350</v>
      </c>
      <c r="H491" s="60" t="s">
        <v>6351</v>
      </c>
      <c r="I491" s="67" t="s">
        <v>403</v>
      </c>
      <c r="J491" s="79" t="s">
        <v>6352</v>
      </c>
      <c r="K491" s="67" t="s">
        <v>109</v>
      </c>
      <c r="L491" s="79" t="s">
        <v>6353</v>
      </c>
      <c r="M491" s="83" t="s">
        <v>6354</v>
      </c>
      <c r="N491" s="78">
        <v>28365.0</v>
      </c>
      <c r="O491" s="80" t="s">
        <v>31</v>
      </c>
      <c r="P491" s="156" t="s">
        <v>2847</v>
      </c>
      <c r="Q491" s="54"/>
      <c r="R491" s="84"/>
      <c r="S491" s="84"/>
      <c r="T491" s="54"/>
      <c r="U491" s="86"/>
      <c r="V491" s="54"/>
      <c r="W491" s="86"/>
      <c r="X491" s="54" t="s">
        <v>1012</v>
      </c>
      <c r="Y491" s="78"/>
      <c r="Z491" s="54"/>
      <c r="AA491" s="70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54" t="s">
        <v>6355</v>
      </c>
      <c r="AR491" s="83" t="s">
        <v>5318</v>
      </c>
      <c r="AS491" s="83" t="s">
        <v>6356</v>
      </c>
      <c r="AT491" s="93" t="s">
        <v>6352</v>
      </c>
      <c r="AU491" s="93" t="s">
        <v>6352</v>
      </c>
      <c r="AV491" s="93" t="s">
        <v>6352</v>
      </c>
      <c r="AW491" s="83" t="s">
        <v>6357</v>
      </c>
      <c r="AX491" s="83">
        <v>9.0</v>
      </c>
      <c r="AY491" s="83">
        <v>902.0</v>
      </c>
      <c r="AZ491" s="83" t="s">
        <v>6358</v>
      </c>
      <c r="BA491" s="83" t="s">
        <v>6359</v>
      </c>
      <c r="BB491" s="83" t="s">
        <v>6360</v>
      </c>
      <c r="BC491" s="54" t="s">
        <v>31</v>
      </c>
      <c r="BD491" s="54" t="str">
        <f t="shared" si="1"/>
        <v>Cusco</v>
      </c>
      <c r="BE491" s="67" t="s">
        <v>140</v>
      </c>
      <c r="BF491" s="67" t="s">
        <v>144</v>
      </c>
      <c r="BG491" s="67" t="s">
        <v>142</v>
      </c>
      <c r="BH491" s="67"/>
      <c r="BI491" s="67"/>
      <c r="BJ491" s="67"/>
      <c r="BK491" s="67"/>
      <c r="BL491" s="67" t="s">
        <v>147</v>
      </c>
      <c r="BM491" s="67" t="s">
        <v>146</v>
      </c>
      <c r="BN491" s="100">
        <v>89.0</v>
      </c>
      <c r="BO491" s="102" t="s">
        <v>148</v>
      </c>
      <c r="BP491" s="67" t="s">
        <v>141</v>
      </c>
      <c r="BQ491" s="79" t="s">
        <v>141</v>
      </c>
      <c r="BR491" s="67" t="s">
        <v>149</v>
      </c>
      <c r="BS491" s="102">
        <v>1.0</v>
      </c>
      <c r="BT491" s="106"/>
      <c r="BU491" s="107"/>
      <c r="BV491" s="108">
        <f t="shared" si="2"/>
        <v>46246</v>
      </c>
      <c r="BW491" s="108">
        <f t="shared" si="16"/>
        <v>46251</v>
      </c>
      <c r="BX491" s="102" t="str">
        <f t="shared" si="15"/>
        <v>14</v>
      </c>
      <c r="BY491" s="107">
        <f t="shared" si="5"/>
        <v>2</v>
      </c>
      <c r="BZ491" s="107">
        <f t="array" ref="BZ491">IF($A491&lt;&gt;"",INDEX(LISTA!$M$2:$N$27,MATCH($BC491,LISTA!$N$2:$N$27,0),1),"")</f>
        <v>10</v>
      </c>
      <c r="CA491" s="67">
        <f t="shared" si="6"/>
        <v>8</v>
      </c>
      <c r="CB491" s="114" t="str">
        <f t="shared" si="7"/>
        <v/>
      </c>
      <c r="CC491" s="114"/>
    </row>
    <row r="492" ht="15.0" customHeight="1">
      <c r="A492" s="59">
        <v>46251.60128291667</v>
      </c>
      <c r="B492" s="62" t="s">
        <v>381</v>
      </c>
      <c r="C492" s="54" t="s">
        <v>100</v>
      </c>
      <c r="D492" s="56" t="s">
        <v>319</v>
      </c>
      <c r="E492" s="69">
        <v>46256.583333333336</v>
      </c>
      <c r="F492" s="162" t="s">
        <v>6361</v>
      </c>
      <c r="G492" s="60" t="s">
        <v>6362</v>
      </c>
      <c r="H492" s="60" t="s">
        <v>6363</v>
      </c>
      <c r="I492" s="67" t="s">
        <v>107</v>
      </c>
      <c r="J492" s="79" t="s">
        <v>6364</v>
      </c>
      <c r="K492" s="67" t="s">
        <v>109</v>
      </c>
      <c r="L492" s="79" t="s">
        <v>6365</v>
      </c>
      <c r="M492" s="83" t="s">
        <v>6366</v>
      </c>
      <c r="N492" s="78">
        <v>34700.0</v>
      </c>
      <c r="O492" s="80" t="s">
        <v>41</v>
      </c>
      <c r="P492" s="70">
        <v>140101.0</v>
      </c>
      <c r="Q492" s="54"/>
      <c r="R492" s="84"/>
      <c r="S492" s="84"/>
      <c r="T492" s="54"/>
      <c r="U492" s="86"/>
      <c r="V492" s="54"/>
      <c r="W492" s="86"/>
      <c r="X492" s="54"/>
      <c r="Y492" s="78"/>
      <c r="Z492" s="54"/>
      <c r="AA492" s="70"/>
      <c r="AB492" s="83"/>
      <c r="AC492" s="83"/>
      <c r="AD492" s="83"/>
      <c r="AE492" s="83"/>
      <c r="AF492" s="83" t="s">
        <v>1603</v>
      </c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54" t="s">
        <v>2697</v>
      </c>
      <c r="AR492" s="83" t="s">
        <v>6367</v>
      </c>
      <c r="AS492" s="83" t="s">
        <v>6368</v>
      </c>
      <c r="AT492" s="93" t="s">
        <v>6364</v>
      </c>
      <c r="AU492" s="93" t="s">
        <v>6364</v>
      </c>
      <c r="AV492" s="93" t="s">
        <v>6364</v>
      </c>
      <c r="AW492" s="83" t="s">
        <v>6369</v>
      </c>
      <c r="AX492" s="83">
        <v>1.0</v>
      </c>
      <c r="AY492" s="83">
        <v>1.0</v>
      </c>
      <c r="AZ492" s="83" t="s">
        <v>6370</v>
      </c>
      <c r="BA492" s="83" t="s">
        <v>6371</v>
      </c>
      <c r="BB492" s="83" t="s">
        <v>2662</v>
      </c>
      <c r="BC492" s="54" t="s">
        <v>41</v>
      </c>
      <c r="BD492" s="54" t="str">
        <f t="shared" si="1"/>
        <v>Santa Anita</v>
      </c>
      <c r="BE492" s="67" t="s">
        <v>143</v>
      </c>
      <c r="BF492" s="67" t="s">
        <v>141</v>
      </c>
      <c r="BG492" s="67" t="s">
        <v>142</v>
      </c>
      <c r="BH492" s="67"/>
      <c r="BI492" s="67"/>
      <c r="BJ492" s="67"/>
      <c r="BK492" s="67"/>
      <c r="BL492" s="67" t="s">
        <v>145</v>
      </c>
      <c r="BM492" s="67" t="s">
        <v>146</v>
      </c>
      <c r="BN492" s="100">
        <v>170.0</v>
      </c>
      <c r="BO492" s="102" t="s">
        <v>148</v>
      </c>
      <c r="BP492" s="67" t="s">
        <v>144</v>
      </c>
      <c r="BQ492" s="79" t="s">
        <v>141</v>
      </c>
      <c r="BR492" s="67">
        <v>2.0</v>
      </c>
      <c r="BS492" s="102" t="s">
        <v>149</v>
      </c>
      <c r="BT492" s="106"/>
      <c r="BU492" s="107"/>
      <c r="BV492" s="108">
        <f t="shared" si="2"/>
        <v>46251</v>
      </c>
      <c r="BW492" s="108">
        <f t="shared" si="16"/>
        <v>46256</v>
      </c>
      <c r="BX492" s="102" t="str">
        <f t="shared" si="15"/>
        <v>14</v>
      </c>
      <c r="BY492" s="107">
        <f t="shared" si="5"/>
        <v>2</v>
      </c>
      <c r="BZ492" s="107">
        <f t="array" ref="BZ492">IF($A492&lt;&gt;"",INDEX(LISTA!$M$2:$N$27,MATCH($BC492,LISTA!$N$2:$N$27,0),1),"")</f>
        <v>1</v>
      </c>
      <c r="CA492" s="67">
        <f t="shared" si="6"/>
        <v>8</v>
      </c>
      <c r="CB492" s="114" t="str">
        <f t="shared" si="7"/>
        <v/>
      </c>
      <c r="CC492" s="114"/>
    </row>
    <row r="493" ht="15.0" customHeight="1">
      <c r="A493" s="59">
        <v>46255.743373310186</v>
      </c>
      <c r="B493" s="62" t="s">
        <v>381</v>
      </c>
      <c r="C493" s="54" t="s">
        <v>100</v>
      </c>
      <c r="D493" s="154" t="s">
        <v>319</v>
      </c>
      <c r="E493" s="69">
        <v>46258.375</v>
      </c>
      <c r="F493" s="162" t="s">
        <v>6372</v>
      </c>
      <c r="G493" s="60" t="s">
        <v>6373</v>
      </c>
      <c r="H493" s="60" t="s">
        <v>6374</v>
      </c>
      <c r="I493" s="67" t="s">
        <v>374</v>
      </c>
      <c r="J493" s="79" t="s">
        <v>6375</v>
      </c>
      <c r="K493" s="67" t="s">
        <v>109</v>
      </c>
      <c r="L493" s="79" t="s">
        <v>6376</v>
      </c>
      <c r="M493" s="83" t="s">
        <v>6377</v>
      </c>
      <c r="N493" s="78">
        <v>38239.0</v>
      </c>
      <c r="O493" s="80" t="s">
        <v>34</v>
      </c>
      <c r="P493" s="70">
        <v>110101.0</v>
      </c>
      <c r="Q493" s="54"/>
      <c r="R493" s="84"/>
      <c r="S493" s="84"/>
      <c r="T493" s="54"/>
      <c r="U493" s="86"/>
      <c r="V493" s="54"/>
      <c r="W493" s="86"/>
      <c r="X493" s="54"/>
      <c r="Y493" s="78"/>
      <c r="Z493" s="54"/>
      <c r="AA493" s="70" t="s">
        <v>525</v>
      </c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54" t="s">
        <v>6378</v>
      </c>
      <c r="AR493" s="83" t="s">
        <v>6379</v>
      </c>
      <c r="AS493" s="83" t="s">
        <v>6380</v>
      </c>
      <c r="AT493" s="93" t="s">
        <v>6375</v>
      </c>
      <c r="AU493" s="93" t="s">
        <v>6375</v>
      </c>
      <c r="AV493" s="93" t="s">
        <v>6375</v>
      </c>
      <c r="AW493" s="83" t="s">
        <v>6381</v>
      </c>
      <c r="AX493" s="83">
        <v>1.0</v>
      </c>
      <c r="AY493" s="83">
        <v>1.0</v>
      </c>
      <c r="AZ493" s="83" t="s">
        <v>6382</v>
      </c>
      <c r="BA493" s="83" t="s">
        <v>1767</v>
      </c>
      <c r="BB493" s="83" t="s">
        <v>6383</v>
      </c>
      <c r="BC493" s="54" t="s">
        <v>34</v>
      </c>
      <c r="BD493" s="70" t="str">
        <f t="shared" si="1"/>
        <v>Ica</v>
      </c>
      <c r="BE493" s="67" t="s">
        <v>140</v>
      </c>
      <c r="BF493" s="67" t="s">
        <v>141</v>
      </c>
      <c r="BG493" s="67" t="s">
        <v>142</v>
      </c>
      <c r="BH493" s="67"/>
      <c r="BI493" s="67"/>
      <c r="BJ493" s="67"/>
      <c r="BK493" s="67"/>
      <c r="BL493" s="67" t="s">
        <v>147</v>
      </c>
      <c r="BM493" s="67" t="s">
        <v>146</v>
      </c>
      <c r="BN493" s="100">
        <v>89.0</v>
      </c>
      <c r="BO493" s="102" t="s">
        <v>148</v>
      </c>
      <c r="BP493" s="67" t="s">
        <v>141</v>
      </c>
      <c r="BQ493" s="79" t="s">
        <v>141</v>
      </c>
      <c r="BR493" s="67" t="s">
        <v>149</v>
      </c>
      <c r="BS493" s="102">
        <v>1.0</v>
      </c>
      <c r="BT493" s="106"/>
      <c r="BU493" s="107"/>
      <c r="BV493" s="108">
        <f t="shared" si="2"/>
        <v>46255</v>
      </c>
      <c r="BW493" s="108">
        <f t="shared" si="16"/>
        <v>46258</v>
      </c>
      <c r="BX493" s="102" t="str">
        <f t="shared" si="15"/>
        <v>09</v>
      </c>
      <c r="BY493" s="107">
        <f t="shared" si="5"/>
        <v>2</v>
      </c>
      <c r="BZ493" s="107">
        <f t="array" ref="BZ493">IF($A493&lt;&gt;"",INDEX(LISTA!$M$2:$N$27,MATCH($BC493,LISTA!$N$2:$N$27,0),1),"")</f>
        <v>13</v>
      </c>
      <c r="CA493" s="67">
        <f t="shared" si="6"/>
        <v>8</v>
      </c>
      <c r="CB493" s="114" t="str">
        <f t="shared" si="7"/>
        <v/>
      </c>
      <c r="CC493" s="114"/>
    </row>
    <row r="494" ht="15.0" customHeight="1">
      <c r="A494" s="59">
        <v>46255.757740891204</v>
      </c>
      <c r="B494" s="62" t="s">
        <v>381</v>
      </c>
      <c r="C494" s="54" t="s">
        <v>100</v>
      </c>
      <c r="D494" s="56" t="s">
        <v>319</v>
      </c>
      <c r="E494" s="69">
        <v>46259.375</v>
      </c>
      <c r="F494" s="162" t="s">
        <v>6372</v>
      </c>
      <c r="G494" s="60" t="s">
        <v>6384</v>
      </c>
      <c r="H494" s="60" t="s">
        <v>6385</v>
      </c>
      <c r="I494" s="67" t="s">
        <v>107</v>
      </c>
      <c r="J494" s="79" t="s">
        <v>6386</v>
      </c>
      <c r="K494" s="67" t="s">
        <v>109</v>
      </c>
      <c r="L494" s="79" t="s">
        <v>6387</v>
      </c>
      <c r="M494" s="83" t="s">
        <v>6388</v>
      </c>
      <c r="N494" s="78">
        <v>35692.0</v>
      </c>
      <c r="O494" s="80" t="s">
        <v>46</v>
      </c>
      <c r="P494" s="70">
        <v>190705.0</v>
      </c>
      <c r="Q494" s="54"/>
      <c r="R494" s="84"/>
      <c r="S494" s="84"/>
      <c r="T494" s="54"/>
      <c r="U494" s="86"/>
      <c r="V494" s="54"/>
      <c r="W494" s="86"/>
      <c r="X494" s="54"/>
      <c r="Y494" s="78"/>
      <c r="Z494" s="54"/>
      <c r="AA494" s="70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 t="s">
        <v>6389</v>
      </c>
      <c r="AL494" s="83"/>
      <c r="AM494" s="83"/>
      <c r="AN494" s="83"/>
      <c r="AO494" s="83"/>
      <c r="AP494" s="83"/>
      <c r="AQ494" s="54" t="s">
        <v>2271</v>
      </c>
      <c r="AR494" s="83" t="s">
        <v>6390</v>
      </c>
      <c r="AS494" s="83" t="s">
        <v>6391</v>
      </c>
      <c r="AT494" s="93" t="s">
        <v>6392</v>
      </c>
      <c r="AU494" s="93" t="s">
        <v>6392</v>
      </c>
      <c r="AV494" s="93" t="s">
        <v>6393</v>
      </c>
      <c r="AW494" s="83" t="s">
        <v>6394</v>
      </c>
      <c r="AX494" s="83">
        <v>2.0</v>
      </c>
      <c r="AY494" s="83">
        <v>1.0</v>
      </c>
      <c r="AZ494" s="83" t="s">
        <v>6395</v>
      </c>
      <c r="BA494" s="83" t="s">
        <v>6396</v>
      </c>
      <c r="BB494" s="83" t="s">
        <v>6397</v>
      </c>
      <c r="BC494" s="54" t="s">
        <v>46</v>
      </c>
      <c r="BD494" s="70" t="str">
        <f t="shared" si="1"/>
        <v>Talara</v>
      </c>
      <c r="BE494" s="67" t="s">
        <v>140</v>
      </c>
      <c r="BF494" s="67" t="s">
        <v>144</v>
      </c>
      <c r="BG494" s="67" t="s">
        <v>142</v>
      </c>
      <c r="BH494" s="67"/>
      <c r="BI494" s="67"/>
      <c r="BJ494" s="67"/>
      <c r="BK494" s="67"/>
      <c r="BL494" s="67" t="s">
        <v>147</v>
      </c>
      <c r="BM494" s="67" t="s">
        <v>146</v>
      </c>
      <c r="BN494" s="100">
        <v>89.0</v>
      </c>
      <c r="BO494" s="102" t="s">
        <v>148</v>
      </c>
      <c r="BP494" s="67" t="s">
        <v>141</v>
      </c>
      <c r="BQ494" s="79" t="s">
        <v>141</v>
      </c>
      <c r="BR494" s="67" t="s">
        <v>149</v>
      </c>
      <c r="BS494" s="102">
        <v>1.0</v>
      </c>
      <c r="BT494" s="106"/>
      <c r="BU494" s="107"/>
      <c r="BV494" s="108">
        <f t="shared" si="2"/>
        <v>46255</v>
      </c>
      <c r="BW494" s="108">
        <f t="shared" si="16"/>
        <v>46259</v>
      </c>
      <c r="BX494" s="102" t="str">
        <f t="shared" si="15"/>
        <v>09</v>
      </c>
      <c r="BY494" s="107">
        <f t="shared" si="5"/>
        <v>2</v>
      </c>
      <c r="BZ494" s="107">
        <f t="array" ref="BZ494">IF($A494&lt;&gt;"",INDEX(LISTA!$M$2:$N$27,MATCH($BC494,LISTA!$N$2:$N$27,0),1),"")</f>
        <v>21</v>
      </c>
      <c r="CA494" s="67">
        <f t="shared" si="6"/>
        <v>8</v>
      </c>
      <c r="CB494" s="114" t="str">
        <f t="shared" si="7"/>
        <v/>
      </c>
      <c r="CC494" s="114"/>
    </row>
    <row r="495" ht="15.0" customHeight="1">
      <c r="A495" s="59">
        <v>46254.5291553125</v>
      </c>
      <c r="B495" s="62" t="s">
        <v>381</v>
      </c>
      <c r="C495" s="54" t="s">
        <v>100</v>
      </c>
      <c r="D495" s="56" t="s">
        <v>319</v>
      </c>
      <c r="E495" s="69">
        <v>46256.375</v>
      </c>
      <c r="F495" s="162" t="s">
        <v>6398</v>
      </c>
      <c r="G495" s="60" t="s">
        <v>6399</v>
      </c>
      <c r="H495" s="60" t="s">
        <v>6400</v>
      </c>
      <c r="I495" s="67" t="s">
        <v>350</v>
      </c>
      <c r="J495" s="79" t="s">
        <v>6401</v>
      </c>
      <c r="K495" s="67" t="s">
        <v>109</v>
      </c>
      <c r="L495" s="79" t="s">
        <v>6402</v>
      </c>
      <c r="M495" s="83" t="s">
        <v>6403</v>
      </c>
      <c r="N495" s="78">
        <v>29386.0</v>
      </c>
      <c r="O495" s="80" t="s">
        <v>30</v>
      </c>
      <c r="P495" s="156" t="s">
        <v>4902</v>
      </c>
      <c r="Q495" s="54"/>
      <c r="R495" s="84"/>
      <c r="S495" s="84"/>
      <c r="T495" s="54"/>
      <c r="U495" s="86"/>
      <c r="V495" s="54"/>
      <c r="W495" s="86" t="s">
        <v>4269</v>
      </c>
      <c r="X495" s="54"/>
      <c r="Y495" s="78"/>
      <c r="Z495" s="54"/>
      <c r="AA495" s="70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54" t="s">
        <v>6228</v>
      </c>
      <c r="AR495" s="83" t="s">
        <v>4630</v>
      </c>
      <c r="AS495" s="83" t="s">
        <v>6404</v>
      </c>
      <c r="AT495" s="93" t="s">
        <v>6401</v>
      </c>
      <c r="AU495" s="93" t="s">
        <v>6401</v>
      </c>
      <c r="AV495" s="93" t="s">
        <v>6401</v>
      </c>
      <c r="AW495" s="83" t="s">
        <v>6405</v>
      </c>
      <c r="AX495" s="83">
        <v>1.0</v>
      </c>
      <c r="AY495" s="83">
        <v>0.0</v>
      </c>
      <c r="AZ495" s="83" t="s">
        <v>6406</v>
      </c>
      <c r="BA495" s="83" t="s">
        <v>6407</v>
      </c>
      <c r="BB495" s="83" t="s">
        <v>6408</v>
      </c>
      <c r="BC495" s="54" t="s">
        <v>30</v>
      </c>
      <c r="BD495" s="54" t="str">
        <f t="shared" si="1"/>
        <v>Ventanilla</v>
      </c>
      <c r="BE495" s="67" t="s">
        <v>140</v>
      </c>
      <c r="BF495" s="67" t="s">
        <v>141</v>
      </c>
      <c r="BG495" s="67" t="s">
        <v>142</v>
      </c>
      <c r="BH495" s="67"/>
      <c r="BI495" s="67"/>
      <c r="BJ495" s="67"/>
      <c r="BK495" s="67"/>
      <c r="BL495" s="67" t="s">
        <v>147</v>
      </c>
      <c r="BM495" s="67" t="s">
        <v>146</v>
      </c>
      <c r="BN495" s="100">
        <v>89.0</v>
      </c>
      <c r="BO495" s="102" t="s">
        <v>148</v>
      </c>
      <c r="BP495" s="67" t="s">
        <v>141</v>
      </c>
      <c r="BQ495" s="79" t="s">
        <v>141</v>
      </c>
      <c r="BR495" s="67" t="s">
        <v>149</v>
      </c>
      <c r="BS495" s="102">
        <v>1.0</v>
      </c>
      <c r="BT495" s="106"/>
      <c r="BU495" s="107"/>
      <c r="BV495" s="108">
        <f t="shared" si="2"/>
        <v>46254</v>
      </c>
      <c r="BW495" s="108">
        <f t="shared" si="16"/>
        <v>46256</v>
      </c>
      <c r="BX495" s="102" t="str">
        <f t="shared" si="15"/>
        <v>09</v>
      </c>
      <c r="BY495" s="107">
        <f t="shared" si="5"/>
        <v>2</v>
      </c>
      <c r="BZ495" s="107">
        <f t="array" ref="BZ495">IF($A495&lt;&gt;"",INDEX(LISTA!$M$2:$N$27,MATCH($BC495,LISTA!$N$2:$N$27,0),1),"")</f>
        <v>2</v>
      </c>
      <c r="CA495" s="67">
        <f t="shared" si="6"/>
        <v>8</v>
      </c>
      <c r="CB495" s="114" t="str">
        <f t="shared" si="7"/>
        <v/>
      </c>
      <c r="CC495" s="114"/>
    </row>
    <row r="496" ht="15.0" customHeight="1">
      <c r="A496" s="59">
        <v>46254.65554626157</v>
      </c>
      <c r="B496" s="62" t="s">
        <v>381</v>
      </c>
      <c r="C496" s="54" t="s">
        <v>100</v>
      </c>
      <c r="D496" s="56" t="s">
        <v>319</v>
      </c>
      <c r="E496" s="69">
        <v>46257.0</v>
      </c>
      <c r="F496" s="162" t="s">
        <v>6409</v>
      </c>
      <c r="G496" s="60" t="s">
        <v>6410</v>
      </c>
      <c r="H496" s="60" t="s">
        <v>6411</v>
      </c>
      <c r="I496" s="67" t="s">
        <v>350</v>
      </c>
      <c r="J496" s="79" t="s">
        <v>6412</v>
      </c>
      <c r="K496" s="67" t="s">
        <v>109</v>
      </c>
      <c r="L496" s="79" t="s">
        <v>6413</v>
      </c>
      <c r="M496" s="83" t="s">
        <v>6414</v>
      </c>
      <c r="N496" s="78">
        <v>34141.0</v>
      </c>
      <c r="O496" s="80" t="s">
        <v>50</v>
      </c>
      <c r="P496" s="70">
        <v>230000.0</v>
      </c>
      <c r="Q496" s="54"/>
      <c r="R496" s="84"/>
      <c r="S496" s="84"/>
      <c r="T496" s="54"/>
      <c r="U496" s="86"/>
      <c r="V496" s="54"/>
      <c r="W496" s="86"/>
      <c r="X496" s="54"/>
      <c r="Y496" s="78"/>
      <c r="Z496" s="54"/>
      <c r="AA496" s="70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 t="s">
        <v>866</v>
      </c>
      <c r="AO496" s="83"/>
      <c r="AP496" s="83"/>
      <c r="AQ496" s="54" t="s">
        <v>6168</v>
      </c>
      <c r="AR496" s="83" t="s">
        <v>6415</v>
      </c>
      <c r="AS496" s="83" t="s">
        <v>6416</v>
      </c>
      <c r="AT496" s="93" t="s">
        <v>6412</v>
      </c>
      <c r="AU496" s="93" t="s">
        <v>6412</v>
      </c>
      <c r="AV496" s="93" t="s">
        <v>6412</v>
      </c>
      <c r="AW496" s="83" t="s">
        <v>6417</v>
      </c>
      <c r="AX496" s="83">
        <v>2.0</v>
      </c>
      <c r="AY496" s="83">
        <v>0.0</v>
      </c>
      <c r="AZ496" s="83" t="s">
        <v>6418</v>
      </c>
      <c r="BA496" s="83" t="s">
        <v>6419</v>
      </c>
      <c r="BB496" s="83" t="s">
        <v>6420</v>
      </c>
      <c r="BC496" s="54" t="s">
        <v>50</v>
      </c>
      <c r="BD496" s="54" t="str">
        <f t="shared" si="1"/>
        <v>Tacna</v>
      </c>
      <c r="BE496" s="67" t="s">
        <v>140</v>
      </c>
      <c r="BF496" s="67" t="s">
        <v>144</v>
      </c>
      <c r="BG496" s="67" t="s">
        <v>142</v>
      </c>
      <c r="BH496" s="67"/>
      <c r="BI496" s="67"/>
      <c r="BJ496" s="67"/>
      <c r="BK496" s="67"/>
      <c r="BL496" s="67" t="s">
        <v>145</v>
      </c>
      <c r="BM496" s="67" t="s">
        <v>146</v>
      </c>
      <c r="BN496" s="100">
        <v>150.0</v>
      </c>
      <c r="BO496" s="102" t="s">
        <v>615</v>
      </c>
      <c r="BP496" s="67" t="s">
        <v>141</v>
      </c>
      <c r="BQ496" s="79" t="s">
        <v>141</v>
      </c>
      <c r="BR496" s="67">
        <v>2.0</v>
      </c>
      <c r="BS496" s="102" t="s">
        <v>149</v>
      </c>
      <c r="BT496" s="106"/>
      <c r="BU496" s="107"/>
      <c r="BV496" s="108">
        <f t="shared" si="2"/>
        <v>46254</v>
      </c>
      <c r="BW496" s="108">
        <f t="shared" si="16"/>
        <v>46257</v>
      </c>
      <c r="BX496" s="102" t="str">
        <f t="shared" si="15"/>
        <v>00</v>
      </c>
      <c r="BY496" s="107">
        <f t="shared" si="5"/>
        <v>2</v>
      </c>
      <c r="BZ496" s="107">
        <f t="array" ref="BZ496">IF($A496&lt;&gt;"",INDEX(LISTA!$M$2:$N$27,MATCH($BC496,LISTA!$N$2:$N$27,0),1),"")</f>
        <v>24</v>
      </c>
      <c r="CA496" s="67">
        <f t="shared" si="6"/>
        <v>8</v>
      </c>
      <c r="CB496" s="114" t="str">
        <f t="shared" si="7"/>
        <v/>
      </c>
      <c r="CC496" s="114"/>
    </row>
    <row r="497" ht="15.0" customHeight="1">
      <c r="A497" s="59">
        <v>46254.83969146991</v>
      </c>
      <c r="B497" s="62" t="s">
        <v>381</v>
      </c>
      <c r="C497" s="54" t="s">
        <v>100</v>
      </c>
      <c r="D497" s="56" t="s">
        <v>319</v>
      </c>
      <c r="E497" s="69">
        <v>46256.375</v>
      </c>
      <c r="F497" s="162" t="s">
        <v>6421</v>
      </c>
      <c r="G497" s="60" t="s">
        <v>6422</v>
      </c>
      <c r="H497" s="60" t="s">
        <v>6423</v>
      </c>
      <c r="I497" s="67" t="s">
        <v>405</v>
      </c>
      <c r="J497" s="79" t="s">
        <v>6424</v>
      </c>
      <c r="K497" s="67" t="s">
        <v>109</v>
      </c>
      <c r="L497" s="79" t="s">
        <v>6425</v>
      </c>
      <c r="M497" s="83" t="s">
        <v>6426</v>
      </c>
      <c r="N497" s="78">
        <v>29350.0</v>
      </c>
      <c r="O497" s="80" t="s">
        <v>28</v>
      </c>
      <c r="P497" s="156" t="s">
        <v>6427</v>
      </c>
      <c r="Q497" s="54"/>
      <c r="R497" s="84"/>
      <c r="S497" s="84"/>
      <c r="T497" s="54"/>
      <c r="U497" s="86"/>
      <c r="V497" s="54"/>
      <c r="W497" s="86"/>
      <c r="X497" s="54"/>
      <c r="Y497" s="78"/>
      <c r="Z497" s="54"/>
      <c r="AA497" s="70" t="s">
        <v>1796</v>
      </c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54" t="s">
        <v>6428</v>
      </c>
      <c r="AR497" s="83" t="s">
        <v>6429</v>
      </c>
      <c r="AS497" s="83" t="s">
        <v>6430</v>
      </c>
      <c r="AT497" s="93" t="s">
        <v>6424</v>
      </c>
      <c r="AU497" s="93" t="s">
        <v>6424</v>
      </c>
      <c r="AV497" s="93" t="s">
        <v>6424</v>
      </c>
      <c r="AW497" s="83" t="s">
        <v>6431</v>
      </c>
      <c r="AX497" s="83">
        <v>1.0</v>
      </c>
      <c r="AY497" s="83">
        <v>0.0</v>
      </c>
      <c r="AZ497" s="83" t="s">
        <v>6432</v>
      </c>
      <c r="BA497" s="83" t="s">
        <v>4083</v>
      </c>
      <c r="BB497" s="83" t="s">
        <v>6433</v>
      </c>
      <c r="BC497" s="54" t="s">
        <v>34</v>
      </c>
      <c r="BD497" s="70" t="str">
        <f t="shared" si="1"/>
        <v>Chincha</v>
      </c>
      <c r="BE497" s="67" t="s">
        <v>140</v>
      </c>
      <c r="BF497" s="67" t="s">
        <v>141</v>
      </c>
      <c r="BG497" s="67" t="s">
        <v>142</v>
      </c>
      <c r="BH497" s="67"/>
      <c r="BI497" s="67"/>
      <c r="BJ497" s="67"/>
      <c r="BK497" s="67"/>
      <c r="BL497" s="67" t="s">
        <v>147</v>
      </c>
      <c r="BM497" s="67" t="s">
        <v>1172</v>
      </c>
      <c r="BN497" s="100">
        <v>69.0</v>
      </c>
      <c r="BO497" s="102" t="s">
        <v>615</v>
      </c>
      <c r="BP497" s="67" t="s">
        <v>141</v>
      </c>
      <c r="BQ497" s="79" t="s">
        <v>141</v>
      </c>
      <c r="BR497" s="67" t="s">
        <v>149</v>
      </c>
      <c r="BS497" s="102" t="s">
        <v>149</v>
      </c>
      <c r="BT497" s="106"/>
      <c r="BU497" s="107"/>
      <c r="BV497" s="108">
        <f t="shared" si="2"/>
        <v>46254</v>
      </c>
      <c r="BW497" s="108">
        <f t="shared" si="16"/>
        <v>46256</v>
      </c>
      <c r="BX497" s="102" t="str">
        <f t="shared" si="15"/>
        <v>09</v>
      </c>
      <c r="BY497" s="107">
        <f t="shared" si="5"/>
        <v>2</v>
      </c>
      <c r="BZ497" s="107">
        <f t="array" ref="BZ497">IF($A497&lt;&gt;"",INDEX(LISTA!$M$2:$N$27,MATCH($BC497,LISTA!$N$2:$N$27,0),1),"")</f>
        <v>13</v>
      </c>
      <c r="CA497" s="67">
        <f t="shared" si="6"/>
        <v>8</v>
      </c>
      <c r="CB497" s="114" t="str">
        <f t="shared" si="7"/>
        <v/>
      </c>
      <c r="CC497" s="114"/>
    </row>
    <row r="498" ht="15.0" customHeight="1">
      <c r="A498" s="59">
        <v>46251.73571927083</v>
      </c>
      <c r="B498" s="62" t="s">
        <v>381</v>
      </c>
      <c r="C498" s="54" t="s">
        <v>100</v>
      </c>
      <c r="D498" s="56" t="s">
        <v>319</v>
      </c>
      <c r="E498" s="69">
        <v>46254.375</v>
      </c>
      <c r="F498" s="162"/>
      <c r="G498" s="60" t="s">
        <v>6434</v>
      </c>
      <c r="H498" s="60" t="s">
        <v>6435</v>
      </c>
      <c r="I498" s="67" t="s">
        <v>374</v>
      </c>
      <c r="J498" s="79" t="s">
        <v>6436</v>
      </c>
      <c r="K498" s="67" t="s">
        <v>109</v>
      </c>
      <c r="L498" s="79" t="s">
        <v>6437</v>
      </c>
      <c r="M498" s="83" t="s">
        <v>6438</v>
      </c>
      <c r="N498" s="78">
        <v>29589.0</v>
      </c>
      <c r="O498" s="80" t="s">
        <v>31</v>
      </c>
      <c r="P498" s="156" t="s">
        <v>715</v>
      </c>
      <c r="Q498" s="54"/>
      <c r="R498" s="84"/>
      <c r="S498" s="84"/>
      <c r="T498" s="54" t="s">
        <v>122</v>
      </c>
      <c r="U498" s="86"/>
      <c r="V498" s="54"/>
      <c r="W498" s="86"/>
      <c r="X498" s="54"/>
      <c r="Y498" s="78"/>
      <c r="Z498" s="54"/>
      <c r="AA498" s="70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54" t="s">
        <v>6439</v>
      </c>
      <c r="AR498" s="83" t="s">
        <v>6440</v>
      </c>
      <c r="AS498" s="83" t="s">
        <v>6441</v>
      </c>
      <c r="AT498" s="93" t="s">
        <v>6436</v>
      </c>
      <c r="AU498" s="93" t="s">
        <v>6442</v>
      </c>
      <c r="AV498" s="93" t="s">
        <v>6443</v>
      </c>
      <c r="AW498" s="83" t="s">
        <v>6444</v>
      </c>
      <c r="AX498" s="83">
        <v>2.0</v>
      </c>
      <c r="AY498" s="83">
        <v>1.0</v>
      </c>
      <c r="AZ498" s="83" t="s">
        <v>6445</v>
      </c>
      <c r="BA498" s="83" t="s">
        <v>1767</v>
      </c>
      <c r="BB498" s="83" t="s">
        <v>6446</v>
      </c>
      <c r="BC498" s="54" t="s">
        <v>27</v>
      </c>
      <c r="BD498" s="54" t="str">
        <f t="shared" si="1"/>
        <v>Arequipa</v>
      </c>
      <c r="BE498" s="67" t="s">
        <v>143</v>
      </c>
      <c r="BF498" s="67" t="s">
        <v>144</v>
      </c>
      <c r="BG498" s="67" t="s">
        <v>142</v>
      </c>
      <c r="BH498" s="67"/>
      <c r="BI498" s="67"/>
      <c r="BJ498" s="67"/>
      <c r="BK498" s="67"/>
      <c r="BL498" s="67" t="s">
        <v>147</v>
      </c>
      <c r="BM498" s="67" t="s">
        <v>146</v>
      </c>
      <c r="BN498" s="100">
        <v>89.0</v>
      </c>
      <c r="BO498" s="102" t="s">
        <v>148</v>
      </c>
      <c r="BP498" s="67" t="s">
        <v>141</v>
      </c>
      <c r="BQ498" s="79" t="s">
        <v>141</v>
      </c>
      <c r="BR498" s="67" t="s">
        <v>149</v>
      </c>
      <c r="BS498" s="102" t="s">
        <v>149</v>
      </c>
      <c r="BT498" s="106"/>
      <c r="BU498" s="107"/>
      <c r="BV498" s="108">
        <f t="shared" si="2"/>
        <v>46251</v>
      </c>
      <c r="BW498" s="108">
        <f t="shared" si="16"/>
        <v>46254</v>
      </c>
      <c r="BX498" s="102" t="str">
        <f t="shared" si="15"/>
        <v>09</v>
      </c>
      <c r="BY498" s="107">
        <f t="shared" si="5"/>
        <v>2</v>
      </c>
      <c r="BZ498" s="107">
        <f t="array" ref="BZ498">IF($A498&lt;&gt;"",INDEX(LISTA!$M$2:$N$27,MATCH($BC498,LISTA!$N$2:$N$27,0),1),"")</f>
        <v>7</v>
      </c>
      <c r="CA498" s="67">
        <f t="shared" si="6"/>
        <v>8</v>
      </c>
      <c r="CB498" s="114" t="str">
        <f t="shared" si="7"/>
        <v/>
      </c>
      <c r="CC498" s="114"/>
    </row>
    <row r="499" ht="15.0" customHeight="1">
      <c r="A499" s="59">
        <v>46248.66562796297</v>
      </c>
      <c r="B499" s="62" t="s">
        <v>381</v>
      </c>
      <c r="C499" s="54" t="s">
        <v>100</v>
      </c>
      <c r="D499" s="56" t="s">
        <v>319</v>
      </c>
      <c r="E499" s="69">
        <v>46254.375</v>
      </c>
      <c r="F499" s="162" t="s">
        <v>6447</v>
      </c>
      <c r="G499" s="60" t="s">
        <v>6448</v>
      </c>
      <c r="H499" s="60" t="s">
        <v>6449</v>
      </c>
      <c r="I499" s="67" t="s">
        <v>378</v>
      </c>
      <c r="J499" s="79" t="s">
        <v>6450</v>
      </c>
      <c r="K499" s="67" t="s">
        <v>109</v>
      </c>
      <c r="L499" s="79" t="s">
        <v>6451</v>
      </c>
      <c r="M499" s="83" t="s">
        <v>6452</v>
      </c>
      <c r="N499" s="78">
        <v>27421.0</v>
      </c>
      <c r="O499" s="80" t="s">
        <v>41</v>
      </c>
      <c r="P499" s="70">
        <v>150101.0</v>
      </c>
      <c r="Q499" s="54"/>
      <c r="R499" s="84"/>
      <c r="S499" s="84"/>
      <c r="T499" s="54"/>
      <c r="U499" s="86"/>
      <c r="V499" s="54"/>
      <c r="W499" s="86"/>
      <c r="X499" s="54"/>
      <c r="Y499" s="78"/>
      <c r="Z499" s="54"/>
      <c r="AA499" s="70"/>
      <c r="AB499" s="83"/>
      <c r="AC499" s="83"/>
      <c r="AD499" s="83"/>
      <c r="AE499" s="83"/>
      <c r="AF499" s="83" t="s">
        <v>1603</v>
      </c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54" t="s">
        <v>6453</v>
      </c>
      <c r="AR499" s="83" t="s">
        <v>6454</v>
      </c>
      <c r="AS499" s="83" t="s">
        <v>6455</v>
      </c>
      <c r="AT499" s="93" t="s">
        <v>6450</v>
      </c>
      <c r="AU499" s="93" t="s">
        <v>6450</v>
      </c>
      <c r="AV499" s="93" t="s">
        <v>6450</v>
      </c>
      <c r="AW499" s="83" t="s">
        <v>6456</v>
      </c>
      <c r="AX499" s="83">
        <v>2.0</v>
      </c>
      <c r="AY499" s="83">
        <v>0.0</v>
      </c>
      <c r="AZ499" s="83" t="s">
        <v>6457</v>
      </c>
      <c r="BA499" s="83" t="s">
        <v>6458</v>
      </c>
      <c r="BB499" s="83" t="s">
        <v>6459</v>
      </c>
      <c r="BC499" s="54" t="s">
        <v>41</v>
      </c>
      <c r="BD499" s="54" t="str">
        <f t="shared" si="1"/>
        <v>Santa Anita</v>
      </c>
      <c r="BE499" s="67" t="s">
        <v>143</v>
      </c>
      <c r="BF499" s="67" t="s">
        <v>144</v>
      </c>
      <c r="BG499" s="67" t="s">
        <v>142</v>
      </c>
      <c r="BH499" s="67"/>
      <c r="BI499" s="67"/>
      <c r="BJ499" s="67"/>
      <c r="BK499" s="67"/>
      <c r="BL499" s="67" t="s">
        <v>283</v>
      </c>
      <c r="BM499" s="67" t="s">
        <v>146</v>
      </c>
      <c r="BN499" s="100">
        <v>84.0</v>
      </c>
      <c r="BO499" s="102" t="s">
        <v>2305</v>
      </c>
      <c r="BP499" s="67" t="s">
        <v>141</v>
      </c>
      <c r="BQ499" s="79" t="s">
        <v>144</v>
      </c>
      <c r="BR499" s="67" t="s">
        <v>149</v>
      </c>
      <c r="BS499" s="102" t="s">
        <v>149</v>
      </c>
      <c r="BT499" s="106"/>
      <c r="BU499" s="107"/>
      <c r="BV499" s="108">
        <f t="shared" si="2"/>
        <v>46248</v>
      </c>
      <c r="BW499" s="108">
        <f t="shared" si="16"/>
        <v>46254</v>
      </c>
      <c r="BX499" s="102" t="str">
        <f t="shared" si="15"/>
        <v>09</v>
      </c>
      <c r="BY499" s="107">
        <f t="shared" si="5"/>
        <v>2</v>
      </c>
      <c r="BZ499" s="107">
        <f t="array" ref="BZ499">IF($A499&lt;&gt;"",INDEX(LISTA!$M$2:$N$27,MATCH($BC499,LISTA!$N$2:$N$27,0),1),"")</f>
        <v>1</v>
      </c>
      <c r="CA499" s="67">
        <f t="shared" si="6"/>
        <v>8</v>
      </c>
      <c r="CB499" s="114" t="str">
        <f t="shared" si="7"/>
        <v/>
      </c>
      <c r="CC499" s="114"/>
    </row>
    <row r="500" ht="15.0" customHeight="1">
      <c r="A500" s="59">
        <v>46252.7618000463</v>
      </c>
      <c r="B500" s="62" t="s">
        <v>381</v>
      </c>
      <c r="C500" s="54" t="s">
        <v>100</v>
      </c>
      <c r="D500" s="56" t="s">
        <v>319</v>
      </c>
      <c r="E500" s="69">
        <v>46255.375</v>
      </c>
      <c r="F500" s="162" t="s">
        <v>6460</v>
      </c>
      <c r="G500" s="60" t="s">
        <v>6461</v>
      </c>
      <c r="H500" s="60" t="s">
        <v>6462</v>
      </c>
      <c r="I500" s="67" t="s">
        <v>374</v>
      </c>
      <c r="J500" s="79" t="s">
        <v>6463</v>
      </c>
      <c r="K500" s="67" t="s">
        <v>109</v>
      </c>
      <c r="L500" s="79" t="s">
        <v>6464</v>
      </c>
      <c r="M500" s="83" t="s">
        <v>6465</v>
      </c>
      <c r="N500" s="78">
        <v>38307.0</v>
      </c>
      <c r="O500" s="80" t="s">
        <v>27</v>
      </c>
      <c r="P500" s="156" t="s">
        <v>1738</v>
      </c>
      <c r="Q500" s="54"/>
      <c r="R500" s="84"/>
      <c r="S500" s="84"/>
      <c r="T500" s="54" t="s">
        <v>122</v>
      </c>
      <c r="U500" s="86"/>
      <c r="V500" s="54"/>
      <c r="W500" s="86"/>
      <c r="X500" s="54"/>
      <c r="Y500" s="78"/>
      <c r="Z500" s="54"/>
      <c r="AA500" s="70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54" t="s">
        <v>6466</v>
      </c>
      <c r="AR500" s="83" t="s">
        <v>1234</v>
      </c>
      <c r="AS500" s="83" t="s">
        <v>6467</v>
      </c>
      <c r="AT500" s="93" t="s">
        <v>6463</v>
      </c>
      <c r="AU500" s="93" t="s">
        <v>6463</v>
      </c>
      <c r="AV500" s="93" t="s">
        <v>6463</v>
      </c>
      <c r="AW500" s="83" t="s">
        <v>6468</v>
      </c>
      <c r="AX500" s="83">
        <v>1.0</v>
      </c>
      <c r="AY500" s="83">
        <v>1.0</v>
      </c>
      <c r="AZ500" s="83" t="s">
        <v>6469</v>
      </c>
      <c r="BA500" s="83" t="s">
        <v>1767</v>
      </c>
      <c r="BB500" s="83" t="s">
        <v>6470</v>
      </c>
      <c r="BC500" s="54" t="s">
        <v>27</v>
      </c>
      <c r="BD500" s="54" t="str">
        <f t="shared" si="1"/>
        <v>Arequipa</v>
      </c>
      <c r="BE500" s="67" t="s">
        <v>140</v>
      </c>
      <c r="BF500" s="67" t="s">
        <v>141</v>
      </c>
      <c r="BG500" s="67" t="s">
        <v>142</v>
      </c>
      <c r="BH500" s="67"/>
      <c r="BI500" s="67"/>
      <c r="BJ500" s="67"/>
      <c r="BK500" s="67"/>
      <c r="BL500" s="67" t="s">
        <v>145</v>
      </c>
      <c r="BM500" s="67" t="s">
        <v>146</v>
      </c>
      <c r="BN500" s="100">
        <v>170.0</v>
      </c>
      <c r="BO500" s="102" t="s">
        <v>148</v>
      </c>
      <c r="BP500" s="67" t="s">
        <v>141</v>
      </c>
      <c r="BQ500" s="79" t="s">
        <v>141</v>
      </c>
      <c r="BR500" s="67" t="s">
        <v>149</v>
      </c>
      <c r="BS500" s="102" t="s">
        <v>149</v>
      </c>
      <c r="BT500" s="106"/>
      <c r="BU500" s="107"/>
      <c r="BV500" s="108">
        <f t="shared" si="2"/>
        <v>46252</v>
      </c>
      <c r="BW500" s="108">
        <f t="shared" si="16"/>
        <v>46255</v>
      </c>
      <c r="BX500" s="102" t="str">
        <f t="shared" si="15"/>
        <v>09</v>
      </c>
      <c r="BY500" s="107">
        <f t="shared" si="5"/>
        <v>2</v>
      </c>
      <c r="BZ500" s="107">
        <f t="array" ref="BZ500">IF($A500&lt;&gt;"",INDEX(LISTA!$M$2:$N$27,MATCH($BC500,LISTA!$N$2:$N$27,0),1),"")</f>
        <v>7</v>
      </c>
      <c r="CA500" s="67">
        <f t="shared" si="6"/>
        <v>8</v>
      </c>
      <c r="CB500" s="114" t="str">
        <f t="shared" si="7"/>
        <v/>
      </c>
      <c r="CC500" s="114"/>
    </row>
    <row r="501" ht="15.0" customHeight="1">
      <c r="A501" s="59">
        <v>46244.55867430556</v>
      </c>
      <c r="B501" s="62" t="s">
        <v>381</v>
      </c>
      <c r="C501" s="54" t="s">
        <v>100</v>
      </c>
      <c r="D501" s="56" t="s">
        <v>319</v>
      </c>
      <c r="E501" s="69">
        <v>46245.583333333336</v>
      </c>
      <c r="F501" s="162"/>
      <c r="G501" s="60" t="s">
        <v>6471</v>
      </c>
      <c r="H501" s="60" t="s">
        <v>6472</v>
      </c>
      <c r="I501" s="67" t="s">
        <v>350</v>
      </c>
      <c r="J501" s="79" t="s">
        <v>6473</v>
      </c>
      <c r="K501" s="67" t="s">
        <v>1117</v>
      </c>
      <c r="L501" s="79" t="s">
        <v>6474</v>
      </c>
      <c r="M501" s="83" t="s">
        <v>6475</v>
      </c>
      <c r="N501" s="78">
        <v>34297.0</v>
      </c>
      <c r="O501" s="80" t="s">
        <v>1120</v>
      </c>
      <c r="P501" s="156" t="s">
        <v>2392</v>
      </c>
      <c r="Q501" s="54"/>
      <c r="R501" s="84"/>
      <c r="S501" s="84"/>
      <c r="T501" s="54"/>
      <c r="U501" s="86"/>
      <c r="V501" s="54"/>
      <c r="W501" s="86"/>
      <c r="X501" s="54"/>
      <c r="Y501" s="78"/>
      <c r="Z501" s="54"/>
      <c r="AA501" s="70"/>
      <c r="AB501" s="83"/>
      <c r="AC501" s="83"/>
      <c r="AD501" s="83"/>
      <c r="AE501" s="83"/>
      <c r="AF501" s="83" t="s">
        <v>2284</v>
      </c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54" t="s">
        <v>2146</v>
      </c>
      <c r="AR501" s="83" t="s">
        <v>2611</v>
      </c>
      <c r="AS501" s="83" t="s">
        <v>6476</v>
      </c>
      <c r="AT501" s="93" t="s">
        <v>6473</v>
      </c>
      <c r="AU501" s="93" t="s">
        <v>6473</v>
      </c>
      <c r="AV501" s="93" t="s">
        <v>6473</v>
      </c>
      <c r="AW501" s="83" t="s">
        <v>6477</v>
      </c>
      <c r="AX501" s="83">
        <v>2.0</v>
      </c>
      <c r="AY501" s="83" t="s">
        <v>6478</v>
      </c>
      <c r="AZ501" s="83" t="s">
        <v>6479</v>
      </c>
      <c r="BA501" s="83" t="s">
        <v>6480</v>
      </c>
      <c r="BB501" s="83" t="s">
        <v>6481</v>
      </c>
      <c r="BC501" s="54" t="s">
        <v>41</v>
      </c>
      <c r="BD501" s="54" t="str">
        <f t="shared" si="1"/>
        <v>Chorrillos</v>
      </c>
      <c r="BE501" s="67" t="s">
        <v>140</v>
      </c>
      <c r="BF501" s="67" t="s">
        <v>141</v>
      </c>
      <c r="BG501" s="67" t="s">
        <v>142</v>
      </c>
      <c r="BH501" s="67"/>
      <c r="BI501" s="67"/>
      <c r="BJ501" s="67"/>
      <c r="BK501" s="67"/>
      <c r="BL501" s="67" t="s">
        <v>147</v>
      </c>
      <c r="BM501" s="67" t="s">
        <v>146</v>
      </c>
      <c r="BN501" s="100">
        <v>69.0</v>
      </c>
      <c r="BO501" s="102" t="s">
        <v>615</v>
      </c>
      <c r="BP501" s="67" t="s">
        <v>141</v>
      </c>
      <c r="BQ501" s="79" t="s">
        <v>141</v>
      </c>
      <c r="BR501" s="67" t="s">
        <v>149</v>
      </c>
      <c r="BS501" s="102" t="s">
        <v>149</v>
      </c>
      <c r="BT501" s="106"/>
      <c r="BU501" s="107"/>
      <c r="BV501" s="108">
        <f t="shared" si="2"/>
        <v>46244</v>
      </c>
      <c r="BW501" s="108">
        <f t="shared" si="16"/>
        <v>46245</v>
      </c>
      <c r="BX501" s="102" t="str">
        <f t="shared" si="15"/>
        <v>14</v>
      </c>
      <c r="BY501" s="107">
        <f t="shared" si="5"/>
        <v>2</v>
      </c>
      <c r="BZ501" s="107">
        <f t="array" ref="BZ501">IF($A501&lt;&gt;"",INDEX(LISTA!$M$2:$N$27,MATCH($BC501,LISTA!$N$2:$N$27,0),1),"")</f>
        <v>1</v>
      </c>
      <c r="CA501" s="67">
        <f t="shared" si="6"/>
        <v>8</v>
      </c>
      <c r="CB501" s="114" t="str">
        <f t="shared" si="7"/>
        <v/>
      </c>
      <c r="CC501" s="114"/>
    </row>
    <row r="502" ht="15.0" customHeight="1">
      <c r="A502" s="59">
        <v>46240.72688259259</v>
      </c>
      <c r="B502" s="115" t="s">
        <v>381</v>
      </c>
      <c r="C502" s="54" t="s">
        <v>100</v>
      </c>
      <c r="D502" s="56" t="s">
        <v>319</v>
      </c>
      <c r="E502" s="69">
        <v>46243.583333333336</v>
      </c>
      <c r="F502" s="162" t="s">
        <v>6482</v>
      </c>
      <c r="G502" s="60" t="s">
        <v>6483</v>
      </c>
      <c r="H502" s="60" t="s">
        <v>6484</v>
      </c>
      <c r="I502" s="67" t="s">
        <v>350</v>
      </c>
      <c r="J502" s="79" t="s">
        <v>4864</v>
      </c>
      <c r="K502" s="67" t="s">
        <v>109</v>
      </c>
      <c r="L502" s="79" t="s">
        <v>6485</v>
      </c>
      <c r="M502" s="83" t="s">
        <v>6486</v>
      </c>
      <c r="N502" s="78">
        <v>32975.0</v>
      </c>
      <c r="O502" s="80" t="s">
        <v>36</v>
      </c>
      <c r="P502" s="70">
        <v>120114.0</v>
      </c>
      <c r="Q502" s="54"/>
      <c r="R502" s="84"/>
      <c r="S502" s="84"/>
      <c r="T502" s="54"/>
      <c r="U502" s="86"/>
      <c r="V502" s="54"/>
      <c r="W502" s="86"/>
      <c r="X502" s="54"/>
      <c r="Y502" s="78"/>
      <c r="Z502" s="54"/>
      <c r="AA502" s="70"/>
      <c r="AB502" s="83" t="s">
        <v>766</v>
      </c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54" t="s">
        <v>2133</v>
      </c>
      <c r="AR502" s="83" t="s">
        <v>6487</v>
      </c>
      <c r="AS502" s="83" t="s">
        <v>6488</v>
      </c>
      <c r="AT502" s="93" t="s">
        <v>4864</v>
      </c>
      <c r="AU502" s="93" t="s">
        <v>6489</v>
      </c>
      <c r="AV502" s="93" t="s">
        <v>6489</v>
      </c>
      <c r="AW502" s="83" t="s">
        <v>4869</v>
      </c>
      <c r="AX502" s="83">
        <v>5.0</v>
      </c>
      <c r="AY502" s="83">
        <v>0.0</v>
      </c>
      <c r="AZ502" s="83" t="s">
        <v>4870</v>
      </c>
      <c r="BA502" s="83" t="s">
        <v>6490</v>
      </c>
      <c r="BB502" s="83" t="s">
        <v>4872</v>
      </c>
      <c r="BC502" s="54" t="s">
        <v>36</v>
      </c>
      <c r="BD502" s="54" t="str">
        <f t="shared" si="1"/>
        <v>Huancayo</v>
      </c>
      <c r="BE502" s="67" t="s">
        <v>140</v>
      </c>
      <c r="BF502" s="67" t="s">
        <v>141</v>
      </c>
      <c r="BG502" s="67" t="s">
        <v>142</v>
      </c>
      <c r="BH502" s="67"/>
      <c r="BI502" s="67"/>
      <c r="BJ502" s="67"/>
      <c r="BK502" s="67"/>
      <c r="BL502" s="67" t="s">
        <v>147</v>
      </c>
      <c r="BM502" s="67" t="s">
        <v>146</v>
      </c>
      <c r="BN502" s="100">
        <v>89.0</v>
      </c>
      <c r="BO502" s="102" t="s">
        <v>148</v>
      </c>
      <c r="BP502" s="67" t="s">
        <v>141</v>
      </c>
      <c r="BQ502" s="79" t="s">
        <v>141</v>
      </c>
      <c r="BR502" s="67" t="s">
        <v>149</v>
      </c>
      <c r="BS502" s="102">
        <v>1.0</v>
      </c>
      <c r="BT502" s="106"/>
      <c r="BU502" s="107"/>
      <c r="BV502" s="108">
        <f t="shared" si="2"/>
        <v>46240</v>
      </c>
      <c r="BW502" s="108">
        <f t="shared" si="16"/>
        <v>46243</v>
      </c>
      <c r="BX502" s="102" t="str">
        <f t="shared" si="15"/>
        <v>14</v>
      </c>
      <c r="BY502" s="107">
        <f t="shared" si="5"/>
        <v>2</v>
      </c>
      <c r="BZ502" s="107">
        <f t="array" ref="BZ502">IF($A502&lt;&gt;"",INDEX(LISTA!$M$2:$N$27,MATCH($BC502,LISTA!$N$2:$N$27,0),1),"")</f>
        <v>14</v>
      </c>
      <c r="CA502" s="67">
        <f t="shared" si="6"/>
        <v>8</v>
      </c>
      <c r="CB502" s="114" t="str">
        <f t="shared" si="7"/>
        <v/>
      </c>
      <c r="CC502" s="114"/>
    </row>
    <row r="503" ht="15.0" customHeight="1">
      <c r="A503" s="59">
        <v>46239.69993369213</v>
      </c>
      <c r="B503" s="115" t="s">
        <v>381</v>
      </c>
      <c r="C503" s="54" t="s">
        <v>100</v>
      </c>
      <c r="D503" s="56" t="s">
        <v>319</v>
      </c>
      <c r="E503" s="69">
        <v>46240.583333333336</v>
      </c>
      <c r="F503" s="162"/>
      <c r="G503" s="60" t="s">
        <v>6491</v>
      </c>
      <c r="H503" s="60" t="s">
        <v>6492</v>
      </c>
      <c r="I503" s="67" t="s">
        <v>350</v>
      </c>
      <c r="J503" s="79" t="s">
        <v>6493</v>
      </c>
      <c r="K503" s="67" t="s">
        <v>109</v>
      </c>
      <c r="L503" s="79" t="s">
        <v>6494</v>
      </c>
      <c r="M503" s="83" t="s">
        <v>6495</v>
      </c>
      <c r="N503" s="78">
        <v>35949.0</v>
      </c>
      <c r="O503" s="80" t="s">
        <v>33</v>
      </c>
      <c r="P503" s="70">
        <v>1008.0</v>
      </c>
      <c r="Q503" s="54"/>
      <c r="R503" s="84"/>
      <c r="S503" s="84"/>
      <c r="T503" s="54"/>
      <c r="U503" s="86"/>
      <c r="V503" s="54"/>
      <c r="W503" s="86"/>
      <c r="X503" s="54"/>
      <c r="Y503" s="78"/>
      <c r="Z503" s="54" t="s">
        <v>267</v>
      </c>
      <c r="AA503" s="70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54" t="s">
        <v>3635</v>
      </c>
      <c r="AR503" s="83" t="s">
        <v>1389</v>
      </c>
      <c r="AS503" s="83" t="s">
        <v>6496</v>
      </c>
      <c r="AT503" s="93" t="s">
        <v>6497</v>
      </c>
      <c r="AU503" s="93" t="s">
        <v>6497</v>
      </c>
      <c r="AV503" s="93" t="s">
        <v>6497</v>
      </c>
      <c r="AW503" s="83" t="s">
        <v>6498</v>
      </c>
      <c r="AX503" s="83">
        <v>1.0</v>
      </c>
      <c r="AY503" s="83">
        <v>0.0</v>
      </c>
      <c r="AZ503" s="83" t="s">
        <v>6499</v>
      </c>
      <c r="BA503" s="83" t="s">
        <v>6500</v>
      </c>
      <c r="BB503" s="83" t="s">
        <v>6501</v>
      </c>
      <c r="BC503" s="54" t="s">
        <v>33</v>
      </c>
      <c r="BD503" s="54" t="str">
        <f t="shared" si="1"/>
        <v>Huánuco</v>
      </c>
      <c r="BE503" s="67" t="s">
        <v>140</v>
      </c>
      <c r="BF503" s="67" t="s">
        <v>144</v>
      </c>
      <c r="BG503" s="67" t="s">
        <v>142</v>
      </c>
      <c r="BH503" s="67"/>
      <c r="BI503" s="67"/>
      <c r="BJ503" s="67"/>
      <c r="BK503" s="67"/>
      <c r="BL503" s="67" t="s">
        <v>145</v>
      </c>
      <c r="BM503" s="67" t="s">
        <v>146</v>
      </c>
      <c r="BN503" s="100">
        <v>150.0</v>
      </c>
      <c r="BO503" s="102" t="s">
        <v>615</v>
      </c>
      <c r="BP503" s="67" t="s">
        <v>144</v>
      </c>
      <c r="BQ503" s="79" t="s">
        <v>141</v>
      </c>
      <c r="BR503" s="67">
        <v>2.0</v>
      </c>
      <c r="BS503" s="102" t="s">
        <v>149</v>
      </c>
      <c r="BT503" s="106"/>
      <c r="BU503" s="107"/>
      <c r="BV503" s="108">
        <f t="shared" si="2"/>
        <v>46239</v>
      </c>
      <c r="BW503" s="108">
        <f t="shared" si="16"/>
        <v>46240</v>
      </c>
      <c r="BX503" s="102" t="str">
        <f t="shared" si="15"/>
        <v>14</v>
      </c>
      <c r="BY503" s="107">
        <f t="shared" si="5"/>
        <v>2</v>
      </c>
      <c r="BZ503" s="107">
        <f t="array" ref="BZ503">IF($A503&lt;&gt;"",INDEX(LISTA!$M$2:$N$27,MATCH($BC503,LISTA!$N$2:$N$27,0),1),"")</f>
        <v>12</v>
      </c>
      <c r="CA503" s="67">
        <f t="shared" si="6"/>
        <v>8</v>
      </c>
      <c r="CB503" s="114" t="str">
        <f t="shared" si="7"/>
        <v/>
      </c>
      <c r="CC503" s="114"/>
    </row>
    <row r="504" ht="15.0" customHeight="1">
      <c r="A504" s="59">
        <v>46248.68110478009</v>
      </c>
      <c r="B504" s="115" t="s">
        <v>381</v>
      </c>
      <c r="C504" s="54" t="s">
        <v>100</v>
      </c>
      <c r="D504" s="56" t="s">
        <v>319</v>
      </c>
      <c r="E504" s="69">
        <v>46249.583333333336</v>
      </c>
      <c r="F504" s="162" t="s">
        <v>6502</v>
      </c>
      <c r="G504" s="60" t="s">
        <v>6503</v>
      </c>
      <c r="H504" s="60" t="s">
        <v>6504</v>
      </c>
      <c r="I504" s="67" t="s">
        <v>374</v>
      </c>
      <c r="J504" s="79" t="s">
        <v>6505</v>
      </c>
      <c r="K504" s="67" t="s">
        <v>109</v>
      </c>
      <c r="L504" s="79" t="s">
        <v>6506</v>
      </c>
      <c r="M504" s="83" t="s">
        <v>6507</v>
      </c>
      <c r="N504" s="78">
        <v>29765.0</v>
      </c>
      <c r="O504" s="80" t="s">
        <v>37</v>
      </c>
      <c r="P504" s="70">
        <v>130101.0</v>
      </c>
      <c r="Q504" s="54"/>
      <c r="R504" s="84"/>
      <c r="S504" s="84"/>
      <c r="T504" s="54"/>
      <c r="U504" s="86"/>
      <c r="V504" s="54"/>
      <c r="W504" s="86"/>
      <c r="X504" s="54"/>
      <c r="Y504" s="78"/>
      <c r="Z504" s="54"/>
      <c r="AA504" s="70"/>
      <c r="AB504" s="83"/>
      <c r="AC504" s="83"/>
      <c r="AD504" s="83"/>
      <c r="AE504" s="83"/>
      <c r="AF504" s="83" t="s">
        <v>300</v>
      </c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54" t="s">
        <v>6508</v>
      </c>
      <c r="AR504" s="83" t="s">
        <v>6509</v>
      </c>
      <c r="AS504" s="83" t="s">
        <v>6510</v>
      </c>
      <c r="AT504" s="93" t="s">
        <v>6511</v>
      </c>
      <c r="AU504" s="93" t="s">
        <v>6512</v>
      </c>
      <c r="AV504" s="93" t="s">
        <v>6512</v>
      </c>
      <c r="AW504" s="83" t="s">
        <v>6513</v>
      </c>
      <c r="AX504" s="83">
        <v>2.0</v>
      </c>
      <c r="AY504" s="83">
        <v>1.0</v>
      </c>
      <c r="AZ504" s="83" t="s">
        <v>6514</v>
      </c>
      <c r="BA504" s="83" t="s">
        <v>1767</v>
      </c>
      <c r="BB504" s="83" t="s">
        <v>6515</v>
      </c>
      <c r="BC504" s="54" t="s">
        <v>41</v>
      </c>
      <c r="BD504" s="54" t="str">
        <f t="shared" si="1"/>
        <v>Ate</v>
      </c>
      <c r="BE504" s="67" t="s">
        <v>140</v>
      </c>
      <c r="BF504" s="67" t="s">
        <v>141</v>
      </c>
      <c r="BG504" s="67" t="s">
        <v>142</v>
      </c>
      <c r="BH504" s="67"/>
      <c r="BI504" s="67"/>
      <c r="BJ504" s="67"/>
      <c r="BK504" s="67"/>
      <c r="BL504" s="67" t="s">
        <v>147</v>
      </c>
      <c r="BM504" s="67" t="s">
        <v>146</v>
      </c>
      <c r="BN504" s="100">
        <v>89.0</v>
      </c>
      <c r="BO504" s="102" t="s">
        <v>148</v>
      </c>
      <c r="BP504" s="67" t="s">
        <v>141</v>
      </c>
      <c r="BQ504" s="79" t="s">
        <v>141</v>
      </c>
      <c r="BR504" s="67" t="s">
        <v>149</v>
      </c>
      <c r="BS504" s="102">
        <v>1.0</v>
      </c>
      <c r="BT504" s="106"/>
      <c r="BU504" s="107"/>
      <c r="BV504" s="108">
        <f t="shared" si="2"/>
        <v>46248</v>
      </c>
      <c r="BW504" s="108">
        <f t="shared" si="16"/>
        <v>46249</v>
      </c>
      <c r="BX504" s="102" t="str">
        <f t="shared" si="15"/>
        <v>14</v>
      </c>
      <c r="BY504" s="107">
        <f t="shared" si="5"/>
        <v>2</v>
      </c>
      <c r="BZ504" s="107">
        <f t="array" ref="BZ504">IF($A504&lt;&gt;"",INDEX(LISTA!$M$2:$N$27,MATCH($BC504,LISTA!$N$2:$N$27,0),1),"")</f>
        <v>1</v>
      </c>
      <c r="CA504" s="67">
        <f t="shared" si="6"/>
        <v>8</v>
      </c>
      <c r="CB504" s="114" t="str">
        <f t="shared" si="7"/>
        <v/>
      </c>
      <c r="CC504" s="114"/>
    </row>
    <row r="505" ht="15.0" customHeight="1">
      <c r="A505" s="59">
        <v>46255.67641724537</v>
      </c>
      <c r="B505" s="62" t="s">
        <v>381</v>
      </c>
      <c r="C505" s="54" t="s">
        <v>100</v>
      </c>
      <c r="D505" s="56" t="s">
        <v>319</v>
      </c>
      <c r="E505" s="69">
        <v>46256.375</v>
      </c>
      <c r="F505" s="162" t="s">
        <v>6516</v>
      </c>
      <c r="G505" s="60" t="s">
        <v>6517</v>
      </c>
      <c r="H505" s="60" t="s">
        <v>6518</v>
      </c>
      <c r="I505" s="67" t="s">
        <v>374</v>
      </c>
      <c r="J505" s="79" t="s">
        <v>6519</v>
      </c>
      <c r="K505" s="67" t="s">
        <v>109</v>
      </c>
      <c r="L505" s="79" t="s">
        <v>6520</v>
      </c>
      <c r="M505" s="83" t="s">
        <v>6521</v>
      </c>
      <c r="N505" s="78">
        <v>36352.0</v>
      </c>
      <c r="O505" s="80" t="s">
        <v>37</v>
      </c>
      <c r="P505" s="70">
        <v>140301.0</v>
      </c>
      <c r="Q505" s="54"/>
      <c r="R505" s="84"/>
      <c r="S505" s="84"/>
      <c r="T505" s="54"/>
      <c r="U505" s="86"/>
      <c r="V505" s="54"/>
      <c r="W505" s="86"/>
      <c r="X505" s="54"/>
      <c r="Y505" s="78"/>
      <c r="Z505" s="54"/>
      <c r="AA505" s="70"/>
      <c r="AB505" s="83"/>
      <c r="AC505" s="83"/>
      <c r="AD505" s="83"/>
      <c r="AE505" s="83" t="s">
        <v>2833</v>
      </c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54" t="s">
        <v>6522</v>
      </c>
      <c r="AR505" s="83" t="s">
        <v>6523</v>
      </c>
      <c r="AS505" s="83" t="s">
        <v>6524</v>
      </c>
      <c r="AT505" s="93" t="s">
        <v>6519</v>
      </c>
      <c r="AU505" s="93" t="s">
        <v>6519</v>
      </c>
      <c r="AV505" s="93" t="s">
        <v>6519</v>
      </c>
      <c r="AW505" s="83" t="s">
        <v>6525</v>
      </c>
      <c r="AX505" s="83">
        <v>3.0</v>
      </c>
      <c r="AY505" s="83">
        <v>1.0</v>
      </c>
      <c r="AZ505" s="83" t="s">
        <v>6526</v>
      </c>
      <c r="BA505" s="83" t="s">
        <v>1767</v>
      </c>
      <c r="BB505" s="83" t="s">
        <v>6527</v>
      </c>
      <c r="BC505" s="54" t="s">
        <v>37</v>
      </c>
      <c r="BD505" s="54" t="str">
        <f t="shared" si="1"/>
        <v>Barranca</v>
      </c>
      <c r="BE505" s="67" t="s">
        <v>140</v>
      </c>
      <c r="BF505" s="67" t="s">
        <v>141</v>
      </c>
      <c r="BG505" s="67" t="s">
        <v>142</v>
      </c>
      <c r="BH505" s="67"/>
      <c r="BI505" s="67"/>
      <c r="BJ505" s="67"/>
      <c r="BK505" s="67"/>
      <c r="BL505" s="67" t="s">
        <v>147</v>
      </c>
      <c r="BM505" s="67" t="s">
        <v>146</v>
      </c>
      <c r="BN505" s="100">
        <v>89.0</v>
      </c>
      <c r="BO505" s="102" t="s">
        <v>148</v>
      </c>
      <c r="BP505" s="67" t="s">
        <v>141</v>
      </c>
      <c r="BQ505" s="79" t="s">
        <v>141</v>
      </c>
      <c r="BR505" s="67" t="s">
        <v>149</v>
      </c>
      <c r="BS505" s="102">
        <v>1.0</v>
      </c>
      <c r="BT505" s="106"/>
      <c r="BU505" s="107"/>
      <c r="BV505" s="108">
        <f t="shared" si="2"/>
        <v>46255</v>
      </c>
      <c r="BW505" s="108">
        <f t="shared" si="16"/>
        <v>46256</v>
      </c>
      <c r="BX505" s="102" t="str">
        <f t="shared" si="15"/>
        <v>09</v>
      </c>
      <c r="BY505" s="107">
        <f t="shared" si="5"/>
        <v>2</v>
      </c>
      <c r="BZ505" s="107">
        <f t="array" ref="BZ505">IF($A505&lt;&gt;"",INDEX(LISTA!$M$2:$N$27,MATCH($BC505,LISTA!$N$2:$N$27,0),1),"")</f>
        <v>3</v>
      </c>
      <c r="CA505" s="67">
        <f t="shared" si="6"/>
        <v>8</v>
      </c>
      <c r="CB505" s="114" t="str">
        <f t="shared" si="7"/>
        <v/>
      </c>
      <c r="CC505" s="114"/>
    </row>
    <row r="506" ht="15.0" customHeight="1">
      <c r="A506" s="59">
        <v>46253.58137768519</v>
      </c>
      <c r="B506" s="62" t="s">
        <v>377</v>
      </c>
      <c r="C506" s="54" t="s">
        <v>100</v>
      </c>
      <c r="D506" s="56" t="s">
        <v>319</v>
      </c>
      <c r="E506" s="69">
        <v>46257.583333333336</v>
      </c>
      <c r="F506" s="162" t="s">
        <v>6528</v>
      </c>
      <c r="G506" s="60" t="s">
        <v>6529</v>
      </c>
      <c r="H506" s="60" t="s">
        <v>6530</v>
      </c>
      <c r="I506" s="67" t="s">
        <v>350</v>
      </c>
      <c r="J506" s="79" t="s">
        <v>6531</v>
      </c>
      <c r="K506" s="67" t="s">
        <v>109</v>
      </c>
      <c r="L506" s="79" t="s">
        <v>6532</v>
      </c>
      <c r="M506" s="83" t="s">
        <v>6533</v>
      </c>
      <c r="N506" s="78">
        <v>32103.0</v>
      </c>
      <c r="O506" s="80" t="s">
        <v>27</v>
      </c>
      <c r="P506" s="156" t="s">
        <v>2026</v>
      </c>
      <c r="Q506" s="54"/>
      <c r="R506" s="84"/>
      <c r="S506" s="84"/>
      <c r="T506" s="54" t="s">
        <v>122</v>
      </c>
      <c r="U506" s="86"/>
      <c r="V506" s="54"/>
      <c r="W506" s="86"/>
      <c r="X506" s="54"/>
      <c r="Y506" s="78"/>
      <c r="Z506" s="54"/>
      <c r="AA506" s="70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54" t="s">
        <v>6534</v>
      </c>
      <c r="AR506" s="83" t="s">
        <v>4307</v>
      </c>
      <c r="AS506" s="83" t="s">
        <v>6535</v>
      </c>
      <c r="AT506" s="93" t="s">
        <v>6531</v>
      </c>
      <c r="AU506" s="93" t="s">
        <v>6531</v>
      </c>
      <c r="AV506" s="93" t="s">
        <v>6531</v>
      </c>
      <c r="AW506" s="83" t="s">
        <v>6536</v>
      </c>
      <c r="AX506" s="83">
        <v>5.0</v>
      </c>
      <c r="AY506" s="83">
        <v>0.0</v>
      </c>
      <c r="AZ506" s="83" t="s">
        <v>6537</v>
      </c>
      <c r="BA506" s="83" t="s">
        <v>6538</v>
      </c>
      <c r="BB506" s="83" t="s">
        <v>6539</v>
      </c>
      <c r="BC506" s="54" t="s">
        <v>27</v>
      </c>
      <c r="BD506" s="54" t="str">
        <f t="shared" si="1"/>
        <v>Arequipa</v>
      </c>
      <c r="BE506" s="67" t="s">
        <v>140</v>
      </c>
      <c r="BF506" s="67" t="s">
        <v>144</v>
      </c>
      <c r="BG506" s="67" t="s">
        <v>142</v>
      </c>
      <c r="BH506" s="67"/>
      <c r="BI506" s="67"/>
      <c r="BJ506" s="67"/>
      <c r="BK506" s="67"/>
      <c r="BL506" s="67" t="s">
        <v>147</v>
      </c>
      <c r="BM506" s="67" t="s">
        <v>146</v>
      </c>
      <c r="BN506" s="100">
        <v>89.0</v>
      </c>
      <c r="BO506" s="102" t="s">
        <v>148</v>
      </c>
      <c r="BP506" s="67" t="s">
        <v>141</v>
      </c>
      <c r="BQ506" s="79" t="s">
        <v>141</v>
      </c>
      <c r="BR506" s="67" t="s">
        <v>149</v>
      </c>
      <c r="BS506" s="102">
        <v>1.0</v>
      </c>
      <c r="BT506" s="106"/>
      <c r="BU506" s="107"/>
      <c r="BV506" s="108">
        <f t="shared" si="2"/>
        <v>46253</v>
      </c>
      <c r="BW506" s="108">
        <f t="shared" si="16"/>
        <v>46257</v>
      </c>
      <c r="BX506" s="102" t="str">
        <f t="shared" si="15"/>
        <v>14</v>
      </c>
      <c r="BY506" s="107">
        <f t="shared" si="5"/>
        <v>2</v>
      </c>
      <c r="BZ506" s="107">
        <f t="array" ref="BZ506">IF($A506&lt;&gt;"",INDEX(LISTA!$M$2:$N$27,MATCH($BC506,LISTA!$N$2:$N$27,0),1),"")</f>
        <v>7</v>
      </c>
      <c r="CA506" s="67">
        <f t="shared" si="6"/>
        <v>8</v>
      </c>
      <c r="CB506" s="114" t="str">
        <f t="shared" si="7"/>
        <v/>
      </c>
      <c r="CC506" s="114"/>
    </row>
    <row r="507" ht="15.0" customHeight="1">
      <c r="A507" s="59">
        <v>46254.52195071759</v>
      </c>
      <c r="B507" s="62" t="s">
        <v>377</v>
      </c>
      <c r="C507" s="54" t="s">
        <v>100</v>
      </c>
      <c r="D507" s="56" t="s">
        <v>319</v>
      </c>
      <c r="E507" s="69">
        <v>46258.375</v>
      </c>
      <c r="F507" s="162" t="s">
        <v>6540</v>
      </c>
      <c r="G507" s="60" t="s">
        <v>6541</v>
      </c>
      <c r="H507" s="60" t="s">
        <v>6542</v>
      </c>
      <c r="I507" s="67" t="s">
        <v>382</v>
      </c>
      <c r="J507" s="79" t="s">
        <v>6543</v>
      </c>
      <c r="K507" s="67" t="s">
        <v>109</v>
      </c>
      <c r="L507" s="79" t="s">
        <v>6544</v>
      </c>
      <c r="M507" s="83" t="s">
        <v>6545</v>
      </c>
      <c r="N507" s="78">
        <v>32808.0</v>
      </c>
      <c r="O507" s="80" t="s">
        <v>27</v>
      </c>
      <c r="P507" s="156" t="s">
        <v>1703</v>
      </c>
      <c r="Q507" s="54"/>
      <c r="R507" s="84"/>
      <c r="S507" s="84"/>
      <c r="T507" s="54" t="s">
        <v>2172</v>
      </c>
      <c r="U507" s="86"/>
      <c r="V507" s="54"/>
      <c r="W507" s="86"/>
      <c r="X507" s="54"/>
      <c r="Y507" s="78"/>
      <c r="Z507" s="54"/>
      <c r="AA507" s="70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54" t="s">
        <v>6546</v>
      </c>
      <c r="AR507" s="83" t="s">
        <v>3147</v>
      </c>
      <c r="AS507" s="83" t="s">
        <v>6547</v>
      </c>
      <c r="AT507" s="93" t="s">
        <v>6543</v>
      </c>
      <c r="AU507" s="93" t="s">
        <v>6543</v>
      </c>
      <c r="AV507" s="93" t="s">
        <v>6543</v>
      </c>
      <c r="AW507" s="83" t="s">
        <v>6548</v>
      </c>
      <c r="AX507" s="83">
        <v>1.0</v>
      </c>
      <c r="AY507" s="83">
        <v>0.0</v>
      </c>
      <c r="AZ507" s="83" t="s">
        <v>6549</v>
      </c>
      <c r="BA507" s="83" t="s">
        <v>6550</v>
      </c>
      <c r="BB507" s="83" t="s">
        <v>6551</v>
      </c>
      <c r="BC507" s="54" t="s">
        <v>27</v>
      </c>
      <c r="BD507" s="54" t="str">
        <f t="shared" si="1"/>
        <v>Camaná</v>
      </c>
      <c r="BE507" s="67" t="s">
        <v>140</v>
      </c>
      <c r="BF507" s="67" t="s">
        <v>141</v>
      </c>
      <c r="BG507" s="67" t="s">
        <v>142</v>
      </c>
      <c r="BH507" s="67"/>
      <c r="BI507" s="67"/>
      <c r="BJ507" s="67"/>
      <c r="BK507" s="67"/>
      <c r="BL507" s="67" t="s">
        <v>145</v>
      </c>
      <c r="BM507" s="67" t="s">
        <v>146</v>
      </c>
      <c r="BN507" s="100">
        <v>150.0</v>
      </c>
      <c r="BO507" s="102" t="s">
        <v>615</v>
      </c>
      <c r="BP507" s="67" t="s">
        <v>144</v>
      </c>
      <c r="BQ507" s="79" t="s">
        <v>141</v>
      </c>
      <c r="BR507" s="67">
        <v>2.0</v>
      </c>
      <c r="BS507" s="102" t="s">
        <v>149</v>
      </c>
      <c r="BT507" s="106"/>
      <c r="BU507" s="107"/>
      <c r="BV507" s="108">
        <f t="shared" si="2"/>
        <v>46254</v>
      </c>
      <c r="BW507" s="108">
        <f t="shared" si="16"/>
        <v>46258</v>
      </c>
      <c r="BX507" s="102" t="str">
        <f t="shared" si="15"/>
        <v>09</v>
      </c>
      <c r="BY507" s="107">
        <f t="shared" si="5"/>
        <v>2</v>
      </c>
      <c r="BZ507" s="107">
        <f t="array" ref="BZ507">IF($A507&lt;&gt;"",INDEX(LISTA!$M$2:$N$27,MATCH($BC507,LISTA!$N$2:$N$27,0),1),"")</f>
        <v>7</v>
      </c>
      <c r="CA507" s="67">
        <f t="shared" si="6"/>
        <v>8</v>
      </c>
      <c r="CB507" s="114" t="str">
        <f t="shared" si="7"/>
        <v/>
      </c>
      <c r="CC507" s="114"/>
    </row>
    <row r="508" ht="15.0" customHeight="1">
      <c r="A508" s="59">
        <v>46256.41443400463</v>
      </c>
      <c r="B508" s="62" t="s">
        <v>377</v>
      </c>
      <c r="C508" s="54" t="s">
        <v>100</v>
      </c>
      <c r="D508" s="56" t="s">
        <v>319</v>
      </c>
      <c r="E508" s="69">
        <v>46257.583333333336</v>
      </c>
      <c r="F508" s="162"/>
      <c r="G508" s="60" t="s">
        <v>6552</v>
      </c>
      <c r="H508" s="60" t="s">
        <v>6553</v>
      </c>
      <c r="I508" s="67" t="s">
        <v>374</v>
      </c>
      <c r="J508" s="79" t="s">
        <v>6554</v>
      </c>
      <c r="K508" s="67" t="s">
        <v>109</v>
      </c>
      <c r="L508" s="79" t="s">
        <v>6555</v>
      </c>
      <c r="M508" s="83" t="s">
        <v>6556</v>
      </c>
      <c r="N508" s="78">
        <v>35552.0</v>
      </c>
      <c r="O508" s="80" t="s">
        <v>39</v>
      </c>
      <c r="P508" s="70">
        <v>130101.0</v>
      </c>
      <c r="Q508" s="54"/>
      <c r="R508" s="84"/>
      <c r="S508" s="84"/>
      <c r="T508" s="54"/>
      <c r="U508" s="86"/>
      <c r="V508" s="54"/>
      <c r="W508" s="86"/>
      <c r="X508" s="54"/>
      <c r="Y508" s="78"/>
      <c r="Z508" s="54"/>
      <c r="AA508" s="70"/>
      <c r="AB508" s="83"/>
      <c r="AC508" s="83" t="s">
        <v>1690</v>
      </c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54" t="s">
        <v>6557</v>
      </c>
      <c r="AR508" s="83" t="s">
        <v>6558</v>
      </c>
      <c r="AS508" s="83" t="s">
        <v>6559</v>
      </c>
      <c r="AT508" s="93" t="s">
        <v>6560</v>
      </c>
      <c r="AU508" s="93" t="s">
        <v>6561</v>
      </c>
      <c r="AV508" s="93" t="s">
        <v>6560</v>
      </c>
      <c r="AW508" s="83" t="s">
        <v>6562</v>
      </c>
      <c r="AX508" s="83">
        <v>4.0</v>
      </c>
      <c r="AY508" s="83" t="s">
        <v>1767</v>
      </c>
      <c r="AZ508" s="83" t="s">
        <v>6563</v>
      </c>
      <c r="BA508" s="83" t="s">
        <v>1767</v>
      </c>
      <c r="BB508" s="83" t="s">
        <v>6564</v>
      </c>
      <c r="BC508" s="54" t="s">
        <v>39</v>
      </c>
      <c r="BD508" s="70" t="str">
        <f t="shared" si="1"/>
        <v>Trujillo</v>
      </c>
      <c r="BE508" s="67" t="s">
        <v>140</v>
      </c>
      <c r="BF508" s="67" t="s">
        <v>144</v>
      </c>
      <c r="BG508" s="67" t="s">
        <v>142</v>
      </c>
      <c r="BH508" s="67"/>
      <c r="BI508" s="67"/>
      <c r="BJ508" s="67"/>
      <c r="BK508" s="67"/>
      <c r="BL508" s="67" t="s">
        <v>147</v>
      </c>
      <c r="BM508" s="67" t="s">
        <v>146</v>
      </c>
      <c r="BN508" s="100">
        <v>89.0</v>
      </c>
      <c r="BO508" s="102" t="s">
        <v>148</v>
      </c>
      <c r="BP508" s="67" t="s">
        <v>141</v>
      </c>
      <c r="BQ508" s="79" t="s">
        <v>141</v>
      </c>
      <c r="BR508" s="67" t="s">
        <v>149</v>
      </c>
      <c r="BS508" s="102">
        <v>1.0</v>
      </c>
      <c r="BT508" s="106"/>
      <c r="BU508" s="107"/>
      <c r="BV508" s="108">
        <f t="shared" si="2"/>
        <v>46256</v>
      </c>
      <c r="BW508" s="108">
        <f t="shared" si="16"/>
        <v>46257</v>
      </c>
      <c r="BX508" s="102" t="str">
        <f t="shared" si="15"/>
        <v>14</v>
      </c>
      <c r="BY508" s="107">
        <f t="shared" si="5"/>
        <v>2</v>
      </c>
      <c r="BZ508" s="107">
        <f t="array" ref="BZ508">IF($A508&lt;&gt;"",INDEX(LISTA!$M$2:$N$27,MATCH($BC508,LISTA!$N$2:$N$27,0),1),"")</f>
        <v>15</v>
      </c>
      <c r="CA508" s="67">
        <f t="shared" si="6"/>
        <v>8</v>
      </c>
      <c r="CB508" s="114" t="str">
        <f t="shared" si="7"/>
        <v/>
      </c>
      <c r="CC508" s="114"/>
    </row>
    <row r="509" ht="15.0" customHeight="1">
      <c r="A509" s="59">
        <v>46256.54964949074</v>
      </c>
      <c r="B509" s="62" t="s">
        <v>377</v>
      </c>
      <c r="C509" s="54" t="s">
        <v>100</v>
      </c>
      <c r="D509" s="56" t="s">
        <v>319</v>
      </c>
      <c r="E509" s="69">
        <v>46258.375</v>
      </c>
      <c r="F509" s="162"/>
      <c r="G509" s="60" t="s">
        <v>6565</v>
      </c>
      <c r="H509" s="60" t="s">
        <v>6566</v>
      </c>
      <c r="I509" s="67" t="s">
        <v>386</v>
      </c>
      <c r="J509" s="79" t="s">
        <v>6567</v>
      </c>
      <c r="K509" s="67" t="s">
        <v>109</v>
      </c>
      <c r="L509" s="79" t="s">
        <v>6568</v>
      </c>
      <c r="M509" s="83" t="s">
        <v>6569</v>
      </c>
      <c r="N509" s="78">
        <v>32628.0</v>
      </c>
      <c r="O509" s="80" t="s">
        <v>41</v>
      </c>
      <c r="P509" s="70">
        <v>150140.0</v>
      </c>
      <c r="Q509" s="54"/>
      <c r="R509" s="84"/>
      <c r="S509" s="84"/>
      <c r="T509" s="54"/>
      <c r="U509" s="86"/>
      <c r="V509" s="54"/>
      <c r="W509" s="86"/>
      <c r="X509" s="54"/>
      <c r="Y509" s="78"/>
      <c r="Z509" s="54"/>
      <c r="AA509" s="70"/>
      <c r="AB509" s="83"/>
      <c r="AC509" s="83"/>
      <c r="AD509" s="83"/>
      <c r="AE509" s="83"/>
      <c r="AF509" s="83" t="s">
        <v>123</v>
      </c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54" t="s">
        <v>6570</v>
      </c>
      <c r="AR509" s="83" t="s">
        <v>6571</v>
      </c>
      <c r="AS509" s="83" t="s">
        <v>6572</v>
      </c>
      <c r="AT509" s="93" t="s">
        <v>6573</v>
      </c>
      <c r="AU509" s="93" t="s">
        <v>6573</v>
      </c>
      <c r="AV509" s="93" t="s">
        <v>6573</v>
      </c>
      <c r="AW509" s="83" t="s">
        <v>6574</v>
      </c>
      <c r="AX509" s="83">
        <v>2.0</v>
      </c>
      <c r="AY509" s="83" t="s">
        <v>1657</v>
      </c>
      <c r="AZ509" s="83" t="s">
        <v>6575</v>
      </c>
      <c r="BA509" s="83" t="s">
        <v>1657</v>
      </c>
      <c r="BB509" s="83" t="s">
        <v>6576</v>
      </c>
      <c r="BC509" s="54" t="s">
        <v>41</v>
      </c>
      <c r="BD509" s="70" t="str">
        <f t="shared" si="1"/>
        <v>Santiago de Surco</v>
      </c>
      <c r="BE509" s="67" t="s">
        <v>140</v>
      </c>
      <c r="BF509" s="67" t="s">
        <v>141</v>
      </c>
      <c r="BG509" s="67" t="s">
        <v>142</v>
      </c>
      <c r="BH509" s="67"/>
      <c r="BI509" s="67"/>
      <c r="BJ509" s="67"/>
      <c r="BK509" s="67"/>
      <c r="BL509" s="67" t="s">
        <v>145</v>
      </c>
      <c r="BM509" s="67" t="s">
        <v>146</v>
      </c>
      <c r="BN509" s="100">
        <v>170.0</v>
      </c>
      <c r="BO509" s="102" t="s">
        <v>148</v>
      </c>
      <c r="BP509" s="67" t="s">
        <v>144</v>
      </c>
      <c r="BQ509" s="79" t="s">
        <v>141</v>
      </c>
      <c r="BR509" s="67">
        <v>2.0</v>
      </c>
      <c r="BS509" s="102">
        <v>1.0</v>
      </c>
      <c r="BT509" s="106"/>
      <c r="BU509" s="107"/>
      <c r="BV509" s="108">
        <f t="shared" si="2"/>
        <v>46256</v>
      </c>
      <c r="BW509" s="108">
        <f t="shared" si="16"/>
        <v>46258</v>
      </c>
      <c r="BX509" s="102" t="str">
        <f t="shared" si="15"/>
        <v>09</v>
      </c>
      <c r="BY509" s="107">
        <f t="shared" si="5"/>
        <v>2</v>
      </c>
      <c r="BZ509" s="107">
        <f t="array" ref="BZ509">IF($A509&lt;&gt;"",INDEX(LISTA!$M$2:$N$27,MATCH($BC509,LISTA!$N$2:$N$27,0),1),"")</f>
        <v>1</v>
      </c>
      <c r="CA509" s="67">
        <f t="shared" si="6"/>
        <v>8</v>
      </c>
      <c r="CB509" s="114" t="str">
        <f t="shared" si="7"/>
        <v/>
      </c>
      <c r="CC509" s="114"/>
    </row>
    <row r="510" ht="15.0" customHeight="1">
      <c r="A510" s="59">
        <v>46252.44828861111</v>
      </c>
      <c r="B510" s="62" t="s">
        <v>377</v>
      </c>
      <c r="C510" s="54" t="s">
        <v>100</v>
      </c>
      <c r="D510" s="56" t="s">
        <v>319</v>
      </c>
      <c r="E510" s="69">
        <v>46253.375</v>
      </c>
      <c r="F510" s="162" t="s">
        <v>6577</v>
      </c>
      <c r="G510" s="60" t="s">
        <v>6578</v>
      </c>
      <c r="H510" s="60" t="s">
        <v>6579</v>
      </c>
      <c r="I510" s="67" t="s">
        <v>384</v>
      </c>
      <c r="J510" s="79" t="s">
        <v>6580</v>
      </c>
      <c r="K510" s="67" t="s">
        <v>109</v>
      </c>
      <c r="L510" s="79" t="s">
        <v>6581</v>
      </c>
      <c r="M510" s="83" t="s">
        <v>6582</v>
      </c>
      <c r="N510" s="78">
        <v>36765.0</v>
      </c>
      <c r="O510" s="80" t="s">
        <v>39</v>
      </c>
      <c r="P510" s="70">
        <v>120702.0</v>
      </c>
      <c r="Q510" s="54"/>
      <c r="R510" s="84"/>
      <c r="S510" s="84"/>
      <c r="T510" s="54"/>
      <c r="U510" s="86"/>
      <c r="V510" s="54"/>
      <c r="W510" s="86"/>
      <c r="X510" s="54"/>
      <c r="Y510" s="78"/>
      <c r="Z510" s="54"/>
      <c r="AA510" s="70"/>
      <c r="AB510" s="83"/>
      <c r="AC510" s="83" t="s">
        <v>1690</v>
      </c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54" t="s">
        <v>2736</v>
      </c>
      <c r="AR510" s="83" t="s">
        <v>4423</v>
      </c>
      <c r="AS510" s="83" t="s">
        <v>6583</v>
      </c>
      <c r="AT510" s="93" t="s">
        <v>6580</v>
      </c>
      <c r="AU510" s="93" t="s">
        <v>6580</v>
      </c>
      <c r="AV510" s="93" t="s">
        <v>6580</v>
      </c>
      <c r="AW510" s="83" t="s">
        <v>6584</v>
      </c>
      <c r="AX510" s="83">
        <v>2.0</v>
      </c>
      <c r="AY510" s="83" t="s">
        <v>2519</v>
      </c>
      <c r="AZ510" s="83" t="s">
        <v>6585</v>
      </c>
      <c r="BA510" s="83" t="s">
        <v>2519</v>
      </c>
      <c r="BB510" s="83" t="s">
        <v>6586</v>
      </c>
      <c r="BC510" s="54" t="s">
        <v>39</v>
      </c>
      <c r="BD510" s="54" t="str">
        <f t="shared" si="1"/>
        <v>Trujillo</v>
      </c>
      <c r="BE510" s="67" t="s">
        <v>143</v>
      </c>
      <c r="BF510" s="67" t="s">
        <v>144</v>
      </c>
      <c r="BG510" s="67" t="s">
        <v>142</v>
      </c>
      <c r="BH510" s="67"/>
      <c r="BI510" s="67"/>
      <c r="BJ510" s="67"/>
      <c r="BK510" s="67"/>
      <c r="BL510" s="67" t="s">
        <v>145</v>
      </c>
      <c r="BM510" s="67" t="s">
        <v>1897</v>
      </c>
      <c r="BN510" s="100">
        <v>99.0</v>
      </c>
      <c r="BO510" s="102" t="s">
        <v>1647</v>
      </c>
      <c r="BP510" s="67" t="s">
        <v>144</v>
      </c>
      <c r="BQ510" s="79" t="s">
        <v>141</v>
      </c>
      <c r="BR510" s="67">
        <v>2.0</v>
      </c>
      <c r="BS510" s="102" t="s">
        <v>149</v>
      </c>
      <c r="BT510" s="106"/>
      <c r="BU510" s="107"/>
      <c r="BV510" s="108">
        <f t="shared" si="2"/>
        <v>46252</v>
      </c>
      <c r="BW510" s="108">
        <f t="shared" si="16"/>
        <v>46253</v>
      </c>
      <c r="BX510" s="102" t="str">
        <f t="shared" si="15"/>
        <v>09</v>
      </c>
      <c r="BY510" s="107">
        <f t="shared" si="5"/>
        <v>2</v>
      </c>
      <c r="BZ510" s="107">
        <f t="array" ref="BZ510">IF($A510&lt;&gt;"",INDEX(LISTA!$M$2:$N$27,MATCH($BC510,LISTA!$N$2:$N$27,0),1),"")</f>
        <v>15</v>
      </c>
      <c r="CA510" s="67">
        <f t="shared" si="6"/>
        <v>8</v>
      </c>
      <c r="CB510" s="114" t="str">
        <f t="shared" si="7"/>
        <v/>
      </c>
      <c r="CC510" s="114"/>
    </row>
    <row r="511" ht="15.0" customHeight="1">
      <c r="A511" s="59">
        <v>46253.40085535879</v>
      </c>
      <c r="B511" s="62" t="s">
        <v>377</v>
      </c>
      <c r="C511" s="54" t="s">
        <v>100</v>
      </c>
      <c r="D511" s="56" t="s">
        <v>101</v>
      </c>
      <c r="E511" s="69">
        <v>46255.375</v>
      </c>
      <c r="F511" s="162" t="s">
        <v>6587</v>
      </c>
      <c r="G511" s="60" t="s">
        <v>6588</v>
      </c>
      <c r="H511" s="60" t="s">
        <v>6589</v>
      </c>
      <c r="I511" s="67" t="s">
        <v>407</v>
      </c>
      <c r="J511" s="79" t="s">
        <v>6590</v>
      </c>
      <c r="K511" s="67" t="s">
        <v>109</v>
      </c>
      <c r="L511" s="79" t="s">
        <v>6591</v>
      </c>
      <c r="M511" s="83" t="s">
        <v>6592</v>
      </c>
      <c r="N511" s="78">
        <v>32849.0</v>
      </c>
      <c r="O511" s="80" t="s">
        <v>48</v>
      </c>
      <c r="P511" s="70">
        <v>210101.0</v>
      </c>
      <c r="Q511" s="54"/>
      <c r="R511" s="84"/>
      <c r="S511" s="84"/>
      <c r="T511" s="54" t="s">
        <v>122</v>
      </c>
      <c r="U511" s="86"/>
      <c r="V511" s="54"/>
      <c r="W511" s="86"/>
      <c r="X511" s="54"/>
      <c r="Y511" s="78"/>
      <c r="Z511" s="54"/>
      <c r="AA511" s="70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54" t="s">
        <v>127</v>
      </c>
      <c r="AR511" s="83" t="s">
        <v>6593</v>
      </c>
      <c r="AS511" s="83" t="s">
        <v>6594</v>
      </c>
      <c r="AT511" s="93" t="s">
        <v>6590</v>
      </c>
      <c r="AU511" s="93" t="s">
        <v>6595</v>
      </c>
      <c r="AV511" s="93" t="s">
        <v>6590</v>
      </c>
      <c r="AW511" s="83" t="s">
        <v>6596</v>
      </c>
      <c r="AX511" s="83">
        <v>2.0</v>
      </c>
      <c r="AY511" s="83">
        <v>0.0</v>
      </c>
      <c r="AZ511" s="83" t="s">
        <v>6597</v>
      </c>
      <c r="BA511" s="83" t="s">
        <v>6598</v>
      </c>
      <c r="BB511" s="83" t="s">
        <v>6599</v>
      </c>
      <c r="BC511" s="54" t="s">
        <v>27</v>
      </c>
      <c r="BD511" s="54" t="str">
        <f t="shared" si="1"/>
        <v>Arequipa</v>
      </c>
      <c r="BE511" s="67" t="s">
        <v>140</v>
      </c>
      <c r="BF511" s="67" t="s">
        <v>141</v>
      </c>
      <c r="BG511" s="67" t="s">
        <v>142</v>
      </c>
      <c r="BH511" s="67"/>
      <c r="BI511" s="67"/>
      <c r="BJ511" s="67"/>
      <c r="BK511" s="67"/>
      <c r="BL511" s="67" t="s">
        <v>147</v>
      </c>
      <c r="BM511" s="67" t="s">
        <v>146</v>
      </c>
      <c r="BN511" s="100">
        <v>89.0</v>
      </c>
      <c r="BO511" s="102" t="s">
        <v>148</v>
      </c>
      <c r="BP511" s="67" t="s">
        <v>141</v>
      </c>
      <c r="BQ511" s="79" t="s">
        <v>141</v>
      </c>
      <c r="BR511" s="67" t="s">
        <v>149</v>
      </c>
      <c r="BS511" s="102">
        <v>1.0</v>
      </c>
      <c r="BT511" s="106"/>
      <c r="BU511" s="107"/>
      <c r="BV511" s="108">
        <f t="shared" si="2"/>
        <v>46253</v>
      </c>
      <c r="BW511" s="108">
        <f t="shared" si="16"/>
        <v>46255</v>
      </c>
      <c r="BX511" s="102" t="str">
        <f t="shared" si="15"/>
        <v>09</v>
      </c>
      <c r="BY511" s="107">
        <f t="shared" si="5"/>
        <v>2</v>
      </c>
      <c r="BZ511" s="107">
        <f t="array" ref="BZ511">IF($A511&lt;&gt;"",INDEX(LISTA!$M$2:$N$27,MATCH($BC511,LISTA!$N$2:$N$27,0),1),"")</f>
        <v>7</v>
      </c>
      <c r="CA511" s="67">
        <f t="shared" si="6"/>
        <v>8</v>
      </c>
      <c r="CB511" s="114" t="str">
        <f t="shared" si="7"/>
        <v/>
      </c>
      <c r="CC511" s="114"/>
    </row>
    <row r="512" ht="15.0" customHeight="1">
      <c r="A512" s="59">
        <v>46240.49589795139</v>
      </c>
      <c r="B512" s="115" t="s">
        <v>377</v>
      </c>
      <c r="C512" s="54" t="s">
        <v>100</v>
      </c>
      <c r="D512" s="56" t="s">
        <v>319</v>
      </c>
      <c r="E512" s="69">
        <v>46244.375</v>
      </c>
      <c r="F512" s="162" t="s">
        <v>6600</v>
      </c>
      <c r="G512" s="60" t="s">
        <v>6601</v>
      </c>
      <c r="H512" s="60" t="s">
        <v>6602</v>
      </c>
      <c r="I512" s="67" t="s">
        <v>378</v>
      </c>
      <c r="J512" s="79" t="s">
        <v>6603</v>
      </c>
      <c r="K512" s="67" t="s">
        <v>109</v>
      </c>
      <c r="L512" s="79" t="s">
        <v>6604</v>
      </c>
      <c r="M512" s="83" t="s">
        <v>6605</v>
      </c>
      <c r="N512" s="78">
        <v>29849.0</v>
      </c>
      <c r="O512" s="80" t="s">
        <v>41</v>
      </c>
      <c r="P512" s="70">
        <v>140133.0</v>
      </c>
      <c r="Q512" s="54"/>
      <c r="R512" s="84"/>
      <c r="S512" s="84"/>
      <c r="T512" s="54"/>
      <c r="U512" s="86"/>
      <c r="V512" s="54"/>
      <c r="W512" s="86"/>
      <c r="X512" s="54"/>
      <c r="Y512" s="78"/>
      <c r="Z512" s="54"/>
      <c r="AA512" s="70"/>
      <c r="AB512" s="83"/>
      <c r="AC512" s="83"/>
      <c r="AD512" s="83"/>
      <c r="AE512" s="83"/>
      <c r="AF512" s="83" t="s">
        <v>1159</v>
      </c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54" t="s">
        <v>2419</v>
      </c>
      <c r="AR512" s="83" t="s">
        <v>868</v>
      </c>
      <c r="AS512" s="83" t="s">
        <v>6606</v>
      </c>
      <c r="AT512" s="93" t="s">
        <v>6607</v>
      </c>
      <c r="AU512" s="93" t="s">
        <v>6607</v>
      </c>
      <c r="AV512" s="93" t="s">
        <v>6607</v>
      </c>
      <c r="AW512" s="83" t="s">
        <v>6608</v>
      </c>
      <c r="AX512" s="83">
        <v>1.0</v>
      </c>
      <c r="AY512" s="83" t="s">
        <v>2739</v>
      </c>
      <c r="AZ512" s="83" t="s">
        <v>6609</v>
      </c>
      <c r="BA512" s="83" t="s">
        <v>6610</v>
      </c>
      <c r="BB512" s="83" t="s">
        <v>6611</v>
      </c>
      <c r="BC512" s="54" t="s">
        <v>41</v>
      </c>
      <c r="BD512" s="54" t="str">
        <f t="shared" si="1"/>
        <v>Cercado de Lima</v>
      </c>
      <c r="BE512" s="67" t="s">
        <v>140</v>
      </c>
      <c r="BF512" s="67" t="s">
        <v>144</v>
      </c>
      <c r="BG512" s="67" t="s">
        <v>142</v>
      </c>
      <c r="BH512" s="67"/>
      <c r="BI512" s="67"/>
      <c r="BJ512" s="67"/>
      <c r="BK512" s="67"/>
      <c r="BL512" s="67" t="s">
        <v>145</v>
      </c>
      <c r="BM512" s="67" t="s">
        <v>146</v>
      </c>
      <c r="BN512" s="100">
        <v>150.0</v>
      </c>
      <c r="BO512" s="102" t="s">
        <v>615</v>
      </c>
      <c r="BP512" s="67" t="s">
        <v>141</v>
      </c>
      <c r="BQ512" s="79" t="s">
        <v>141</v>
      </c>
      <c r="BR512" s="67">
        <v>2.0</v>
      </c>
      <c r="BS512" s="102" t="s">
        <v>149</v>
      </c>
      <c r="BT512" s="106"/>
      <c r="BU512" s="107"/>
      <c r="BV512" s="108">
        <f t="shared" si="2"/>
        <v>46240</v>
      </c>
      <c r="BW512" s="108">
        <f t="shared" si="16"/>
        <v>46244</v>
      </c>
      <c r="BX512" s="102" t="str">
        <f t="shared" si="15"/>
        <v>09</v>
      </c>
      <c r="BY512" s="107">
        <f t="shared" si="5"/>
        <v>2</v>
      </c>
      <c r="BZ512" s="107">
        <f t="array" ref="BZ512">IF($A512&lt;&gt;"",INDEX(LISTA!$M$2:$N$27,MATCH($BC512,LISTA!$N$2:$N$27,0),1),"")</f>
        <v>1</v>
      </c>
      <c r="CA512" s="67">
        <f t="shared" si="6"/>
        <v>8</v>
      </c>
      <c r="CB512" s="114" t="str">
        <f t="shared" si="7"/>
        <v/>
      </c>
      <c r="CC512" s="114"/>
    </row>
    <row r="513" ht="15.0" customHeight="1">
      <c r="A513" s="59">
        <v>46235.505474317135</v>
      </c>
      <c r="B513" s="115" t="s">
        <v>377</v>
      </c>
      <c r="C513" s="54" t="s">
        <v>100</v>
      </c>
      <c r="D513" s="56" t="s">
        <v>319</v>
      </c>
      <c r="E513" s="69">
        <v>46241.375</v>
      </c>
      <c r="F513" s="162" t="s">
        <v>6612</v>
      </c>
      <c r="G513" s="60" t="s">
        <v>6613</v>
      </c>
      <c r="H513" s="60" t="s">
        <v>6614</v>
      </c>
      <c r="I513" s="67" t="s">
        <v>382</v>
      </c>
      <c r="J513" s="79" t="s">
        <v>6615</v>
      </c>
      <c r="K513" s="67" t="s">
        <v>109</v>
      </c>
      <c r="L513" s="79" t="s">
        <v>6616</v>
      </c>
      <c r="M513" s="83" t="s">
        <v>6617</v>
      </c>
      <c r="N513" s="78">
        <v>26345.0</v>
      </c>
      <c r="O513" s="80" t="s">
        <v>27</v>
      </c>
      <c r="P513" s="70">
        <v>210203.0</v>
      </c>
      <c r="Q513" s="54"/>
      <c r="R513" s="84"/>
      <c r="S513" s="84"/>
      <c r="T513" s="54" t="s">
        <v>2172</v>
      </c>
      <c r="U513" s="86"/>
      <c r="V513" s="54"/>
      <c r="W513" s="86"/>
      <c r="X513" s="54"/>
      <c r="Y513" s="78"/>
      <c r="Z513" s="54"/>
      <c r="AA513" s="70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54" t="s">
        <v>432</v>
      </c>
      <c r="AR513" s="83" t="s">
        <v>6618</v>
      </c>
      <c r="AS513" s="83" t="s">
        <v>6619</v>
      </c>
      <c r="AT513" s="93" t="s">
        <v>6615</v>
      </c>
      <c r="AU513" s="93" t="s">
        <v>6615</v>
      </c>
      <c r="AV513" s="93" t="s">
        <v>6615</v>
      </c>
      <c r="AW513" s="83" t="s">
        <v>6620</v>
      </c>
      <c r="AX513" s="83">
        <v>2.0</v>
      </c>
      <c r="AY513" s="83">
        <v>0.0</v>
      </c>
      <c r="AZ513" s="83" t="s">
        <v>6621</v>
      </c>
      <c r="BA513" s="83" t="s">
        <v>6622</v>
      </c>
      <c r="BB513" s="83" t="s">
        <v>6623</v>
      </c>
      <c r="BC513" s="54" t="s">
        <v>27</v>
      </c>
      <c r="BD513" s="54" t="str">
        <f t="shared" si="1"/>
        <v>Camaná</v>
      </c>
      <c r="BE513" s="67" t="s">
        <v>140</v>
      </c>
      <c r="BF513" s="67" t="s">
        <v>144</v>
      </c>
      <c r="BG513" s="67" t="s">
        <v>142</v>
      </c>
      <c r="BH513" s="67"/>
      <c r="BI513" s="67"/>
      <c r="BJ513" s="67"/>
      <c r="BK513" s="67"/>
      <c r="BL513" s="67" t="s">
        <v>145</v>
      </c>
      <c r="BM513" s="67" t="s">
        <v>146</v>
      </c>
      <c r="BN513" s="100">
        <v>150.0</v>
      </c>
      <c r="BO513" s="102" t="s">
        <v>615</v>
      </c>
      <c r="BP513" s="67" t="s">
        <v>144</v>
      </c>
      <c r="BQ513" s="79" t="s">
        <v>141</v>
      </c>
      <c r="BR513" s="67">
        <v>2.0</v>
      </c>
      <c r="BS513" s="102" t="s">
        <v>149</v>
      </c>
      <c r="BT513" s="106"/>
      <c r="BU513" s="107"/>
      <c r="BV513" s="108">
        <f t="shared" si="2"/>
        <v>46235</v>
      </c>
      <c r="BW513" s="108">
        <f t="shared" si="16"/>
        <v>46241</v>
      </c>
      <c r="BX513" s="102" t="str">
        <f t="shared" si="15"/>
        <v>09</v>
      </c>
      <c r="BY513" s="107">
        <f t="shared" si="5"/>
        <v>2</v>
      </c>
      <c r="BZ513" s="107">
        <f t="array" ref="BZ513">IF($A513&lt;&gt;"",INDEX(LISTA!$M$2:$N$27,MATCH($BC513,LISTA!$N$2:$N$27,0),1),"")</f>
        <v>7</v>
      </c>
      <c r="CA513" s="67">
        <f t="shared" si="6"/>
        <v>8</v>
      </c>
      <c r="CB513" s="114" t="str">
        <f t="shared" si="7"/>
        <v/>
      </c>
      <c r="CC513" s="114"/>
    </row>
    <row r="514" ht="15.0" customHeight="1">
      <c r="A514" s="59">
        <v>46237.705037430555</v>
      </c>
      <c r="B514" s="115" t="s">
        <v>377</v>
      </c>
      <c r="C514" s="54" t="s">
        <v>100</v>
      </c>
      <c r="D514" s="56" t="s">
        <v>319</v>
      </c>
      <c r="E514" s="69">
        <v>46240.75</v>
      </c>
      <c r="F514" s="162"/>
      <c r="G514" s="60" t="s">
        <v>6624</v>
      </c>
      <c r="H514" s="60" t="s">
        <v>6625</v>
      </c>
      <c r="I514" s="67" t="s">
        <v>350</v>
      </c>
      <c r="J514" s="79" t="s">
        <v>6626</v>
      </c>
      <c r="K514" s="67" t="s">
        <v>1151</v>
      </c>
      <c r="L514" s="79" t="s">
        <v>6627</v>
      </c>
      <c r="M514" s="83" t="s">
        <v>6628</v>
      </c>
      <c r="N514" s="78">
        <v>33595.0</v>
      </c>
      <c r="O514" s="80" t="s">
        <v>44</v>
      </c>
      <c r="P514" s="70">
        <v>180302.0</v>
      </c>
      <c r="Q514" s="54"/>
      <c r="R514" s="84"/>
      <c r="S514" s="84"/>
      <c r="T514" s="54"/>
      <c r="U514" s="86"/>
      <c r="V514" s="54"/>
      <c r="W514" s="86"/>
      <c r="X514" s="54"/>
      <c r="Y514" s="78"/>
      <c r="Z514" s="54"/>
      <c r="AA514" s="70"/>
      <c r="AB514" s="83"/>
      <c r="AC514" s="83"/>
      <c r="AD514" s="83"/>
      <c r="AE514" s="83"/>
      <c r="AF514" s="83"/>
      <c r="AG514" s="83"/>
      <c r="AH514" s="83"/>
      <c r="AI514" s="83" t="s">
        <v>3440</v>
      </c>
      <c r="AJ514" s="83"/>
      <c r="AK514" s="83"/>
      <c r="AL514" s="83"/>
      <c r="AM514" s="83"/>
      <c r="AN514" s="83"/>
      <c r="AO514" s="83"/>
      <c r="AP514" s="83"/>
      <c r="AQ514" s="54" t="s">
        <v>6629</v>
      </c>
      <c r="AR514" s="83" t="s">
        <v>2527</v>
      </c>
      <c r="AS514" s="83" t="s">
        <v>6630</v>
      </c>
      <c r="AT514" s="93" t="s">
        <v>6631</v>
      </c>
      <c r="AU514" s="93" t="s">
        <v>6631</v>
      </c>
      <c r="AV514" s="93" t="s">
        <v>6631</v>
      </c>
      <c r="AW514" s="83" t="s">
        <v>6632</v>
      </c>
      <c r="AX514" s="83">
        <v>2.0</v>
      </c>
      <c r="AY514" s="83">
        <v>0.0</v>
      </c>
      <c r="AZ514" s="83" t="s">
        <v>6633</v>
      </c>
      <c r="BA514" s="83" t="s">
        <v>6634</v>
      </c>
      <c r="BB514" s="83" t="s">
        <v>6635</v>
      </c>
      <c r="BC514" s="54" t="s">
        <v>44</v>
      </c>
      <c r="BD514" s="54" t="str">
        <f t="shared" si="1"/>
        <v>Ilo</v>
      </c>
      <c r="BE514" s="67" t="s">
        <v>140</v>
      </c>
      <c r="BF514" s="67" t="s">
        <v>141</v>
      </c>
      <c r="BG514" s="67" t="s">
        <v>142</v>
      </c>
      <c r="BH514" s="67"/>
      <c r="BI514" s="67"/>
      <c r="BJ514" s="67"/>
      <c r="BK514" s="67"/>
      <c r="BL514" s="67" t="s">
        <v>147</v>
      </c>
      <c r="BM514" s="67" t="s">
        <v>146</v>
      </c>
      <c r="BN514" s="100">
        <v>89.0</v>
      </c>
      <c r="BO514" s="102" t="s">
        <v>148</v>
      </c>
      <c r="BP514" s="67" t="s">
        <v>141</v>
      </c>
      <c r="BQ514" s="79" t="s">
        <v>141</v>
      </c>
      <c r="BR514" s="67" t="s">
        <v>149</v>
      </c>
      <c r="BS514" s="102">
        <v>1.0</v>
      </c>
      <c r="BT514" s="106"/>
      <c r="BU514" s="107"/>
      <c r="BV514" s="108">
        <f t="shared" si="2"/>
        <v>46237</v>
      </c>
      <c r="BW514" s="108">
        <f t="shared" si="16"/>
        <v>46240</v>
      </c>
      <c r="BX514" s="102" t="str">
        <f t="shared" si="15"/>
        <v>18</v>
      </c>
      <c r="BY514" s="107">
        <f t="shared" si="5"/>
        <v>2</v>
      </c>
      <c r="BZ514" s="107">
        <f t="array" ref="BZ514">IF($A514&lt;&gt;"",INDEX(LISTA!$M$2:$N$27,MATCH($BC514,LISTA!$N$2:$N$27,0),1),"")</f>
        <v>19</v>
      </c>
      <c r="CA514" s="67">
        <f t="shared" si="6"/>
        <v>8</v>
      </c>
      <c r="CB514" s="114" t="str">
        <f t="shared" si="7"/>
        <v/>
      </c>
      <c r="CC514" s="114"/>
    </row>
    <row r="515" ht="15.0" customHeight="1">
      <c r="A515" s="59">
        <v>46247.53818326389</v>
      </c>
      <c r="B515" s="62" t="s">
        <v>404</v>
      </c>
      <c r="C515" s="54" t="s">
        <v>100</v>
      </c>
      <c r="D515" s="56" t="s">
        <v>319</v>
      </c>
      <c r="E515" s="69">
        <v>46248.583333333336</v>
      </c>
      <c r="F515" s="162"/>
      <c r="G515" s="60" t="s">
        <v>6636</v>
      </c>
      <c r="H515" s="60" t="s">
        <v>6637</v>
      </c>
      <c r="I515" s="67" t="s">
        <v>350</v>
      </c>
      <c r="J515" s="79" t="s">
        <v>6638</v>
      </c>
      <c r="K515" s="67" t="s">
        <v>109</v>
      </c>
      <c r="L515" s="79" t="s">
        <v>6639</v>
      </c>
      <c r="M515" s="83" t="s">
        <v>6640</v>
      </c>
      <c r="N515" s="78">
        <v>27480.0</v>
      </c>
      <c r="O515" s="80" t="s">
        <v>44</v>
      </c>
      <c r="P515" s="70">
        <v>180301.0</v>
      </c>
      <c r="Q515" s="54"/>
      <c r="R515" s="84"/>
      <c r="S515" s="84"/>
      <c r="T515" s="54"/>
      <c r="U515" s="86"/>
      <c r="V515" s="54"/>
      <c r="W515" s="86"/>
      <c r="X515" s="54" t="s">
        <v>4723</v>
      </c>
      <c r="Y515" s="78"/>
      <c r="Z515" s="54"/>
      <c r="AA515" s="70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54" t="s">
        <v>2482</v>
      </c>
      <c r="AR515" s="83" t="s">
        <v>6641</v>
      </c>
      <c r="AS515" s="83" t="s">
        <v>6642</v>
      </c>
      <c r="AT515" s="93" t="s">
        <v>6638</v>
      </c>
      <c r="AU515" s="93" t="s">
        <v>6643</v>
      </c>
      <c r="AV515" s="93" t="s">
        <v>6638</v>
      </c>
      <c r="AW515" s="83" t="s">
        <v>6644</v>
      </c>
      <c r="AX515" s="83">
        <v>2.0</v>
      </c>
      <c r="AY515" s="83">
        <v>0.0</v>
      </c>
      <c r="AZ515" s="83" t="s">
        <v>6645</v>
      </c>
      <c r="BA515" s="83" t="s">
        <v>6646</v>
      </c>
      <c r="BB515" s="83" t="s">
        <v>6647</v>
      </c>
      <c r="BC515" s="54" t="s">
        <v>31</v>
      </c>
      <c r="BD515" s="54" t="str">
        <f t="shared" si="1"/>
        <v>La Convención</v>
      </c>
      <c r="BE515" s="67" t="s">
        <v>140</v>
      </c>
      <c r="BF515" s="67" t="s">
        <v>141</v>
      </c>
      <c r="BG515" s="67" t="s">
        <v>142</v>
      </c>
      <c r="BH515" s="67"/>
      <c r="BI515" s="67"/>
      <c r="BJ515" s="67"/>
      <c r="BK515" s="67"/>
      <c r="BL515" s="67" t="s">
        <v>1444</v>
      </c>
      <c r="BM515" s="67" t="s">
        <v>214</v>
      </c>
      <c r="BN515" s="100">
        <v>225.0</v>
      </c>
      <c r="BO515" s="102" t="s">
        <v>330</v>
      </c>
      <c r="BP515" s="67" t="s">
        <v>141</v>
      </c>
      <c r="BQ515" s="79" t="s">
        <v>141</v>
      </c>
      <c r="BR515" s="67">
        <v>2.0</v>
      </c>
      <c r="BS515" s="102">
        <v>2.0</v>
      </c>
      <c r="BT515" s="106"/>
      <c r="BU515" s="107"/>
      <c r="BV515" s="108">
        <f t="shared" si="2"/>
        <v>46247</v>
      </c>
      <c r="BW515" s="108">
        <f t="shared" si="16"/>
        <v>46248</v>
      </c>
      <c r="BX515" s="102" t="str">
        <f t="shared" si="15"/>
        <v>14</v>
      </c>
      <c r="BY515" s="107">
        <f t="shared" si="5"/>
        <v>2</v>
      </c>
      <c r="BZ515" s="107">
        <f t="array" ref="BZ515">IF($A515&lt;&gt;"",INDEX(LISTA!$M$2:$N$27,MATCH($BC515,LISTA!$N$2:$N$27,0),1),"")</f>
        <v>10</v>
      </c>
      <c r="CA515" s="67">
        <f t="shared" si="6"/>
        <v>8</v>
      </c>
      <c r="CB515" s="114" t="str">
        <f t="shared" si="7"/>
        <v/>
      </c>
      <c r="CC515" s="114"/>
    </row>
    <row r="516" ht="15.0" customHeight="1">
      <c r="A516" s="59">
        <v>46240.47993559028</v>
      </c>
      <c r="B516" s="115" t="s">
        <v>404</v>
      </c>
      <c r="C516" s="54" t="s">
        <v>100</v>
      </c>
      <c r="D516" s="56" t="s">
        <v>319</v>
      </c>
      <c r="E516" s="69">
        <v>46242.583333333336</v>
      </c>
      <c r="F516" s="162" t="s">
        <v>6648</v>
      </c>
      <c r="G516" s="60" t="s">
        <v>6649</v>
      </c>
      <c r="H516" s="60" t="s">
        <v>6650</v>
      </c>
      <c r="I516" s="67" t="s">
        <v>386</v>
      </c>
      <c r="J516" s="79" t="s">
        <v>6307</v>
      </c>
      <c r="K516" s="67" t="s">
        <v>109</v>
      </c>
      <c r="L516" s="79" t="s">
        <v>6651</v>
      </c>
      <c r="M516" s="83" t="s">
        <v>6652</v>
      </c>
      <c r="N516" s="78">
        <v>32049.0</v>
      </c>
      <c r="O516" s="80" t="s">
        <v>41</v>
      </c>
      <c r="P516" s="70">
        <v>150101.0</v>
      </c>
      <c r="Q516" s="54"/>
      <c r="R516" s="84"/>
      <c r="S516" s="84"/>
      <c r="T516" s="54"/>
      <c r="U516" s="86"/>
      <c r="V516" s="54"/>
      <c r="W516" s="86"/>
      <c r="X516" s="54"/>
      <c r="Y516" s="78"/>
      <c r="Z516" s="54"/>
      <c r="AA516" s="70"/>
      <c r="AB516" s="83"/>
      <c r="AC516" s="83"/>
      <c r="AD516" s="83"/>
      <c r="AE516" s="83"/>
      <c r="AF516" s="83" t="s">
        <v>2354</v>
      </c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54" t="s">
        <v>3835</v>
      </c>
      <c r="AR516" s="83" t="s">
        <v>6653</v>
      </c>
      <c r="AS516" s="83" t="s">
        <v>6654</v>
      </c>
      <c r="AT516" s="93" t="s">
        <v>6307</v>
      </c>
      <c r="AU516" s="93" t="s">
        <v>6307</v>
      </c>
      <c r="AV516" s="93" t="s">
        <v>6307</v>
      </c>
      <c r="AW516" s="83" t="s">
        <v>6655</v>
      </c>
      <c r="AX516" s="83">
        <v>9.0</v>
      </c>
      <c r="AY516" s="83" t="s">
        <v>1657</v>
      </c>
      <c r="AZ516" s="83" t="s">
        <v>6656</v>
      </c>
      <c r="BA516" s="83" t="s">
        <v>1657</v>
      </c>
      <c r="BB516" s="83" t="s">
        <v>6657</v>
      </c>
      <c r="BC516" s="54" t="s">
        <v>41</v>
      </c>
      <c r="BD516" s="54" t="str">
        <f t="shared" si="1"/>
        <v>San Luis</v>
      </c>
      <c r="BE516" s="67" t="s">
        <v>140</v>
      </c>
      <c r="BF516" s="67" t="s">
        <v>144</v>
      </c>
      <c r="BG516" s="67" t="s">
        <v>142</v>
      </c>
      <c r="BH516" s="67"/>
      <c r="BI516" s="67"/>
      <c r="BJ516" s="67"/>
      <c r="BK516" s="67"/>
      <c r="BL516" s="67" t="s">
        <v>147</v>
      </c>
      <c r="BM516" s="67" t="s">
        <v>146</v>
      </c>
      <c r="BN516" s="100">
        <v>89.0</v>
      </c>
      <c r="BO516" s="102" t="s">
        <v>148</v>
      </c>
      <c r="BP516" s="67" t="s">
        <v>141</v>
      </c>
      <c r="BQ516" s="79" t="s">
        <v>141</v>
      </c>
      <c r="BR516" s="67" t="s">
        <v>149</v>
      </c>
      <c r="BS516" s="102">
        <v>1.0</v>
      </c>
      <c r="BT516" s="106"/>
      <c r="BU516" s="107"/>
      <c r="BV516" s="108">
        <f t="shared" si="2"/>
        <v>46240</v>
      </c>
      <c r="BW516" s="108">
        <f t="shared" si="16"/>
        <v>46242</v>
      </c>
      <c r="BX516" s="102" t="str">
        <f t="shared" si="15"/>
        <v>14</v>
      </c>
      <c r="BY516" s="107">
        <f t="shared" si="5"/>
        <v>2</v>
      </c>
      <c r="BZ516" s="107">
        <f t="array" ref="BZ516">IF($A516&lt;&gt;"",INDEX(LISTA!$M$2:$N$27,MATCH($BC516,LISTA!$N$2:$N$27,0),1),"")</f>
        <v>1</v>
      </c>
      <c r="CA516" s="67">
        <f t="shared" si="6"/>
        <v>8</v>
      </c>
      <c r="CB516" s="114" t="str">
        <f t="shared" si="7"/>
        <v/>
      </c>
      <c r="CC516" s="114"/>
    </row>
    <row r="517" ht="15.0" customHeight="1">
      <c r="A517" s="59">
        <v>46246.372706875</v>
      </c>
      <c r="B517" s="115" t="s">
        <v>404</v>
      </c>
      <c r="C517" s="54" t="s">
        <v>100</v>
      </c>
      <c r="D517" s="56" t="s">
        <v>319</v>
      </c>
      <c r="E517" s="69">
        <v>46248.375</v>
      </c>
      <c r="F517" s="162" t="s">
        <v>6658</v>
      </c>
      <c r="G517" s="60" t="s">
        <v>6659</v>
      </c>
      <c r="H517" s="60" t="s">
        <v>6660</v>
      </c>
      <c r="I517" s="67" t="s">
        <v>378</v>
      </c>
      <c r="J517" s="79" t="s">
        <v>6661</v>
      </c>
      <c r="K517" s="67" t="s">
        <v>109</v>
      </c>
      <c r="L517" s="79" t="s">
        <v>6662</v>
      </c>
      <c r="M517" s="83" t="s">
        <v>6663</v>
      </c>
      <c r="N517" s="78">
        <v>29968.0</v>
      </c>
      <c r="O517" s="80" t="s">
        <v>50</v>
      </c>
      <c r="P517" s="70">
        <v>220101.0</v>
      </c>
      <c r="Q517" s="54"/>
      <c r="R517" s="84"/>
      <c r="S517" s="84"/>
      <c r="T517" s="54"/>
      <c r="U517" s="86"/>
      <c r="V517" s="54"/>
      <c r="W517" s="86"/>
      <c r="X517" s="54"/>
      <c r="Y517" s="78"/>
      <c r="Z517" s="54"/>
      <c r="AA517" s="70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 t="s">
        <v>866</v>
      </c>
      <c r="AO517" s="83"/>
      <c r="AP517" s="83"/>
      <c r="AQ517" s="54" t="s">
        <v>1627</v>
      </c>
      <c r="AR517" s="83" t="s">
        <v>6664</v>
      </c>
      <c r="AS517" s="83" t="s">
        <v>6665</v>
      </c>
      <c r="AT517" s="93" t="s">
        <v>6666</v>
      </c>
      <c r="AU517" s="93" t="s">
        <v>6666</v>
      </c>
      <c r="AV517" s="93" t="s">
        <v>6666</v>
      </c>
      <c r="AW517" s="83" t="s">
        <v>6667</v>
      </c>
      <c r="AX517" s="83">
        <v>2.0</v>
      </c>
      <c r="AY517" s="83" t="s">
        <v>2739</v>
      </c>
      <c r="AZ517" s="83" t="s">
        <v>6668</v>
      </c>
      <c r="BA517" s="83" t="s">
        <v>6669</v>
      </c>
      <c r="BB517" s="83" t="s">
        <v>6670</v>
      </c>
      <c r="BC517" s="54" t="s">
        <v>50</v>
      </c>
      <c r="BD517" s="54" t="str">
        <f t="shared" si="1"/>
        <v>Tacna</v>
      </c>
      <c r="BE517" s="67" t="s">
        <v>140</v>
      </c>
      <c r="BF517" s="67" t="s">
        <v>144</v>
      </c>
      <c r="BG517" s="67" t="s">
        <v>142</v>
      </c>
      <c r="BH517" s="67"/>
      <c r="BI517" s="67"/>
      <c r="BJ517" s="67"/>
      <c r="BK517" s="67"/>
      <c r="BL517" s="67" t="s">
        <v>147</v>
      </c>
      <c r="BM517" s="67" t="s">
        <v>146</v>
      </c>
      <c r="BN517" s="100">
        <v>89.0</v>
      </c>
      <c r="BO517" s="102" t="s">
        <v>148</v>
      </c>
      <c r="BP517" s="67" t="s">
        <v>141</v>
      </c>
      <c r="BQ517" s="79" t="s">
        <v>141</v>
      </c>
      <c r="BR517" s="67" t="s">
        <v>149</v>
      </c>
      <c r="BS517" s="102">
        <v>1.0</v>
      </c>
      <c r="BT517" s="106"/>
      <c r="BU517" s="107"/>
      <c r="BV517" s="108">
        <f t="shared" si="2"/>
        <v>46246</v>
      </c>
      <c r="BW517" s="108">
        <f t="shared" si="16"/>
        <v>46248</v>
      </c>
      <c r="BX517" s="102" t="str">
        <f t="shared" si="15"/>
        <v>09</v>
      </c>
      <c r="BY517" s="107">
        <f t="shared" si="5"/>
        <v>2</v>
      </c>
      <c r="BZ517" s="107">
        <f t="array" ref="BZ517">IF($A517&lt;&gt;"",INDEX(LISTA!$M$2:$N$27,MATCH($BC517,LISTA!$N$2:$N$27,0),1),"")</f>
        <v>24</v>
      </c>
      <c r="CA517" s="67">
        <f t="shared" si="6"/>
        <v>8</v>
      </c>
      <c r="CB517" s="114" t="str">
        <f t="shared" si="7"/>
        <v/>
      </c>
      <c r="CC517" s="114"/>
    </row>
    <row r="518" ht="15.0" customHeight="1">
      <c r="A518" s="59">
        <v>46246.67991892361</v>
      </c>
      <c r="B518" s="62" t="s">
        <v>395</v>
      </c>
      <c r="C518" s="54" t="s">
        <v>100</v>
      </c>
      <c r="D518" s="56" t="s">
        <v>319</v>
      </c>
      <c r="E518" s="69">
        <v>46248.583333333336</v>
      </c>
      <c r="F518" s="162" t="s">
        <v>6671</v>
      </c>
      <c r="G518" s="60" t="s">
        <v>6672</v>
      </c>
      <c r="H518" s="60" t="s">
        <v>6673</v>
      </c>
      <c r="I518" s="67" t="s">
        <v>407</v>
      </c>
      <c r="J518" s="79" t="s">
        <v>6674</v>
      </c>
      <c r="K518" s="67" t="s">
        <v>109</v>
      </c>
      <c r="L518" s="79" t="s">
        <v>6675</v>
      </c>
      <c r="M518" s="83" t="s">
        <v>6676</v>
      </c>
      <c r="N518" s="78">
        <v>32865.0</v>
      </c>
      <c r="O518" s="80" t="s">
        <v>48</v>
      </c>
      <c r="P518" s="70">
        <v>210307.0</v>
      </c>
      <c r="Q518" s="54"/>
      <c r="R518" s="84"/>
      <c r="S518" s="84"/>
      <c r="T518" s="54"/>
      <c r="U518" s="86"/>
      <c r="V518" s="54"/>
      <c r="W518" s="86"/>
      <c r="X518" s="54"/>
      <c r="Y518" s="78"/>
      <c r="Z518" s="54"/>
      <c r="AA518" s="70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 t="s">
        <v>2669</v>
      </c>
      <c r="AM518" s="83"/>
      <c r="AN518" s="83"/>
      <c r="AO518" s="83"/>
      <c r="AP518" s="83"/>
      <c r="AQ518" s="54" t="s">
        <v>6677</v>
      </c>
      <c r="AR518" s="83" t="s">
        <v>6678</v>
      </c>
      <c r="AS518" s="83" t="s">
        <v>6679</v>
      </c>
      <c r="AT518" s="93" t="s">
        <v>6674</v>
      </c>
      <c r="AU518" s="93" t="s">
        <v>6674</v>
      </c>
      <c r="AV518" s="93" t="s">
        <v>6674</v>
      </c>
      <c r="AW518" s="83" t="s">
        <v>6680</v>
      </c>
      <c r="AX518" s="83">
        <v>2.0</v>
      </c>
      <c r="AY518" s="83">
        <v>0.0</v>
      </c>
      <c r="AZ518" s="83" t="s">
        <v>6681</v>
      </c>
      <c r="BA518" s="83" t="s">
        <v>6682</v>
      </c>
      <c r="BB518" s="83" t="s">
        <v>6683</v>
      </c>
      <c r="BC518" s="54" t="s">
        <v>48</v>
      </c>
      <c r="BD518" s="54" t="str">
        <f t="shared" si="1"/>
        <v>Puno</v>
      </c>
      <c r="BE518" s="67" t="s">
        <v>140</v>
      </c>
      <c r="BF518" s="67" t="s">
        <v>141</v>
      </c>
      <c r="BG518" s="67" t="s">
        <v>142</v>
      </c>
      <c r="BH518" s="67"/>
      <c r="BI518" s="67"/>
      <c r="BJ518" s="67"/>
      <c r="BK518" s="67"/>
      <c r="BL518" s="67" t="s">
        <v>147</v>
      </c>
      <c r="BM518" s="67" t="s">
        <v>146</v>
      </c>
      <c r="BN518" s="100">
        <v>89.0</v>
      </c>
      <c r="BO518" s="102" t="s">
        <v>148</v>
      </c>
      <c r="BP518" s="67" t="s">
        <v>141</v>
      </c>
      <c r="BQ518" s="79" t="s">
        <v>141</v>
      </c>
      <c r="BR518" s="67" t="s">
        <v>149</v>
      </c>
      <c r="BS518" s="102">
        <v>1.0</v>
      </c>
      <c r="BT518" s="106"/>
      <c r="BU518" s="107"/>
      <c r="BV518" s="108">
        <f t="shared" si="2"/>
        <v>46246</v>
      </c>
      <c r="BW518" s="108">
        <f t="shared" si="16"/>
        <v>46248</v>
      </c>
      <c r="BX518" s="102" t="str">
        <f t="shared" si="15"/>
        <v>14</v>
      </c>
      <c r="BY518" s="107">
        <f t="shared" si="5"/>
        <v>2</v>
      </c>
      <c r="BZ518" s="107">
        <f t="array" ref="BZ518">IF($A518&lt;&gt;"",INDEX(LISTA!$M$2:$N$27,MATCH($BC518,LISTA!$N$2:$N$27,0),1),"")</f>
        <v>22</v>
      </c>
      <c r="CA518" s="67">
        <f t="shared" si="6"/>
        <v>8</v>
      </c>
      <c r="CB518" s="114" t="str">
        <f t="shared" si="7"/>
        <v/>
      </c>
      <c r="CC518" s="114"/>
    </row>
    <row r="519" ht="15.0" customHeight="1">
      <c r="A519" s="59">
        <v>46238.4062680787</v>
      </c>
      <c r="B519" s="115" t="s">
        <v>395</v>
      </c>
      <c r="C519" s="54" t="s">
        <v>100</v>
      </c>
      <c r="D519" s="56" t="s">
        <v>101</v>
      </c>
      <c r="E519" s="69">
        <v>46239.375</v>
      </c>
      <c r="F519" s="162" t="s">
        <v>6684</v>
      </c>
      <c r="G519" s="60" t="s">
        <v>6685</v>
      </c>
      <c r="H519" s="60" t="s">
        <v>6686</v>
      </c>
      <c r="I519" s="67" t="s">
        <v>384</v>
      </c>
      <c r="J519" s="79" t="s">
        <v>6687</v>
      </c>
      <c r="K519" s="67" t="s">
        <v>109</v>
      </c>
      <c r="L519" s="79" t="s">
        <v>6688</v>
      </c>
      <c r="M519" s="83" t="s">
        <v>6689</v>
      </c>
      <c r="N519" s="78">
        <v>32207.0</v>
      </c>
      <c r="O519" s="80" t="s">
        <v>36</v>
      </c>
      <c r="P519" s="70">
        <v>120101.0</v>
      </c>
      <c r="Q519" s="54"/>
      <c r="R519" s="84"/>
      <c r="S519" s="84"/>
      <c r="T519" s="54"/>
      <c r="U519" s="86"/>
      <c r="V519" s="54"/>
      <c r="W519" s="86"/>
      <c r="X519" s="54"/>
      <c r="Y519" s="78"/>
      <c r="Z519" s="54"/>
      <c r="AA519" s="70"/>
      <c r="AB519" s="83"/>
      <c r="AC519" s="83"/>
      <c r="AD519" s="83"/>
      <c r="AE519" s="83"/>
      <c r="AF519" s="83" t="s">
        <v>300</v>
      </c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54" t="s">
        <v>6690</v>
      </c>
      <c r="AR519" s="83" t="s">
        <v>6691</v>
      </c>
      <c r="AS519" s="83" t="s">
        <v>6692</v>
      </c>
      <c r="AT519" s="93" t="s">
        <v>6687</v>
      </c>
      <c r="AU519" s="93" t="s">
        <v>6687</v>
      </c>
      <c r="AV519" s="93" t="s">
        <v>6687</v>
      </c>
      <c r="AW519" s="83" t="s">
        <v>6693</v>
      </c>
      <c r="AX519" s="83">
        <v>2.0</v>
      </c>
      <c r="AY519" s="83" t="s">
        <v>2519</v>
      </c>
      <c r="AZ519" s="83" t="s">
        <v>6694</v>
      </c>
      <c r="BA519" s="83" t="s">
        <v>2519</v>
      </c>
      <c r="BB519" s="83" t="s">
        <v>4530</v>
      </c>
      <c r="BC519" s="54" t="s">
        <v>41</v>
      </c>
      <c r="BD519" s="54" t="str">
        <f t="shared" si="1"/>
        <v>Ate</v>
      </c>
      <c r="BE519" s="67" t="s">
        <v>140</v>
      </c>
      <c r="BF519" s="67" t="s">
        <v>141</v>
      </c>
      <c r="BG519" s="67" t="s">
        <v>142</v>
      </c>
      <c r="BH519" s="67"/>
      <c r="BI519" s="67"/>
      <c r="BJ519" s="67"/>
      <c r="BK519" s="67"/>
      <c r="BL519" s="67" t="s">
        <v>283</v>
      </c>
      <c r="BM519" s="67" t="s">
        <v>146</v>
      </c>
      <c r="BN519" s="100">
        <v>94.0</v>
      </c>
      <c r="BO519" s="102" t="s">
        <v>148</v>
      </c>
      <c r="BP519" s="67" t="s">
        <v>141</v>
      </c>
      <c r="BQ519" s="79" t="s">
        <v>144</v>
      </c>
      <c r="BR519" s="67" t="s">
        <v>149</v>
      </c>
      <c r="BS519" s="102">
        <v>1.0</v>
      </c>
      <c r="BT519" s="106"/>
      <c r="BU519" s="107"/>
      <c r="BV519" s="108">
        <f t="shared" si="2"/>
        <v>46238</v>
      </c>
      <c r="BW519" s="108">
        <f t="shared" si="16"/>
        <v>46239</v>
      </c>
      <c r="BX519" s="102" t="str">
        <f t="shared" si="15"/>
        <v>09</v>
      </c>
      <c r="BY519" s="107">
        <f t="shared" si="5"/>
        <v>2</v>
      </c>
      <c r="BZ519" s="107">
        <f t="array" ref="BZ519">IF($A519&lt;&gt;"",INDEX(LISTA!$M$2:$N$27,MATCH($BC519,LISTA!$N$2:$N$27,0),1),"")</f>
        <v>1</v>
      </c>
      <c r="CA519" s="67">
        <f t="shared" si="6"/>
        <v>8</v>
      </c>
      <c r="CB519" s="114" t="str">
        <f t="shared" si="7"/>
        <v/>
      </c>
      <c r="CC519" s="114"/>
    </row>
    <row r="520" ht="15.0" customHeight="1">
      <c r="A520" s="59">
        <v>46251.53195133102</v>
      </c>
      <c r="B520" s="62" t="s">
        <v>391</v>
      </c>
      <c r="C520" s="54" t="s">
        <v>100</v>
      </c>
      <c r="D520" s="56" t="s">
        <v>319</v>
      </c>
      <c r="E520" s="69">
        <v>46253.375</v>
      </c>
      <c r="F520" s="162"/>
      <c r="G520" s="60" t="s">
        <v>6695</v>
      </c>
      <c r="H520" s="60" t="s">
        <v>6695</v>
      </c>
      <c r="I520" s="67" t="s">
        <v>382</v>
      </c>
      <c r="J520" s="79" t="s">
        <v>6696</v>
      </c>
      <c r="K520" s="67" t="s">
        <v>109</v>
      </c>
      <c r="L520" s="79" t="s">
        <v>6697</v>
      </c>
      <c r="M520" s="83" t="s">
        <v>6698</v>
      </c>
      <c r="N520" s="78">
        <v>28307.0</v>
      </c>
      <c r="O520" s="80" t="s">
        <v>49</v>
      </c>
      <c r="P520" s="70">
        <v>220102.0</v>
      </c>
      <c r="Q520" s="54"/>
      <c r="R520" s="84"/>
      <c r="S520" s="84"/>
      <c r="T520" s="54"/>
      <c r="U520" s="86"/>
      <c r="V520" s="54"/>
      <c r="W520" s="86"/>
      <c r="X520" s="54"/>
      <c r="Y520" s="78"/>
      <c r="Z520" s="54"/>
      <c r="AA520" s="70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 t="s">
        <v>3343</v>
      </c>
      <c r="AN520" s="83"/>
      <c r="AO520" s="83"/>
      <c r="AP520" s="83"/>
      <c r="AQ520" s="54" t="s">
        <v>4629</v>
      </c>
      <c r="AR520" s="83" t="s">
        <v>6699</v>
      </c>
      <c r="AS520" s="83" t="s">
        <v>6700</v>
      </c>
      <c r="AT520" s="93" t="s">
        <v>6696</v>
      </c>
      <c r="AU520" s="93" t="s">
        <v>6696</v>
      </c>
      <c r="AV520" s="93" t="s">
        <v>6696</v>
      </c>
      <c r="AW520" s="83" t="s">
        <v>6701</v>
      </c>
      <c r="AX520" s="83">
        <v>1.0</v>
      </c>
      <c r="AY520" s="83">
        <v>0.0</v>
      </c>
      <c r="AZ520" s="83" t="s">
        <v>6702</v>
      </c>
      <c r="BA520" s="83" t="s">
        <v>6703</v>
      </c>
      <c r="BB520" s="83" t="s">
        <v>6704</v>
      </c>
      <c r="BC520" s="54" t="s">
        <v>49</v>
      </c>
      <c r="BD520" s="54" t="str">
        <f t="shared" si="1"/>
        <v>Moyobamba</v>
      </c>
      <c r="BE520" s="67" t="s">
        <v>140</v>
      </c>
      <c r="BF520" s="67" t="s">
        <v>141</v>
      </c>
      <c r="BG520" s="67" t="s">
        <v>142</v>
      </c>
      <c r="BH520" s="67"/>
      <c r="BI520" s="67"/>
      <c r="BJ520" s="67"/>
      <c r="BK520" s="67"/>
      <c r="BL520" s="67" t="s">
        <v>147</v>
      </c>
      <c r="BM520" s="67" t="s">
        <v>146</v>
      </c>
      <c r="BN520" s="100">
        <v>89.0</v>
      </c>
      <c r="BO520" s="102" t="s">
        <v>148</v>
      </c>
      <c r="BP520" s="67" t="s">
        <v>141</v>
      </c>
      <c r="BQ520" s="79" t="s">
        <v>141</v>
      </c>
      <c r="BR520" s="67" t="s">
        <v>149</v>
      </c>
      <c r="BS520" s="102">
        <v>1.0</v>
      </c>
      <c r="BT520" s="106"/>
      <c r="BU520" s="107"/>
      <c r="BV520" s="108">
        <f t="shared" si="2"/>
        <v>46251</v>
      </c>
      <c r="BW520" s="108">
        <f t="shared" si="16"/>
        <v>46253</v>
      </c>
      <c r="BX520" s="102" t="str">
        <f t="shared" si="15"/>
        <v>09</v>
      </c>
      <c r="BY520" s="107">
        <f t="shared" si="5"/>
        <v>2</v>
      </c>
      <c r="BZ520" s="107">
        <f t="array" ref="BZ520">IF($A520&lt;&gt;"",INDEX(LISTA!$M$2:$N$27,MATCH($BC520,LISTA!$N$2:$N$27,0),1),"")</f>
        <v>23</v>
      </c>
      <c r="CA520" s="67">
        <f t="shared" si="6"/>
        <v>8</v>
      </c>
      <c r="CB520" s="114" t="str">
        <f t="shared" si="7"/>
        <v/>
      </c>
      <c r="CC520" s="114"/>
    </row>
    <row r="521" ht="15.0" customHeight="1">
      <c r="A521" s="59">
        <v>46256.53822398148</v>
      </c>
      <c r="B521" s="62" t="s">
        <v>387</v>
      </c>
      <c r="C521" s="54" t="s">
        <v>100</v>
      </c>
      <c r="D521" s="56" t="s">
        <v>319</v>
      </c>
      <c r="E521" s="69">
        <v>46258.375</v>
      </c>
      <c r="F521" s="162"/>
      <c r="G521" s="60" t="s">
        <v>6705</v>
      </c>
      <c r="H521" s="60" t="s">
        <v>6706</v>
      </c>
      <c r="I521" s="67" t="s">
        <v>378</v>
      </c>
      <c r="J521" s="79" t="s">
        <v>6707</v>
      </c>
      <c r="K521" s="67" t="s">
        <v>109</v>
      </c>
      <c r="L521" s="79" t="s">
        <v>6708</v>
      </c>
      <c r="M521" s="83" t="s">
        <v>6709</v>
      </c>
      <c r="N521" s="78">
        <v>31112.0</v>
      </c>
      <c r="O521" s="80" t="s">
        <v>39</v>
      </c>
      <c r="P521" s="70">
        <v>120101.0</v>
      </c>
      <c r="Q521" s="54"/>
      <c r="R521" s="84"/>
      <c r="S521" s="84"/>
      <c r="T521" s="54"/>
      <c r="U521" s="86"/>
      <c r="V521" s="54"/>
      <c r="W521" s="86"/>
      <c r="X521" s="54"/>
      <c r="Y521" s="78"/>
      <c r="Z521" s="54"/>
      <c r="AA521" s="70"/>
      <c r="AB521" s="83"/>
      <c r="AC521" s="83" t="s">
        <v>1690</v>
      </c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54" t="s">
        <v>1233</v>
      </c>
      <c r="AR521" s="83" t="s">
        <v>6710</v>
      </c>
      <c r="AS521" s="83" t="s">
        <v>6711</v>
      </c>
      <c r="AT521" s="93" t="s">
        <v>6712</v>
      </c>
      <c r="AU521" s="93" t="s">
        <v>6712</v>
      </c>
      <c r="AV521" s="93" t="s">
        <v>6712</v>
      </c>
      <c r="AW521" s="83" t="s">
        <v>6713</v>
      </c>
      <c r="AX521" s="83">
        <v>1.0</v>
      </c>
      <c r="AY521" s="83" t="s">
        <v>5879</v>
      </c>
      <c r="AZ521" s="83" t="s">
        <v>6714</v>
      </c>
      <c r="BA521" s="83" t="s">
        <v>6715</v>
      </c>
      <c r="BB521" s="83" t="s">
        <v>6716</v>
      </c>
      <c r="BC521" s="54" t="s">
        <v>39</v>
      </c>
      <c r="BD521" s="70" t="str">
        <f t="shared" si="1"/>
        <v>Trujillo</v>
      </c>
      <c r="BE521" s="67" t="s">
        <v>140</v>
      </c>
      <c r="BF521" s="67" t="s">
        <v>144</v>
      </c>
      <c r="BG521" s="67" t="s">
        <v>142</v>
      </c>
      <c r="BH521" s="67"/>
      <c r="BI521" s="67"/>
      <c r="BJ521" s="67"/>
      <c r="BK521" s="67"/>
      <c r="BL521" s="67" t="s">
        <v>147</v>
      </c>
      <c r="BM521" s="67" t="s">
        <v>146</v>
      </c>
      <c r="BN521" s="100">
        <v>89.0</v>
      </c>
      <c r="BO521" s="102" t="s">
        <v>148</v>
      </c>
      <c r="BP521" s="67" t="s">
        <v>141</v>
      </c>
      <c r="BQ521" s="79" t="s">
        <v>141</v>
      </c>
      <c r="BR521" s="67" t="s">
        <v>149</v>
      </c>
      <c r="BS521" s="102">
        <v>1.0</v>
      </c>
      <c r="BT521" s="106"/>
      <c r="BU521" s="107"/>
      <c r="BV521" s="108">
        <f t="shared" si="2"/>
        <v>46256</v>
      </c>
      <c r="BW521" s="108">
        <f t="shared" si="16"/>
        <v>46258</v>
      </c>
      <c r="BX521" s="102" t="str">
        <f t="shared" si="15"/>
        <v>09</v>
      </c>
      <c r="BY521" s="107">
        <f t="shared" si="5"/>
        <v>2</v>
      </c>
      <c r="BZ521" s="107">
        <f t="array" ref="BZ521">IF($A521&lt;&gt;"",INDEX(LISTA!$M$2:$N$27,MATCH($BC521,LISTA!$N$2:$N$27,0),1),"")</f>
        <v>15</v>
      </c>
      <c r="CA521" s="67">
        <f t="shared" si="6"/>
        <v>8</v>
      </c>
      <c r="CB521" s="114" t="str">
        <f t="shared" si="7"/>
        <v/>
      </c>
      <c r="CC521" s="114"/>
    </row>
    <row r="522" ht="15.0" customHeight="1">
      <c r="A522" s="59">
        <v>46237.379846261574</v>
      </c>
      <c r="B522" s="115" t="s">
        <v>339</v>
      </c>
      <c r="C522" s="54" t="s">
        <v>100</v>
      </c>
      <c r="D522" s="56" t="s">
        <v>319</v>
      </c>
      <c r="E522" s="69"/>
      <c r="F522" s="162"/>
      <c r="G522" s="60"/>
      <c r="H522" s="60"/>
      <c r="I522" s="67" t="s">
        <v>378</v>
      </c>
      <c r="J522" s="79" t="s">
        <v>6717</v>
      </c>
      <c r="K522" s="67" t="s">
        <v>109</v>
      </c>
      <c r="L522" s="79" t="s">
        <v>6718</v>
      </c>
      <c r="M522" s="83" t="s">
        <v>6719</v>
      </c>
      <c r="N522" s="78">
        <v>23774.0</v>
      </c>
      <c r="O522" s="80" t="s">
        <v>46</v>
      </c>
      <c r="P522" s="70">
        <v>190101.0</v>
      </c>
      <c r="Q522" s="54"/>
      <c r="R522" s="84"/>
      <c r="S522" s="84"/>
      <c r="T522" s="54"/>
      <c r="U522" s="86"/>
      <c r="V522" s="54"/>
      <c r="W522" s="86"/>
      <c r="X522" s="54"/>
      <c r="Y522" s="78"/>
      <c r="Z522" s="54"/>
      <c r="AA522" s="70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 t="s">
        <v>199</v>
      </c>
      <c r="AL522" s="83"/>
      <c r="AM522" s="83"/>
      <c r="AN522" s="83"/>
      <c r="AO522" s="83"/>
      <c r="AP522" s="83"/>
      <c r="AQ522" s="54" t="s">
        <v>6720</v>
      </c>
      <c r="AR522" s="83" t="s">
        <v>6721</v>
      </c>
      <c r="AS522" s="83" t="s">
        <v>6722</v>
      </c>
      <c r="AT522" s="93" t="s">
        <v>6717</v>
      </c>
      <c r="AU522" s="93" t="s">
        <v>6717</v>
      </c>
      <c r="AV522" s="93" t="s">
        <v>6717</v>
      </c>
      <c r="AW522" s="83" t="s">
        <v>6723</v>
      </c>
      <c r="AX522" s="83">
        <v>1.0</v>
      </c>
      <c r="AY522" s="83" t="s">
        <v>2739</v>
      </c>
      <c r="AZ522" s="83" t="s">
        <v>6724</v>
      </c>
      <c r="BA522" s="83" t="s">
        <v>6725</v>
      </c>
      <c r="BB522" s="83" t="s">
        <v>6726</v>
      </c>
      <c r="BC522" s="54" t="s">
        <v>46</v>
      </c>
      <c r="BD522" s="54" t="str">
        <f t="shared" si="1"/>
        <v>Piura</v>
      </c>
      <c r="BE522" s="67" t="s">
        <v>143</v>
      </c>
      <c r="BF522" s="67" t="s">
        <v>141</v>
      </c>
      <c r="BG522" s="67" t="s">
        <v>142</v>
      </c>
      <c r="BH522" s="67"/>
      <c r="BI522" s="67"/>
      <c r="BJ522" s="67"/>
      <c r="BK522" s="67"/>
      <c r="BL522" s="67" t="s">
        <v>147</v>
      </c>
      <c r="BM522" s="67" t="s">
        <v>146</v>
      </c>
      <c r="BN522" s="100">
        <v>89.0</v>
      </c>
      <c r="BO522" s="102" t="s">
        <v>148</v>
      </c>
      <c r="BP522" s="67" t="s">
        <v>141</v>
      </c>
      <c r="BQ522" s="79" t="s">
        <v>141</v>
      </c>
      <c r="BR522" s="67" t="s">
        <v>149</v>
      </c>
      <c r="BS522" s="102" t="s">
        <v>149</v>
      </c>
      <c r="BT522" s="106"/>
      <c r="BU522" s="107"/>
      <c r="BV522" s="108">
        <f t="shared" si="2"/>
        <v>46237</v>
      </c>
      <c r="BW522" s="108" t="str">
        <f t="shared" si="16"/>
        <v/>
      </c>
      <c r="BX522" s="102" t="str">
        <f t="shared" si="15"/>
        <v/>
      </c>
      <c r="BY522" s="107">
        <f t="shared" si="5"/>
        <v>0</v>
      </c>
      <c r="BZ522" s="107">
        <f t="array" ref="BZ522">IF($A522&lt;&gt;"",INDEX(LISTA!$M$2:$N$27,MATCH($BC522,LISTA!$N$2:$N$27,0),1),"")</f>
        <v>21</v>
      </c>
      <c r="CA522" s="67">
        <f t="shared" si="6"/>
        <v>8</v>
      </c>
      <c r="CB522" s="114" t="str">
        <f t="shared" si="7"/>
        <v/>
      </c>
      <c r="CC522" s="114"/>
    </row>
    <row r="523" ht="15.0" customHeight="1">
      <c r="A523" s="59">
        <v>46238.72384150463</v>
      </c>
      <c r="B523" s="115" t="s">
        <v>339</v>
      </c>
      <c r="C523" s="54" t="s">
        <v>100</v>
      </c>
      <c r="D523" s="56" t="s">
        <v>319</v>
      </c>
      <c r="E523" s="69"/>
      <c r="F523" s="162" t="s">
        <v>6727</v>
      </c>
      <c r="G523" s="60"/>
      <c r="H523" s="60"/>
      <c r="I523" s="67" t="s">
        <v>156</v>
      </c>
      <c r="J523" s="79" t="s">
        <v>6728</v>
      </c>
      <c r="K523" s="67" t="s">
        <v>1151</v>
      </c>
      <c r="L523" s="79" t="s">
        <v>6729</v>
      </c>
      <c r="M523" s="83" t="s">
        <v>6730</v>
      </c>
      <c r="N523" s="78">
        <v>30831.0</v>
      </c>
      <c r="O523" s="80" t="s">
        <v>37</v>
      </c>
      <c r="P523" s="70">
        <v>140126.0</v>
      </c>
      <c r="Q523" s="54"/>
      <c r="R523" s="84"/>
      <c r="S523" s="84"/>
      <c r="T523" s="54"/>
      <c r="U523" s="86"/>
      <c r="V523" s="54"/>
      <c r="W523" s="86"/>
      <c r="X523" s="54"/>
      <c r="Y523" s="78"/>
      <c r="Z523" s="54"/>
      <c r="AA523" s="70"/>
      <c r="AB523" s="83"/>
      <c r="AC523" s="83"/>
      <c r="AD523" s="83"/>
      <c r="AE523" s="83"/>
      <c r="AF523" s="83" t="s">
        <v>691</v>
      </c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54" t="s">
        <v>6731</v>
      </c>
      <c r="AR523" s="83" t="s">
        <v>6732</v>
      </c>
      <c r="AS523" s="83" t="s">
        <v>6733</v>
      </c>
      <c r="AT523" s="93" t="s">
        <v>6728</v>
      </c>
      <c r="AU523" s="93" t="s">
        <v>6728</v>
      </c>
      <c r="AV523" s="93" t="s">
        <v>6728</v>
      </c>
      <c r="AW523" s="83" t="s">
        <v>6734</v>
      </c>
      <c r="AX523" s="83">
        <v>1.0</v>
      </c>
      <c r="AY523" s="83">
        <v>1.0</v>
      </c>
      <c r="AZ523" s="83" t="s">
        <v>6735</v>
      </c>
      <c r="BA523" s="83" t="s">
        <v>1767</v>
      </c>
      <c r="BB523" s="83" t="s">
        <v>6736</v>
      </c>
      <c r="BC523" s="54" t="s">
        <v>41</v>
      </c>
      <c r="BD523" s="54" t="str">
        <f t="shared" si="1"/>
        <v>Comas</v>
      </c>
      <c r="BE523" s="67" t="s">
        <v>140</v>
      </c>
      <c r="BF523" s="67" t="s">
        <v>141</v>
      </c>
      <c r="BG523" s="67" t="s">
        <v>142</v>
      </c>
      <c r="BH523" s="67"/>
      <c r="BI523" s="67"/>
      <c r="BJ523" s="67"/>
      <c r="BK523" s="67"/>
      <c r="BL523" s="67" t="s">
        <v>145</v>
      </c>
      <c r="BM523" s="67" t="s">
        <v>146</v>
      </c>
      <c r="BN523" s="100">
        <v>170.0</v>
      </c>
      <c r="BO523" s="102" t="s">
        <v>148</v>
      </c>
      <c r="BP523" s="67" t="s">
        <v>144</v>
      </c>
      <c r="BQ523" s="79" t="s">
        <v>141</v>
      </c>
      <c r="BR523" s="67">
        <v>1.0</v>
      </c>
      <c r="BS523" s="102">
        <v>1.0</v>
      </c>
      <c r="BT523" s="106"/>
      <c r="BU523" s="107"/>
      <c r="BV523" s="108">
        <f t="shared" si="2"/>
        <v>46238</v>
      </c>
      <c r="BW523" s="108" t="str">
        <f t="shared" si="16"/>
        <v/>
      </c>
      <c r="BX523" s="102" t="str">
        <f t="shared" si="15"/>
        <v/>
      </c>
      <c r="BY523" s="107">
        <f t="shared" si="5"/>
        <v>0</v>
      </c>
      <c r="BZ523" s="107">
        <f t="array" ref="BZ523">IF($A523&lt;&gt;"",INDEX(LISTA!$M$2:$N$27,MATCH($BC523,LISTA!$N$2:$N$27,0),1),"")</f>
        <v>1</v>
      </c>
      <c r="CA523" s="67">
        <f t="shared" si="6"/>
        <v>8</v>
      </c>
      <c r="CB523" s="114" t="str">
        <f t="shared" si="7"/>
        <v/>
      </c>
      <c r="CC523" s="114"/>
    </row>
    <row r="524" ht="15.0" customHeight="1">
      <c r="A524" s="59">
        <v>46246.43222956019</v>
      </c>
      <c r="B524" s="115" t="s">
        <v>339</v>
      </c>
      <c r="C524" s="54" t="s">
        <v>100</v>
      </c>
      <c r="D524" s="56" t="s">
        <v>319</v>
      </c>
      <c r="E524" s="69"/>
      <c r="F524" s="162" t="s">
        <v>6737</v>
      </c>
      <c r="G524" s="60"/>
      <c r="H524" s="60"/>
      <c r="I524" s="67" t="s">
        <v>378</v>
      </c>
      <c r="J524" s="79" t="s">
        <v>6738</v>
      </c>
      <c r="K524" s="67" t="s">
        <v>109</v>
      </c>
      <c r="L524" s="79" t="s">
        <v>6739</v>
      </c>
      <c r="M524" s="83" t="s">
        <v>6740</v>
      </c>
      <c r="N524" s="78">
        <v>29467.0</v>
      </c>
      <c r="O524" s="80" t="s">
        <v>41</v>
      </c>
      <c r="P524" s="70">
        <v>140101.0</v>
      </c>
      <c r="Q524" s="54"/>
      <c r="R524" s="84"/>
      <c r="S524" s="84"/>
      <c r="T524" s="54"/>
      <c r="U524" s="86"/>
      <c r="V524" s="54"/>
      <c r="W524" s="86"/>
      <c r="X524" s="54"/>
      <c r="Y524" s="78"/>
      <c r="Z524" s="54"/>
      <c r="AA524" s="70"/>
      <c r="AB524" s="83"/>
      <c r="AC524" s="83"/>
      <c r="AD524" s="83"/>
      <c r="AE524" s="83"/>
      <c r="AF524" s="83" t="s">
        <v>165</v>
      </c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54" t="s">
        <v>6741</v>
      </c>
      <c r="AR524" s="83" t="s">
        <v>2736</v>
      </c>
      <c r="AS524" s="83" t="s">
        <v>6742</v>
      </c>
      <c r="AT524" s="93" t="s">
        <v>6738</v>
      </c>
      <c r="AU524" s="93" t="s">
        <v>6738</v>
      </c>
      <c r="AV524" s="93" t="s">
        <v>6738</v>
      </c>
      <c r="AW524" s="83" t="s">
        <v>6743</v>
      </c>
      <c r="AX524" s="83">
        <v>4.0</v>
      </c>
      <c r="AY524" s="83">
        <v>402.0</v>
      </c>
      <c r="AZ524" s="83" t="s">
        <v>6744</v>
      </c>
      <c r="BA524" s="83" t="s">
        <v>6745</v>
      </c>
      <c r="BB524" s="83" t="s">
        <v>6746</v>
      </c>
      <c r="BC524" s="54" t="s">
        <v>41</v>
      </c>
      <c r="BD524" s="54" t="str">
        <f t="shared" si="1"/>
        <v>San Martín de Porres</v>
      </c>
      <c r="BE524" s="67" t="s">
        <v>140</v>
      </c>
      <c r="BF524" s="67" t="s">
        <v>141</v>
      </c>
      <c r="BG524" s="67" t="s">
        <v>142</v>
      </c>
      <c r="BH524" s="67"/>
      <c r="BI524" s="67"/>
      <c r="BJ524" s="67"/>
      <c r="BK524" s="67"/>
      <c r="BL524" s="67" t="s">
        <v>145</v>
      </c>
      <c r="BM524" s="67" t="s">
        <v>146</v>
      </c>
      <c r="BN524" s="100">
        <v>170.0</v>
      </c>
      <c r="BO524" s="102" t="s">
        <v>148</v>
      </c>
      <c r="BP524" s="67" t="s">
        <v>144</v>
      </c>
      <c r="BQ524" s="79" t="s">
        <v>141</v>
      </c>
      <c r="BR524" s="67">
        <v>2.0</v>
      </c>
      <c r="BS524" s="102">
        <v>1.0</v>
      </c>
      <c r="BT524" s="106"/>
      <c r="BU524" s="107"/>
      <c r="BV524" s="108">
        <f t="shared" si="2"/>
        <v>46246</v>
      </c>
      <c r="BW524" s="108" t="str">
        <f t="shared" si="16"/>
        <v/>
      </c>
      <c r="BX524" s="102" t="str">
        <f t="shared" si="15"/>
        <v/>
      </c>
      <c r="BY524" s="107">
        <f t="shared" si="5"/>
        <v>0</v>
      </c>
      <c r="BZ524" s="107">
        <f t="array" ref="BZ524">IF($A524&lt;&gt;"",INDEX(LISTA!$M$2:$N$27,MATCH($BC524,LISTA!$N$2:$N$27,0),1),"")</f>
        <v>1</v>
      </c>
      <c r="CA524" s="67">
        <f t="shared" si="6"/>
        <v>8</v>
      </c>
      <c r="CB524" s="114" t="str">
        <f t="shared" si="7"/>
        <v/>
      </c>
      <c r="CC524" s="114"/>
    </row>
    <row r="525" ht="15.0" customHeight="1">
      <c r="A525" s="59">
        <v>46254.73267849537</v>
      </c>
      <c r="B525" s="115" t="s">
        <v>339</v>
      </c>
      <c r="C525" s="54" t="s">
        <v>100</v>
      </c>
      <c r="D525" s="56" t="s">
        <v>319</v>
      </c>
      <c r="E525" s="69"/>
      <c r="F525" s="162" t="s">
        <v>6747</v>
      </c>
      <c r="G525" s="60"/>
      <c r="H525" s="60"/>
      <c r="I525" s="67" t="s">
        <v>107</v>
      </c>
      <c r="J525" s="79" t="s">
        <v>6748</v>
      </c>
      <c r="K525" s="67" t="s">
        <v>109</v>
      </c>
      <c r="L525" s="79" t="s">
        <v>6749</v>
      </c>
      <c r="M525" s="83" t="s">
        <v>6750</v>
      </c>
      <c r="N525" s="78">
        <v>30474.0</v>
      </c>
      <c r="O525" s="80" t="s">
        <v>46</v>
      </c>
      <c r="P525" s="70">
        <v>190106.0</v>
      </c>
      <c r="Q525" s="54"/>
      <c r="R525" s="84"/>
      <c r="S525" s="84"/>
      <c r="T525" s="54"/>
      <c r="U525" s="86"/>
      <c r="V525" s="54"/>
      <c r="W525" s="86"/>
      <c r="X525" s="54"/>
      <c r="Y525" s="78"/>
      <c r="Z525" s="54"/>
      <c r="AA525" s="70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 t="s">
        <v>199</v>
      </c>
      <c r="AL525" s="83"/>
      <c r="AM525" s="83"/>
      <c r="AN525" s="83"/>
      <c r="AO525" s="83"/>
      <c r="AP525" s="83"/>
      <c r="AQ525" s="54" t="s">
        <v>2146</v>
      </c>
      <c r="AR525" s="83" t="s">
        <v>5282</v>
      </c>
      <c r="AS525" s="83" t="s">
        <v>6751</v>
      </c>
      <c r="AT525" s="93" t="s">
        <v>6752</v>
      </c>
      <c r="AU525" s="93" t="s">
        <v>6752</v>
      </c>
      <c r="AV525" s="93" t="s">
        <v>6752</v>
      </c>
      <c r="AW525" s="83" t="s">
        <v>6753</v>
      </c>
      <c r="AX525" s="83">
        <v>1.0</v>
      </c>
      <c r="AY525" s="83">
        <v>1.0</v>
      </c>
      <c r="AZ525" s="83" t="s">
        <v>6754</v>
      </c>
      <c r="BA525" s="83" t="s">
        <v>6755</v>
      </c>
      <c r="BB525" s="83" t="s">
        <v>6756</v>
      </c>
      <c r="BC525" s="54" t="s">
        <v>46</v>
      </c>
      <c r="BD525" s="54" t="str">
        <f t="shared" si="1"/>
        <v>Piura</v>
      </c>
      <c r="BE525" s="67" t="s">
        <v>143</v>
      </c>
      <c r="BF525" s="67" t="s">
        <v>144</v>
      </c>
      <c r="BG525" s="67" t="s">
        <v>142</v>
      </c>
      <c r="BH525" s="67"/>
      <c r="BI525" s="67"/>
      <c r="BJ525" s="67"/>
      <c r="BK525" s="67"/>
      <c r="BL525" s="67" t="s">
        <v>147</v>
      </c>
      <c r="BM525" s="67" t="s">
        <v>146</v>
      </c>
      <c r="BN525" s="100">
        <v>89.0</v>
      </c>
      <c r="BO525" s="102" t="s">
        <v>148</v>
      </c>
      <c r="BP525" s="67" t="s">
        <v>141</v>
      </c>
      <c r="BQ525" s="79" t="s">
        <v>141</v>
      </c>
      <c r="BR525" s="67" t="s">
        <v>149</v>
      </c>
      <c r="BS525" s="102" t="s">
        <v>149</v>
      </c>
      <c r="BT525" s="106"/>
      <c r="BU525" s="107"/>
      <c r="BV525" s="108">
        <f t="shared" si="2"/>
        <v>46254</v>
      </c>
      <c r="BW525" s="108" t="str">
        <f t="shared" si="16"/>
        <v/>
      </c>
      <c r="BX525" s="102" t="str">
        <f t="shared" si="15"/>
        <v/>
      </c>
      <c r="BY525" s="107">
        <f t="shared" si="5"/>
        <v>0</v>
      </c>
      <c r="BZ525" s="107">
        <f t="array" ref="BZ525">IF($A525&lt;&gt;"",INDEX(LISTA!$M$2:$N$27,MATCH($BC525,LISTA!$N$2:$N$27,0),1),"")</f>
        <v>21</v>
      </c>
      <c r="CA525" s="67">
        <f t="shared" si="6"/>
        <v>8</v>
      </c>
      <c r="CB525" s="114" t="str">
        <f t="shared" si="7"/>
        <v/>
      </c>
      <c r="CC525" s="114"/>
    </row>
    <row r="526" ht="15.0" customHeight="1">
      <c r="A526" s="59">
        <v>46242.748976319446</v>
      </c>
      <c r="B526" s="115" t="s">
        <v>335</v>
      </c>
      <c r="C526" s="54" t="s">
        <v>100</v>
      </c>
      <c r="D526" s="154" t="s">
        <v>319</v>
      </c>
      <c r="E526" s="69"/>
      <c r="F526" s="162" t="s">
        <v>6757</v>
      </c>
      <c r="G526" s="60"/>
      <c r="H526" s="60"/>
      <c r="I526" s="67" t="s">
        <v>403</v>
      </c>
      <c r="J526" s="79" t="s">
        <v>5132</v>
      </c>
      <c r="K526" s="67" t="s">
        <v>1151</v>
      </c>
      <c r="L526" s="79" t="s">
        <v>5133</v>
      </c>
      <c r="M526" s="83" t="s">
        <v>5134</v>
      </c>
      <c r="N526" s="78">
        <v>32281.0</v>
      </c>
      <c r="O526" s="80" t="s">
        <v>39</v>
      </c>
      <c r="P526" s="70">
        <v>120103.0</v>
      </c>
      <c r="Q526" s="54"/>
      <c r="R526" s="84"/>
      <c r="S526" s="84"/>
      <c r="T526" s="54"/>
      <c r="U526" s="86"/>
      <c r="V526" s="54"/>
      <c r="W526" s="86"/>
      <c r="X526" s="54"/>
      <c r="Y526" s="78"/>
      <c r="Z526" s="54"/>
      <c r="AA526" s="70"/>
      <c r="AB526" s="83"/>
      <c r="AC526" s="83" t="s">
        <v>1690</v>
      </c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54" t="s">
        <v>6758</v>
      </c>
      <c r="AR526" s="83" t="s">
        <v>6759</v>
      </c>
      <c r="AS526" s="83" t="s">
        <v>5135</v>
      </c>
      <c r="AT526" s="93" t="s">
        <v>5132</v>
      </c>
      <c r="AU526" s="93" t="s">
        <v>5136</v>
      </c>
      <c r="AV526" s="93" t="s">
        <v>5136</v>
      </c>
      <c r="AW526" s="83" t="s">
        <v>5137</v>
      </c>
      <c r="AX526" s="83">
        <v>1.0</v>
      </c>
      <c r="AY526" s="83" t="s">
        <v>1767</v>
      </c>
      <c r="AZ526" s="83" t="s">
        <v>5138</v>
      </c>
      <c r="BA526" s="83" t="s">
        <v>1767</v>
      </c>
      <c r="BB526" s="83" t="s">
        <v>5139</v>
      </c>
      <c r="BC526" s="54" t="s">
        <v>39</v>
      </c>
      <c r="BD526" s="54" t="str">
        <f t="shared" si="1"/>
        <v>Trujillo</v>
      </c>
      <c r="BE526" s="67" t="s">
        <v>140</v>
      </c>
      <c r="BF526" s="67" t="s">
        <v>141</v>
      </c>
      <c r="BG526" s="67" t="s">
        <v>142</v>
      </c>
      <c r="BH526" s="67"/>
      <c r="BI526" s="67"/>
      <c r="BJ526" s="67"/>
      <c r="BK526" s="67"/>
      <c r="BL526" s="67" t="s">
        <v>145</v>
      </c>
      <c r="BM526" s="67" t="s">
        <v>146</v>
      </c>
      <c r="BN526" s="100">
        <v>150.0</v>
      </c>
      <c r="BO526" s="102" t="s">
        <v>615</v>
      </c>
      <c r="BP526" s="67" t="s">
        <v>141</v>
      </c>
      <c r="BQ526" s="79" t="s">
        <v>141</v>
      </c>
      <c r="BR526" s="67">
        <v>2.0</v>
      </c>
      <c r="BS526" s="102" t="s">
        <v>149</v>
      </c>
      <c r="BT526" s="106"/>
      <c r="BU526" s="107"/>
      <c r="BV526" s="108">
        <f t="shared" si="2"/>
        <v>46242</v>
      </c>
      <c r="BW526" s="108" t="str">
        <f t="shared" si="16"/>
        <v/>
      </c>
      <c r="BX526" s="102" t="str">
        <f t="shared" si="15"/>
        <v/>
      </c>
      <c r="BY526" s="107">
        <f t="shared" si="5"/>
        <v>0</v>
      </c>
      <c r="BZ526" s="107">
        <f t="array" ref="BZ526">IF($A526&lt;&gt;"",INDEX(LISTA!$M$2:$N$27,MATCH($BC526,LISTA!$N$2:$N$27,0),1),"")</f>
        <v>15</v>
      </c>
      <c r="CA526" s="67">
        <f t="shared" si="6"/>
        <v>8</v>
      </c>
      <c r="CB526" s="114" t="str">
        <f t="shared" si="7"/>
        <v/>
      </c>
      <c r="CC526" s="114"/>
    </row>
    <row r="527" ht="15.0" customHeight="1">
      <c r="A527" s="59">
        <v>46244.432593425925</v>
      </c>
      <c r="B527" s="115" t="s">
        <v>335</v>
      </c>
      <c r="C527" s="54" t="s">
        <v>100</v>
      </c>
      <c r="D527" s="56" t="s">
        <v>319</v>
      </c>
      <c r="E527" s="69"/>
      <c r="F527" s="162" t="s">
        <v>6760</v>
      </c>
      <c r="G527" s="60"/>
      <c r="H527" s="60"/>
      <c r="I527" s="67" t="s">
        <v>382</v>
      </c>
      <c r="J527" s="79" t="s">
        <v>5087</v>
      </c>
      <c r="K527" s="67" t="s">
        <v>109</v>
      </c>
      <c r="L527" s="79" t="s">
        <v>6761</v>
      </c>
      <c r="M527" s="83" t="s">
        <v>6762</v>
      </c>
      <c r="N527" s="78">
        <v>22947.0</v>
      </c>
      <c r="O527" s="80" t="s">
        <v>33</v>
      </c>
      <c r="P527" s="70">
        <v>100301.0</v>
      </c>
      <c r="Q527" s="54"/>
      <c r="R527" s="84"/>
      <c r="S527" s="84"/>
      <c r="T527" s="54"/>
      <c r="U527" s="86"/>
      <c r="V527" s="54"/>
      <c r="W527" s="86"/>
      <c r="X527" s="54"/>
      <c r="Y527" s="78"/>
      <c r="Z527" s="54" t="s">
        <v>267</v>
      </c>
      <c r="AA527" s="70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54" t="s">
        <v>6763</v>
      </c>
      <c r="AR527" s="83" t="s">
        <v>6764</v>
      </c>
      <c r="AS527" s="83" t="s">
        <v>6765</v>
      </c>
      <c r="AT527" s="93" t="s">
        <v>5087</v>
      </c>
      <c r="AU527" s="93" t="s">
        <v>5087</v>
      </c>
      <c r="AV527" s="93" t="s">
        <v>5087</v>
      </c>
      <c r="AW527" s="83" t="s">
        <v>6766</v>
      </c>
      <c r="AX527" s="83">
        <v>3.0</v>
      </c>
      <c r="AY527" s="83">
        <v>0.0</v>
      </c>
      <c r="AZ527" s="83" t="s">
        <v>6767</v>
      </c>
      <c r="BA527" s="83" t="s">
        <v>6768</v>
      </c>
      <c r="BB527" s="83" t="s">
        <v>6769</v>
      </c>
      <c r="BC527" s="54" t="s">
        <v>33</v>
      </c>
      <c r="BD527" s="54" t="str">
        <f t="shared" si="1"/>
        <v>Huánuco</v>
      </c>
      <c r="BE527" s="67" t="s">
        <v>140</v>
      </c>
      <c r="BF527" s="67" t="s">
        <v>144</v>
      </c>
      <c r="BG527" s="67" t="s">
        <v>142</v>
      </c>
      <c r="BH527" s="67"/>
      <c r="BI527" s="67"/>
      <c r="BJ527" s="67"/>
      <c r="BK527" s="67"/>
      <c r="BL527" s="67" t="s">
        <v>145</v>
      </c>
      <c r="BM527" s="67" t="s">
        <v>146</v>
      </c>
      <c r="BN527" s="100">
        <v>150.0</v>
      </c>
      <c r="BO527" s="102" t="s">
        <v>615</v>
      </c>
      <c r="BP527" s="67" t="s">
        <v>144</v>
      </c>
      <c r="BQ527" s="79" t="s">
        <v>141</v>
      </c>
      <c r="BR527" s="67">
        <v>3.0</v>
      </c>
      <c r="BS527" s="102" t="s">
        <v>149</v>
      </c>
      <c r="BT527" s="106"/>
      <c r="BU527" s="107"/>
      <c r="BV527" s="108">
        <f t="shared" si="2"/>
        <v>46244</v>
      </c>
      <c r="BW527" s="108" t="str">
        <f t="shared" si="16"/>
        <v/>
      </c>
      <c r="BX527" s="102" t="str">
        <f t="shared" si="15"/>
        <v/>
      </c>
      <c r="BY527" s="107">
        <f t="shared" si="5"/>
        <v>0</v>
      </c>
      <c r="BZ527" s="107">
        <f t="array" ref="BZ527">IF($A527&lt;&gt;"",INDEX(LISTA!$M$2:$N$27,MATCH($BC527,LISTA!$N$2:$N$27,0),1),"")</f>
        <v>12</v>
      </c>
      <c r="CA527" s="67">
        <f t="shared" si="6"/>
        <v>8</v>
      </c>
      <c r="CB527" s="114" t="str">
        <f t="shared" si="7"/>
        <v/>
      </c>
      <c r="CC527" s="114"/>
    </row>
    <row r="528" ht="15.0" customHeight="1">
      <c r="A528" s="59">
        <v>46244.42642886574</v>
      </c>
      <c r="B528" s="62" t="s">
        <v>366</v>
      </c>
      <c r="C528" s="54" t="s">
        <v>100</v>
      </c>
      <c r="D528" s="56" t="s">
        <v>319</v>
      </c>
      <c r="E528" s="69"/>
      <c r="F528" s="162" t="s">
        <v>6770</v>
      </c>
      <c r="G528" s="60" t="s">
        <v>6771</v>
      </c>
      <c r="H528" s="60"/>
      <c r="I528" s="67" t="s">
        <v>350</v>
      </c>
      <c r="J528" s="79" t="s">
        <v>6772</v>
      </c>
      <c r="K528" s="67" t="s">
        <v>109</v>
      </c>
      <c r="L528" s="79" t="s">
        <v>6773</v>
      </c>
      <c r="M528" s="83" t="s">
        <v>6774</v>
      </c>
      <c r="N528" s="78">
        <v>29274.0</v>
      </c>
      <c r="O528" s="80" t="s">
        <v>41</v>
      </c>
      <c r="P528" s="70">
        <v>10104.0</v>
      </c>
      <c r="Q528" s="54"/>
      <c r="R528" s="84"/>
      <c r="S528" s="84"/>
      <c r="T528" s="54"/>
      <c r="U528" s="86"/>
      <c r="V528" s="54"/>
      <c r="W528" s="86"/>
      <c r="X528" s="54"/>
      <c r="Y528" s="78"/>
      <c r="Z528" s="54"/>
      <c r="AA528" s="70"/>
      <c r="AB528" s="83"/>
      <c r="AC528" s="83"/>
      <c r="AD528" s="83"/>
      <c r="AE528" s="83"/>
      <c r="AF528" s="83" t="s">
        <v>972</v>
      </c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54" t="s">
        <v>4915</v>
      </c>
      <c r="AR528" s="83" t="s">
        <v>3910</v>
      </c>
      <c r="AS528" s="83" t="s">
        <v>6775</v>
      </c>
      <c r="AT528" s="93" t="s">
        <v>6772</v>
      </c>
      <c r="AU528" s="93" t="s">
        <v>6772</v>
      </c>
      <c r="AV528" s="93" t="s">
        <v>6772</v>
      </c>
      <c r="AW528" s="83" t="s">
        <v>6776</v>
      </c>
      <c r="AX528" s="83">
        <v>2.0</v>
      </c>
      <c r="AY528" s="83">
        <v>0.0</v>
      </c>
      <c r="AZ528" s="83" t="s">
        <v>6777</v>
      </c>
      <c r="BA528" s="83" t="s">
        <v>6778</v>
      </c>
      <c r="BB528" s="83" t="s">
        <v>6779</v>
      </c>
      <c r="BC528" s="54" t="s">
        <v>41</v>
      </c>
      <c r="BD528" s="54" t="str">
        <f t="shared" si="1"/>
        <v>San Juan de Lurigancho</v>
      </c>
      <c r="BE528" s="67" t="s">
        <v>140</v>
      </c>
      <c r="BF528" s="67" t="s">
        <v>141</v>
      </c>
      <c r="BG528" s="67" t="s">
        <v>142</v>
      </c>
      <c r="BH528" s="67"/>
      <c r="BI528" s="67"/>
      <c r="BJ528" s="67"/>
      <c r="BK528" s="67"/>
      <c r="BL528" s="67" t="s">
        <v>145</v>
      </c>
      <c r="BM528" s="67" t="s">
        <v>146</v>
      </c>
      <c r="BN528" s="100">
        <v>170.0</v>
      </c>
      <c r="BO528" s="102" t="s">
        <v>148</v>
      </c>
      <c r="BP528" s="67" t="s">
        <v>141</v>
      </c>
      <c r="BQ528" s="79" t="s">
        <v>141</v>
      </c>
      <c r="BR528" s="67">
        <v>2.0</v>
      </c>
      <c r="BS528" s="102">
        <v>1.0</v>
      </c>
      <c r="BT528" s="106"/>
      <c r="BU528" s="107"/>
      <c r="BV528" s="108">
        <f t="shared" si="2"/>
        <v>46244</v>
      </c>
      <c r="BW528" s="108" t="str">
        <f t="shared" si="16"/>
        <v/>
      </c>
      <c r="BX528" s="102" t="str">
        <f t="shared" si="15"/>
        <v/>
      </c>
      <c r="BY528" s="107">
        <f t="shared" si="5"/>
        <v>0</v>
      </c>
      <c r="BZ528" s="107">
        <f t="array" ref="BZ528">IF($A528&lt;&gt;"",INDEX(LISTA!$M$2:$N$27,MATCH($BC528,LISTA!$N$2:$N$27,0),1),"")</f>
        <v>1</v>
      </c>
      <c r="CA528" s="67">
        <f t="shared" si="6"/>
        <v>8</v>
      </c>
      <c r="CB528" s="114" t="str">
        <f t="shared" si="7"/>
        <v/>
      </c>
      <c r="CC528" s="114"/>
    </row>
    <row r="529" ht="15.0" customHeight="1">
      <c r="A529" s="59">
        <v>46249.64245854167</v>
      </c>
      <c r="B529" s="62" t="s">
        <v>366</v>
      </c>
      <c r="C529" s="54" t="s">
        <v>100</v>
      </c>
      <c r="D529" s="56" t="s">
        <v>319</v>
      </c>
      <c r="E529" s="69"/>
      <c r="F529" s="162" t="s">
        <v>6780</v>
      </c>
      <c r="G529" s="60"/>
      <c r="H529" s="60"/>
      <c r="I529" s="67" t="s">
        <v>150</v>
      </c>
      <c r="J529" s="79" t="s">
        <v>6781</v>
      </c>
      <c r="K529" s="67" t="s">
        <v>109</v>
      </c>
      <c r="L529" s="79" t="s">
        <v>6782</v>
      </c>
      <c r="M529" s="83" t="s">
        <v>6783</v>
      </c>
      <c r="N529" s="78">
        <v>45006.0</v>
      </c>
      <c r="O529" s="80" t="s">
        <v>36</v>
      </c>
      <c r="P529" s="70">
        <v>120305.0</v>
      </c>
      <c r="Q529" s="54"/>
      <c r="R529" s="84"/>
      <c r="S529" s="84"/>
      <c r="T529" s="54"/>
      <c r="U529" s="86"/>
      <c r="V529" s="54"/>
      <c r="W529" s="86"/>
      <c r="X529" s="54"/>
      <c r="Y529" s="78"/>
      <c r="Z529" s="54"/>
      <c r="AA529" s="70"/>
      <c r="AB529" s="83"/>
      <c r="AC529" s="83"/>
      <c r="AD529" s="83"/>
      <c r="AE529" s="83"/>
      <c r="AF529" s="83" t="s">
        <v>691</v>
      </c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54" t="s">
        <v>1657</v>
      </c>
      <c r="AR529" s="83" t="s">
        <v>1798</v>
      </c>
      <c r="AS529" s="83" t="s">
        <v>6784</v>
      </c>
      <c r="AT529" s="93" t="s">
        <v>6785</v>
      </c>
      <c r="AU529" s="93" t="s">
        <v>6785</v>
      </c>
      <c r="AV529" s="93" t="s">
        <v>6786</v>
      </c>
      <c r="AW529" s="83" t="s">
        <v>6787</v>
      </c>
      <c r="AX529" s="83">
        <v>1.0</v>
      </c>
      <c r="AY529" s="83">
        <v>0.0</v>
      </c>
      <c r="AZ529" s="83" t="s">
        <v>6788</v>
      </c>
      <c r="BA529" s="83" t="s">
        <v>5857</v>
      </c>
      <c r="BB529" s="83" t="s">
        <v>6789</v>
      </c>
      <c r="BC529" s="54" t="s">
        <v>41</v>
      </c>
      <c r="BD529" s="54" t="str">
        <f t="shared" si="1"/>
        <v>Comas</v>
      </c>
      <c r="BE529" s="67" t="s">
        <v>140</v>
      </c>
      <c r="BF529" s="67" t="s">
        <v>141</v>
      </c>
      <c r="BG529" s="67" t="s">
        <v>142</v>
      </c>
      <c r="BH529" s="67"/>
      <c r="BI529" s="67"/>
      <c r="BJ529" s="67"/>
      <c r="BK529" s="67"/>
      <c r="BL529" s="67" t="s">
        <v>147</v>
      </c>
      <c r="BM529" s="67" t="s">
        <v>146</v>
      </c>
      <c r="BN529" s="100">
        <v>69.0</v>
      </c>
      <c r="BO529" s="102" t="s">
        <v>615</v>
      </c>
      <c r="BP529" s="67" t="s">
        <v>141</v>
      </c>
      <c r="BQ529" s="79" t="s">
        <v>141</v>
      </c>
      <c r="BR529" s="67" t="s">
        <v>149</v>
      </c>
      <c r="BS529" s="102" t="s">
        <v>149</v>
      </c>
      <c r="BT529" s="106"/>
      <c r="BU529" s="107"/>
      <c r="BV529" s="108">
        <f t="shared" si="2"/>
        <v>46249</v>
      </c>
      <c r="BW529" s="108" t="str">
        <f t="shared" si="16"/>
        <v/>
      </c>
      <c r="BX529" s="102" t="str">
        <f t="shared" si="15"/>
        <v/>
      </c>
      <c r="BY529" s="107">
        <f t="shared" si="5"/>
        <v>0</v>
      </c>
      <c r="BZ529" s="107">
        <f t="array" ref="BZ529">IF($A529&lt;&gt;"",INDEX(LISTA!$M$2:$N$27,MATCH($BC529,LISTA!$N$2:$N$27,0),1),"")</f>
        <v>1</v>
      </c>
      <c r="CA529" s="67">
        <f t="shared" si="6"/>
        <v>8</v>
      </c>
      <c r="CB529" s="114" t="str">
        <f t="shared" si="7"/>
        <v/>
      </c>
      <c r="CC529" s="114"/>
    </row>
    <row r="530" ht="15.0" customHeight="1">
      <c r="A530" s="59">
        <v>46252.557060011575</v>
      </c>
      <c r="B530" s="115" t="s">
        <v>366</v>
      </c>
      <c r="C530" s="54" t="s">
        <v>100</v>
      </c>
      <c r="D530" s="56" t="s">
        <v>319</v>
      </c>
      <c r="E530" s="69">
        <v>46253.583333333336</v>
      </c>
      <c r="F530" s="162" t="s">
        <v>6780</v>
      </c>
      <c r="G530" s="60" t="s">
        <v>6790</v>
      </c>
      <c r="H530" s="60" t="s">
        <v>6791</v>
      </c>
      <c r="I530" s="67" t="s">
        <v>382</v>
      </c>
      <c r="J530" s="79" t="s">
        <v>6792</v>
      </c>
      <c r="K530" s="67" t="s">
        <v>109</v>
      </c>
      <c r="L530" s="79" t="s">
        <v>6793</v>
      </c>
      <c r="M530" s="83" t="s">
        <v>6794</v>
      </c>
      <c r="N530" s="78">
        <v>26538.0</v>
      </c>
      <c r="O530" s="80" t="s">
        <v>41</v>
      </c>
      <c r="P530" s="70">
        <v>150113.0</v>
      </c>
      <c r="Q530" s="54"/>
      <c r="R530" s="84"/>
      <c r="S530" s="84"/>
      <c r="T530" s="54"/>
      <c r="U530" s="86"/>
      <c r="V530" s="54"/>
      <c r="W530" s="86"/>
      <c r="X530" s="54"/>
      <c r="Y530" s="78"/>
      <c r="Z530" s="54"/>
      <c r="AA530" s="70"/>
      <c r="AB530" s="83"/>
      <c r="AC530" s="83"/>
      <c r="AD530" s="83"/>
      <c r="AE530" s="83"/>
      <c r="AF530" s="83" t="s">
        <v>3415</v>
      </c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54" t="s">
        <v>6795</v>
      </c>
      <c r="AR530" s="83" t="s">
        <v>6796</v>
      </c>
      <c r="AS530" s="83" t="s">
        <v>6797</v>
      </c>
      <c r="AT530" s="93" t="s">
        <v>6792</v>
      </c>
      <c r="AU530" s="93" t="s">
        <v>6792</v>
      </c>
      <c r="AV530" s="93" t="s">
        <v>6792</v>
      </c>
      <c r="AW530" s="83" t="s">
        <v>6798</v>
      </c>
      <c r="AX530" s="83">
        <v>1.0</v>
      </c>
      <c r="AY530" s="83">
        <v>0.0</v>
      </c>
      <c r="AZ530" s="83" t="s">
        <v>6799</v>
      </c>
      <c r="BA530" s="83" t="s">
        <v>6800</v>
      </c>
      <c r="BB530" s="83" t="s">
        <v>6801</v>
      </c>
      <c r="BC530" s="54" t="s">
        <v>41</v>
      </c>
      <c r="BD530" s="54" t="str">
        <f t="shared" si="1"/>
        <v>Jesús María</v>
      </c>
      <c r="BE530" s="67" t="s">
        <v>140</v>
      </c>
      <c r="BF530" s="67" t="s">
        <v>144</v>
      </c>
      <c r="BG530" s="67" t="s">
        <v>142</v>
      </c>
      <c r="BH530" s="67"/>
      <c r="BI530" s="67"/>
      <c r="BJ530" s="67"/>
      <c r="BK530" s="67"/>
      <c r="BL530" s="67" t="s">
        <v>147</v>
      </c>
      <c r="BM530" s="67" t="s">
        <v>146</v>
      </c>
      <c r="BN530" s="100">
        <v>89.0</v>
      </c>
      <c r="BO530" s="102" t="s">
        <v>148</v>
      </c>
      <c r="BP530" s="67" t="s">
        <v>141</v>
      </c>
      <c r="BQ530" s="79" t="s">
        <v>141</v>
      </c>
      <c r="BR530" s="67" t="s">
        <v>149</v>
      </c>
      <c r="BS530" s="102">
        <v>1.0</v>
      </c>
      <c r="BT530" s="106"/>
      <c r="BU530" s="107"/>
      <c r="BV530" s="108">
        <f t="shared" si="2"/>
        <v>46252</v>
      </c>
      <c r="BW530" s="108">
        <f t="shared" si="16"/>
        <v>46253</v>
      </c>
      <c r="BX530" s="102" t="str">
        <f t="shared" si="15"/>
        <v>14</v>
      </c>
      <c r="BY530" s="107">
        <f t="shared" si="5"/>
        <v>0</v>
      </c>
      <c r="BZ530" s="107">
        <f t="array" ref="BZ530">IF($A530&lt;&gt;"",INDEX(LISTA!$M$2:$N$27,MATCH($BC530,LISTA!$N$2:$N$27,0),1),"")</f>
        <v>1</v>
      </c>
      <c r="CA530" s="67">
        <f t="shared" si="6"/>
        <v>8</v>
      </c>
      <c r="CB530" s="114" t="str">
        <f t="shared" si="7"/>
        <v/>
      </c>
      <c r="CC530" s="114"/>
    </row>
    <row r="531" ht="15.0" customHeight="1">
      <c r="A531" s="59">
        <v>46247.70538442129</v>
      </c>
      <c r="B531" s="62" t="s">
        <v>349</v>
      </c>
      <c r="C531" s="54" t="s">
        <v>100</v>
      </c>
      <c r="D531" s="56" t="s">
        <v>319</v>
      </c>
      <c r="E531" s="69"/>
      <c r="F531" s="162" t="s">
        <v>6802</v>
      </c>
      <c r="G531" s="60"/>
      <c r="H531" s="60"/>
      <c r="I531" s="67" t="s">
        <v>407</v>
      </c>
      <c r="J531" s="79" t="s">
        <v>6803</v>
      </c>
      <c r="K531" s="67" t="s">
        <v>109</v>
      </c>
      <c r="L531" s="79" t="s">
        <v>6804</v>
      </c>
      <c r="M531" s="83" t="s">
        <v>6805</v>
      </c>
      <c r="N531" s="78">
        <v>27408.0</v>
      </c>
      <c r="O531" s="80" t="s">
        <v>31</v>
      </c>
      <c r="P531" s="156" t="s">
        <v>2847</v>
      </c>
      <c r="Q531" s="54"/>
      <c r="R531" s="84"/>
      <c r="S531" s="84"/>
      <c r="T531" s="54"/>
      <c r="U531" s="86"/>
      <c r="V531" s="54"/>
      <c r="W531" s="86"/>
      <c r="X531" s="54" t="s">
        <v>1012</v>
      </c>
      <c r="Y531" s="78"/>
      <c r="Z531" s="54"/>
      <c r="AA531" s="70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54" t="s">
        <v>6806</v>
      </c>
      <c r="AR531" s="83" t="s">
        <v>6807</v>
      </c>
      <c r="AS531" s="83" t="s">
        <v>6808</v>
      </c>
      <c r="AT531" s="93" t="s">
        <v>6803</v>
      </c>
      <c r="AU531" s="93" t="s">
        <v>6803</v>
      </c>
      <c r="AV531" s="93" t="s">
        <v>6803</v>
      </c>
      <c r="AW531" s="83" t="s">
        <v>6809</v>
      </c>
      <c r="AX531" s="83">
        <v>2.0</v>
      </c>
      <c r="AY531" s="83">
        <v>0.0</v>
      </c>
      <c r="AZ531" s="83" t="s">
        <v>6810</v>
      </c>
      <c r="BA531" s="83" t="s">
        <v>6811</v>
      </c>
      <c r="BB531" s="83" t="s">
        <v>6812</v>
      </c>
      <c r="BC531" s="54" t="s">
        <v>31</v>
      </c>
      <c r="BD531" s="54" t="str">
        <f t="shared" si="1"/>
        <v>Cusco</v>
      </c>
      <c r="BE531" s="67" t="s">
        <v>140</v>
      </c>
      <c r="BF531" s="67" t="s">
        <v>141</v>
      </c>
      <c r="BG531" s="67" t="s">
        <v>142</v>
      </c>
      <c r="BH531" s="67"/>
      <c r="BI531" s="67"/>
      <c r="BJ531" s="67"/>
      <c r="BK531" s="67"/>
      <c r="BL531" s="67" t="s">
        <v>145</v>
      </c>
      <c r="BM531" s="67" t="s">
        <v>146</v>
      </c>
      <c r="BN531" s="100">
        <v>150.0</v>
      </c>
      <c r="BO531" s="102" t="s">
        <v>615</v>
      </c>
      <c r="BP531" s="67" t="s">
        <v>144</v>
      </c>
      <c r="BQ531" s="79" t="s">
        <v>141</v>
      </c>
      <c r="BR531" s="67">
        <v>2.0</v>
      </c>
      <c r="BS531" s="102" t="s">
        <v>149</v>
      </c>
      <c r="BT531" s="106"/>
      <c r="BU531" s="107"/>
      <c r="BV531" s="108">
        <f t="shared" si="2"/>
        <v>46247</v>
      </c>
      <c r="BW531" s="108" t="str">
        <f t="shared" si="16"/>
        <v/>
      </c>
      <c r="BX531" s="102" t="str">
        <f t="shared" si="15"/>
        <v/>
      </c>
      <c r="BY531" s="107">
        <f t="shared" si="5"/>
        <v>0</v>
      </c>
      <c r="BZ531" s="107">
        <f t="array" ref="BZ531">IF($A531&lt;&gt;"",INDEX(LISTA!$M$2:$N$27,MATCH($BC531,LISTA!$N$2:$N$27,0),1),"")</f>
        <v>10</v>
      </c>
      <c r="CA531" s="67">
        <f t="shared" si="6"/>
        <v>8</v>
      </c>
      <c r="CB531" s="114" t="str">
        <f t="shared" si="7"/>
        <v/>
      </c>
      <c r="CC531" s="114"/>
    </row>
    <row r="532" ht="15.0" customHeight="1">
      <c r="A532" s="59">
        <v>46235.62048028935</v>
      </c>
      <c r="B532" s="115" t="s">
        <v>345</v>
      </c>
      <c r="C532" s="54" t="s">
        <v>100</v>
      </c>
      <c r="D532" s="56" t="s">
        <v>319</v>
      </c>
      <c r="E532" s="69"/>
      <c r="F532" s="162" t="s">
        <v>6813</v>
      </c>
      <c r="G532" s="60"/>
      <c r="H532" s="60"/>
      <c r="I532" s="67" t="s">
        <v>107</v>
      </c>
      <c r="J532" s="79" t="s">
        <v>6814</v>
      </c>
      <c r="K532" s="67" t="s">
        <v>109</v>
      </c>
      <c r="L532" s="79" t="s">
        <v>6815</v>
      </c>
      <c r="M532" s="83" t="s">
        <v>6816</v>
      </c>
      <c r="N532" s="78">
        <v>27440.0</v>
      </c>
      <c r="O532" s="80" t="s">
        <v>39</v>
      </c>
      <c r="P532" s="70">
        <v>120103.0</v>
      </c>
      <c r="Q532" s="54"/>
      <c r="R532" s="84"/>
      <c r="S532" s="84"/>
      <c r="T532" s="54"/>
      <c r="U532" s="86"/>
      <c r="V532" s="54"/>
      <c r="W532" s="86"/>
      <c r="X532" s="54"/>
      <c r="Y532" s="78"/>
      <c r="Z532" s="54"/>
      <c r="AA532" s="70"/>
      <c r="AB532" s="83"/>
      <c r="AC532" s="83" t="s">
        <v>1690</v>
      </c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54" t="s">
        <v>6817</v>
      </c>
      <c r="AR532" s="83" t="s">
        <v>6818</v>
      </c>
      <c r="AS532" s="83" t="s">
        <v>6819</v>
      </c>
      <c r="AT532" s="93" t="s">
        <v>6814</v>
      </c>
      <c r="AU532" s="93" t="s">
        <v>6814</v>
      </c>
      <c r="AV532" s="93" t="s">
        <v>6814</v>
      </c>
      <c r="AW532" s="83" t="s">
        <v>6820</v>
      </c>
      <c r="AX532" s="83">
        <v>2.0</v>
      </c>
      <c r="AY532" s="83">
        <v>1.0</v>
      </c>
      <c r="AZ532" s="83" t="s">
        <v>6821</v>
      </c>
      <c r="BA532" s="83" t="s">
        <v>6822</v>
      </c>
      <c r="BB532" s="83" t="s">
        <v>6823</v>
      </c>
      <c r="BC532" s="54" t="s">
        <v>39</v>
      </c>
      <c r="BD532" s="54" t="str">
        <f t="shared" si="1"/>
        <v>Trujillo</v>
      </c>
      <c r="BE532" s="67" t="s">
        <v>140</v>
      </c>
      <c r="BF532" s="67" t="s">
        <v>141</v>
      </c>
      <c r="BG532" s="67" t="s">
        <v>142</v>
      </c>
      <c r="BH532" s="67"/>
      <c r="BI532" s="67"/>
      <c r="BJ532" s="67"/>
      <c r="BK532" s="67"/>
      <c r="BL532" s="67" t="s">
        <v>147</v>
      </c>
      <c r="BM532" s="67" t="s">
        <v>146</v>
      </c>
      <c r="BN532" s="100">
        <v>89.0</v>
      </c>
      <c r="BO532" s="102" t="s">
        <v>148</v>
      </c>
      <c r="BP532" s="67" t="s">
        <v>141</v>
      </c>
      <c r="BQ532" s="79" t="s">
        <v>141</v>
      </c>
      <c r="BR532" s="67" t="s">
        <v>149</v>
      </c>
      <c r="BS532" s="102">
        <v>1.0</v>
      </c>
      <c r="BT532" s="106"/>
      <c r="BU532" s="107"/>
      <c r="BV532" s="108">
        <f t="shared" si="2"/>
        <v>46235</v>
      </c>
      <c r="BW532" s="108" t="str">
        <f t="shared" si="16"/>
        <v/>
      </c>
      <c r="BX532" s="102" t="str">
        <f t="shared" si="15"/>
        <v/>
      </c>
      <c r="BY532" s="107">
        <f t="shared" si="5"/>
        <v>0</v>
      </c>
      <c r="BZ532" s="107">
        <f t="array" ref="BZ532">IF($A532&lt;&gt;"",INDEX(LISTA!$M$2:$N$27,MATCH($BC532,LISTA!$N$2:$N$27,0),1),"")</f>
        <v>15</v>
      </c>
      <c r="CA532" s="67">
        <f t="shared" si="6"/>
        <v>8</v>
      </c>
      <c r="CB532" s="114" t="str">
        <f t="shared" si="7"/>
        <v/>
      </c>
      <c r="CC532" s="114"/>
    </row>
    <row r="533" ht="15.0" customHeight="1">
      <c r="A533" s="59">
        <v>46240.449712118054</v>
      </c>
      <c r="B533" s="115" t="s">
        <v>345</v>
      </c>
      <c r="C533" s="54" t="s">
        <v>100</v>
      </c>
      <c r="D533" s="56" t="s">
        <v>319</v>
      </c>
      <c r="E533" s="69"/>
      <c r="F533" s="162" t="s">
        <v>6824</v>
      </c>
      <c r="G533" s="60" t="s">
        <v>6825</v>
      </c>
      <c r="H533" s="60"/>
      <c r="I533" s="67" t="s">
        <v>382</v>
      </c>
      <c r="J533" s="79" t="s">
        <v>6826</v>
      </c>
      <c r="K533" s="67" t="s">
        <v>109</v>
      </c>
      <c r="L533" s="79" t="s">
        <v>6827</v>
      </c>
      <c r="M533" s="83" t="s">
        <v>6828</v>
      </c>
      <c r="N533" s="78">
        <v>35367.0</v>
      </c>
      <c r="O533" s="80" t="s">
        <v>44</v>
      </c>
      <c r="P533" s="70">
        <v>180101.0</v>
      </c>
      <c r="Q533" s="54"/>
      <c r="R533" s="84"/>
      <c r="S533" s="84"/>
      <c r="T533" s="54"/>
      <c r="U533" s="86"/>
      <c r="V533" s="54"/>
      <c r="W533" s="86"/>
      <c r="X533" s="54"/>
      <c r="Y533" s="78"/>
      <c r="Z533" s="54"/>
      <c r="AA533" s="70"/>
      <c r="AB533" s="83"/>
      <c r="AC533" s="83"/>
      <c r="AD533" s="83"/>
      <c r="AE533" s="83"/>
      <c r="AF533" s="83"/>
      <c r="AG533" s="83"/>
      <c r="AH533" s="83"/>
      <c r="AI533" s="83" t="s">
        <v>3065</v>
      </c>
      <c r="AJ533" s="83"/>
      <c r="AK533" s="83"/>
      <c r="AL533" s="83"/>
      <c r="AM533" s="83"/>
      <c r="AN533" s="83"/>
      <c r="AO533" s="83"/>
      <c r="AP533" s="83"/>
      <c r="AQ533" s="54" t="s">
        <v>6829</v>
      </c>
      <c r="AR533" s="83" t="s">
        <v>6830</v>
      </c>
      <c r="AS533" s="83" t="s">
        <v>6831</v>
      </c>
      <c r="AT533" s="93" t="s">
        <v>6826</v>
      </c>
      <c r="AU533" s="93" t="s">
        <v>6826</v>
      </c>
      <c r="AV533" s="93" t="s">
        <v>6826</v>
      </c>
      <c r="AW533" s="83" t="s">
        <v>6832</v>
      </c>
      <c r="AX533" s="83">
        <v>1.0</v>
      </c>
      <c r="AY533" s="83">
        <v>0.0</v>
      </c>
      <c r="AZ533" s="83" t="s">
        <v>6833</v>
      </c>
      <c r="BA533" s="83" t="s">
        <v>6834</v>
      </c>
      <c r="BB533" s="83" t="s">
        <v>6835</v>
      </c>
      <c r="BC533" s="54" t="s">
        <v>44</v>
      </c>
      <c r="BD533" s="54" t="str">
        <f t="shared" si="1"/>
        <v>Mariscal Nieto</v>
      </c>
      <c r="BE533" s="67" t="s">
        <v>140</v>
      </c>
      <c r="BF533" s="67" t="s">
        <v>141</v>
      </c>
      <c r="BG533" s="67" t="s">
        <v>142</v>
      </c>
      <c r="BH533" s="67"/>
      <c r="BI533" s="67"/>
      <c r="BJ533" s="67"/>
      <c r="BK533" s="67"/>
      <c r="BL533" s="67" t="s">
        <v>147</v>
      </c>
      <c r="BM533" s="67" t="s">
        <v>146</v>
      </c>
      <c r="BN533" s="100">
        <v>89.0</v>
      </c>
      <c r="BO533" s="102" t="s">
        <v>148</v>
      </c>
      <c r="BP533" s="67" t="s">
        <v>141</v>
      </c>
      <c r="BQ533" s="79" t="s">
        <v>141</v>
      </c>
      <c r="BR533" s="67" t="s">
        <v>149</v>
      </c>
      <c r="BS533" s="102">
        <v>1.0</v>
      </c>
      <c r="BT533" s="106"/>
      <c r="BU533" s="107"/>
      <c r="BV533" s="108">
        <f t="shared" si="2"/>
        <v>46240</v>
      </c>
      <c r="BW533" s="108" t="str">
        <f t="shared" si="16"/>
        <v/>
      </c>
      <c r="BX533" s="102" t="str">
        <f t="shared" si="15"/>
        <v/>
      </c>
      <c r="BY533" s="107">
        <f t="shared" si="5"/>
        <v>0</v>
      </c>
      <c r="BZ533" s="107">
        <f t="array" ref="BZ533">IF($A533&lt;&gt;"",INDEX(LISTA!$M$2:$N$27,MATCH($BC533,LISTA!$N$2:$N$27,0),1),"")</f>
        <v>19</v>
      </c>
      <c r="CA533" s="67">
        <f t="shared" si="6"/>
        <v>8</v>
      </c>
      <c r="CB533" s="114" t="str">
        <f t="shared" si="7"/>
        <v/>
      </c>
      <c r="CC533" s="114"/>
    </row>
    <row r="534" ht="15.0" customHeight="1">
      <c r="A534" s="59">
        <v>46240.697733946756</v>
      </c>
      <c r="B534" s="115" t="s">
        <v>345</v>
      </c>
      <c r="C534" s="54" t="s">
        <v>100</v>
      </c>
      <c r="D534" s="56" t="s">
        <v>319</v>
      </c>
      <c r="E534" s="69"/>
      <c r="F534" s="162" t="s">
        <v>6836</v>
      </c>
      <c r="G534" s="60" t="s">
        <v>6837</v>
      </c>
      <c r="H534" s="60"/>
      <c r="I534" s="67" t="s">
        <v>107</v>
      </c>
      <c r="J534" s="79" t="s">
        <v>6838</v>
      </c>
      <c r="K534" s="67" t="s">
        <v>109</v>
      </c>
      <c r="L534" s="79" t="s">
        <v>6839</v>
      </c>
      <c r="M534" s="83" t="s">
        <v>6840</v>
      </c>
      <c r="N534" s="78">
        <v>23712.0</v>
      </c>
      <c r="O534" s="80" t="s">
        <v>41</v>
      </c>
      <c r="P534" s="70">
        <v>140101.0</v>
      </c>
      <c r="Q534" s="54"/>
      <c r="R534" s="84"/>
      <c r="S534" s="84"/>
      <c r="T534" s="54"/>
      <c r="U534" s="86"/>
      <c r="V534" s="54"/>
      <c r="W534" s="86"/>
      <c r="X534" s="54"/>
      <c r="Y534" s="78"/>
      <c r="Z534" s="54"/>
      <c r="AA534" s="70"/>
      <c r="AB534" s="83"/>
      <c r="AC534" s="83"/>
      <c r="AD534" s="83"/>
      <c r="AE534" s="83"/>
      <c r="AF534" s="83" t="s">
        <v>577</v>
      </c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54" t="s">
        <v>1072</v>
      </c>
      <c r="AR534" s="83" t="s">
        <v>1196</v>
      </c>
      <c r="AS534" s="83" t="s">
        <v>6841</v>
      </c>
      <c r="AT534" s="93" t="s">
        <v>6838</v>
      </c>
      <c r="AU534" s="93" t="s">
        <v>6838</v>
      </c>
      <c r="AV534" s="93" t="s">
        <v>6838</v>
      </c>
      <c r="AW534" s="83" t="s">
        <v>6842</v>
      </c>
      <c r="AX534" s="83">
        <v>1.0</v>
      </c>
      <c r="AY534" s="83">
        <v>1.0</v>
      </c>
      <c r="AZ534" s="83" t="s">
        <v>6843</v>
      </c>
      <c r="BA534" s="83" t="s">
        <v>6844</v>
      </c>
      <c r="BB534" s="83" t="s">
        <v>6845</v>
      </c>
      <c r="BC534" s="54" t="s">
        <v>41</v>
      </c>
      <c r="BD534" s="54" t="str">
        <f t="shared" si="1"/>
        <v>Rimac</v>
      </c>
      <c r="BE534" s="67" t="s">
        <v>140</v>
      </c>
      <c r="BF534" s="67" t="s">
        <v>144</v>
      </c>
      <c r="BG534" s="67" t="s">
        <v>142</v>
      </c>
      <c r="BH534" s="67"/>
      <c r="BI534" s="67"/>
      <c r="BJ534" s="67"/>
      <c r="BK534" s="67"/>
      <c r="BL534" s="67" t="s">
        <v>147</v>
      </c>
      <c r="BM534" s="67" t="s">
        <v>146</v>
      </c>
      <c r="BN534" s="100">
        <v>89.0</v>
      </c>
      <c r="BO534" s="102" t="s">
        <v>148</v>
      </c>
      <c r="BP534" s="67" t="s">
        <v>141</v>
      </c>
      <c r="BQ534" s="79" t="s">
        <v>141</v>
      </c>
      <c r="BR534" s="67" t="s">
        <v>149</v>
      </c>
      <c r="BS534" s="102">
        <v>1.0</v>
      </c>
      <c r="BT534" s="106"/>
      <c r="BU534" s="107"/>
      <c r="BV534" s="108">
        <f t="shared" si="2"/>
        <v>46240</v>
      </c>
      <c r="BW534" s="108" t="str">
        <f t="shared" si="16"/>
        <v/>
      </c>
      <c r="BX534" s="102" t="str">
        <f t="shared" si="15"/>
        <v/>
      </c>
      <c r="BY534" s="107">
        <f t="shared" si="5"/>
        <v>0</v>
      </c>
      <c r="BZ534" s="107">
        <f t="array" ref="BZ534">IF($A534&lt;&gt;"",INDEX(LISTA!$M$2:$N$27,MATCH($BC534,LISTA!$N$2:$N$27,0),1),"")</f>
        <v>1</v>
      </c>
      <c r="CA534" s="67">
        <f t="shared" si="6"/>
        <v>8</v>
      </c>
      <c r="CB534" s="114" t="str">
        <f t="shared" si="7"/>
        <v/>
      </c>
      <c r="CC534" s="114"/>
    </row>
    <row r="535" ht="15.0" customHeight="1">
      <c r="A535" s="59">
        <v>46251.4472153588</v>
      </c>
      <c r="B535" s="115" t="s">
        <v>345</v>
      </c>
      <c r="C535" s="54" t="s">
        <v>100</v>
      </c>
      <c r="D535" s="56" t="s">
        <v>319</v>
      </c>
      <c r="E535" s="69"/>
      <c r="F535" s="162" t="s">
        <v>6846</v>
      </c>
      <c r="G535" s="60"/>
      <c r="H535" s="60"/>
      <c r="I535" s="67" t="s">
        <v>378</v>
      </c>
      <c r="J535" s="79" t="s">
        <v>6847</v>
      </c>
      <c r="K535" s="67" t="s">
        <v>109</v>
      </c>
      <c r="L535" s="79" t="s">
        <v>6848</v>
      </c>
      <c r="M535" s="83" t="s">
        <v>6849</v>
      </c>
      <c r="N535" s="78">
        <v>29678.0</v>
      </c>
      <c r="O535" s="80" t="s">
        <v>32</v>
      </c>
      <c r="P535" s="156" t="s">
        <v>715</v>
      </c>
      <c r="Q535" s="54"/>
      <c r="R535" s="84"/>
      <c r="S535" s="84"/>
      <c r="T535" s="54"/>
      <c r="U535" s="86"/>
      <c r="V535" s="54"/>
      <c r="W535" s="86"/>
      <c r="X535" s="54"/>
      <c r="Y535" s="78"/>
      <c r="Z535" s="54"/>
      <c r="AA535" s="70"/>
      <c r="AB535" s="83"/>
      <c r="AC535" s="83"/>
      <c r="AD535" s="83"/>
      <c r="AE535" s="83"/>
      <c r="AF535" s="83" t="s">
        <v>431</v>
      </c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54" t="s">
        <v>1484</v>
      </c>
      <c r="AR535" s="83" t="s">
        <v>6850</v>
      </c>
      <c r="AS535" s="83" t="s">
        <v>6851</v>
      </c>
      <c r="AT535" s="93" t="s">
        <v>6847</v>
      </c>
      <c r="AU535" s="93" t="s">
        <v>6847</v>
      </c>
      <c r="AV535" s="93" t="s">
        <v>6847</v>
      </c>
      <c r="AW535" s="83" t="s">
        <v>6852</v>
      </c>
      <c r="AX535" s="83">
        <v>3.0</v>
      </c>
      <c r="AY535" s="83" t="s">
        <v>2739</v>
      </c>
      <c r="AZ535" s="83" t="s">
        <v>6853</v>
      </c>
      <c r="BA535" s="83" t="s">
        <v>6854</v>
      </c>
      <c r="BB535" s="83" t="s">
        <v>6855</v>
      </c>
      <c r="BC535" s="54" t="s">
        <v>41</v>
      </c>
      <c r="BD535" s="54" t="str">
        <f t="shared" si="1"/>
        <v>La Victoria</v>
      </c>
      <c r="BE535" s="67" t="s">
        <v>140</v>
      </c>
      <c r="BF535" s="67" t="s">
        <v>144</v>
      </c>
      <c r="BG535" s="67" t="s">
        <v>142</v>
      </c>
      <c r="BH535" s="67"/>
      <c r="BI535" s="67"/>
      <c r="BJ535" s="67"/>
      <c r="BK535" s="67"/>
      <c r="BL535" s="67" t="s">
        <v>147</v>
      </c>
      <c r="BM535" s="67" t="s">
        <v>146</v>
      </c>
      <c r="BN535" s="100">
        <v>69.0</v>
      </c>
      <c r="BO535" s="102" t="s">
        <v>615</v>
      </c>
      <c r="BP535" s="67" t="s">
        <v>141</v>
      </c>
      <c r="BQ535" s="79" t="s">
        <v>141</v>
      </c>
      <c r="BR535" s="67" t="s">
        <v>149</v>
      </c>
      <c r="BS535" s="102" t="s">
        <v>149</v>
      </c>
      <c r="BT535" s="106"/>
      <c r="BU535" s="107"/>
      <c r="BV535" s="108">
        <f t="shared" si="2"/>
        <v>46251</v>
      </c>
      <c r="BW535" s="108" t="str">
        <f t="shared" si="16"/>
        <v/>
      </c>
      <c r="BX535" s="102" t="str">
        <f t="shared" si="15"/>
        <v/>
      </c>
      <c r="BY535" s="107">
        <f t="shared" si="5"/>
        <v>0</v>
      </c>
      <c r="BZ535" s="107">
        <f t="array" ref="BZ535">IF($A535&lt;&gt;"",INDEX(LISTA!$M$2:$N$27,MATCH($BC535,LISTA!$N$2:$N$27,0),1),"")</f>
        <v>1</v>
      </c>
      <c r="CA535" s="67">
        <f t="shared" si="6"/>
        <v>8</v>
      </c>
      <c r="CB535" s="114" t="str">
        <f t="shared" si="7"/>
        <v/>
      </c>
      <c r="CC535" s="114"/>
    </row>
    <row r="536" ht="15.0" customHeight="1">
      <c r="A536" s="59">
        <v>46251.50737186342</v>
      </c>
      <c r="B536" s="115" t="s">
        <v>345</v>
      </c>
      <c r="C536" s="54" t="s">
        <v>100</v>
      </c>
      <c r="D536" s="56" t="s">
        <v>319</v>
      </c>
      <c r="E536" s="69"/>
      <c r="F536" s="162" t="s">
        <v>6856</v>
      </c>
      <c r="G536" s="60"/>
      <c r="H536" s="60"/>
      <c r="I536" s="67" t="s">
        <v>382</v>
      </c>
      <c r="J536" s="79" t="s">
        <v>6857</v>
      </c>
      <c r="K536" s="67" t="s">
        <v>109</v>
      </c>
      <c r="L536" s="79" t="s">
        <v>6858</v>
      </c>
      <c r="M536" s="83" t="s">
        <v>6859</v>
      </c>
      <c r="N536" s="78">
        <v>29342.0</v>
      </c>
      <c r="O536" s="80" t="s">
        <v>27</v>
      </c>
      <c r="P536" s="156" t="s">
        <v>1703</v>
      </c>
      <c r="Q536" s="54"/>
      <c r="R536" s="84"/>
      <c r="S536" s="84"/>
      <c r="T536" s="54" t="s">
        <v>122</v>
      </c>
      <c r="U536" s="86"/>
      <c r="V536" s="54"/>
      <c r="W536" s="86"/>
      <c r="X536" s="54"/>
      <c r="Y536" s="78"/>
      <c r="Z536" s="54"/>
      <c r="AA536" s="70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54" t="s">
        <v>6860</v>
      </c>
      <c r="AR536" s="83" t="s">
        <v>6861</v>
      </c>
      <c r="AS536" s="83" t="s">
        <v>6862</v>
      </c>
      <c r="AT536" s="93" t="s">
        <v>6857</v>
      </c>
      <c r="AU536" s="93" t="s">
        <v>6857</v>
      </c>
      <c r="AV536" s="93" t="s">
        <v>6857</v>
      </c>
      <c r="AW536" s="83" t="s">
        <v>6863</v>
      </c>
      <c r="AX536" s="83">
        <v>2.0</v>
      </c>
      <c r="AY536" s="83">
        <v>4.0</v>
      </c>
      <c r="AZ536" s="83" t="s">
        <v>6864</v>
      </c>
      <c r="BA536" s="83" t="s">
        <v>6865</v>
      </c>
      <c r="BB536" s="83" t="s">
        <v>6866</v>
      </c>
      <c r="BC536" s="54" t="s">
        <v>27</v>
      </c>
      <c r="BD536" s="54" t="str">
        <f t="shared" si="1"/>
        <v>Arequipa</v>
      </c>
      <c r="BE536" s="67" t="s">
        <v>143</v>
      </c>
      <c r="BF536" s="67" t="s">
        <v>144</v>
      </c>
      <c r="BG536" s="67" t="s">
        <v>142</v>
      </c>
      <c r="BH536" s="67"/>
      <c r="BI536" s="67"/>
      <c r="BJ536" s="67"/>
      <c r="BK536" s="67"/>
      <c r="BL536" s="67" t="s">
        <v>145</v>
      </c>
      <c r="BM536" s="67" t="s">
        <v>146</v>
      </c>
      <c r="BN536" s="100">
        <v>170.0</v>
      </c>
      <c r="BO536" s="102" t="s">
        <v>148</v>
      </c>
      <c r="BP536" s="67" t="s">
        <v>144</v>
      </c>
      <c r="BQ536" s="79" t="s">
        <v>141</v>
      </c>
      <c r="BR536" s="67">
        <v>2.0</v>
      </c>
      <c r="BS536" s="102">
        <v>1.0</v>
      </c>
      <c r="BT536" s="106"/>
      <c r="BU536" s="107"/>
      <c r="BV536" s="108">
        <f t="shared" si="2"/>
        <v>46251</v>
      </c>
      <c r="BW536" s="108" t="str">
        <f t="shared" si="16"/>
        <v/>
      </c>
      <c r="BX536" s="102" t="str">
        <f t="shared" si="15"/>
        <v/>
      </c>
      <c r="BY536" s="107">
        <f t="shared" si="5"/>
        <v>0</v>
      </c>
      <c r="BZ536" s="107">
        <f t="array" ref="BZ536">IF($A536&lt;&gt;"",INDEX(LISTA!$M$2:$N$27,MATCH($BC536,LISTA!$N$2:$N$27,0),1),"")</f>
        <v>7</v>
      </c>
      <c r="CA536" s="67">
        <f t="shared" si="6"/>
        <v>8</v>
      </c>
      <c r="CB536" s="114" t="str">
        <f t="shared" si="7"/>
        <v/>
      </c>
      <c r="CC536" s="114"/>
    </row>
    <row r="537" ht="15.0" customHeight="1">
      <c r="A537" s="59">
        <v>46253.54574377315</v>
      </c>
      <c r="B537" s="115" t="s">
        <v>345</v>
      </c>
      <c r="C537" s="54" t="s">
        <v>100</v>
      </c>
      <c r="D537" s="56" t="s">
        <v>319</v>
      </c>
      <c r="E537" s="69"/>
      <c r="F537" s="162" t="s">
        <v>4418</v>
      </c>
      <c r="G537" s="60"/>
      <c r="H537" s="60"/>
      <c r="I537" s="67" t="s">
        <v>382</v>
      </c>
      <c r="J537" s="79" t="s">
        <v>6867</v>
      </c>
      <c r="K537" s="67" t="s">
        <v>1151</v>
      </c>
      <c r="L537" s="79" t="s">
        <v>6868</v>
      </c>
      <c r="M537" s="83" t="s">
        <v>6869</v>
      </c>
      <c r="N537" s="78">
        <v>33329.0</v>
      </c>
      <c r="O537" s="80" t="s">
        <v>29</v>
      </c>
      <c r="P537" s="156" t="s">
        <v>6870</v>
      </c>
      <c r="Q537" s="54"/>
      <c r="R537" s="84"/>
      <c r="S537" s="84"/>
      <c r="T537" s="54"/>
      <c r="U537" s="86"/>
      <c r="V537" s="54" t="s">
        <v>1727</v>
      </c>
      <c r="W537" s="86"/>
      <c r="X537" s="54"/>
      <c r="Y537" s="78"/>
      <c r="Z537" s="54"/>
      <c r="AA537" s="70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54" t="s">
        <v>6871</v>
      </c>
      <c r="AR537" s="83" t="s">
        <v>3006</v>
      </c>
      <c r="AS537" s="83" t="s">
        <v>6872</v>
      </c>
      <c r="AT537" s="93" t="s">
        <v>6867</v>
      </c>
      <c r="AU537" s="93" t="s">
        <v>6867</v>
      </c>
      <c r="AV537" s="93" t="s">
        <v>6867</v>
      </c>
      <c r="AW537" s="83" t="s">
        <v>6873</v>
      </c>
      <c r="AX537" s="83">
        <v>2.0</v>
      </c>
      <c r="AY537" s="83">
        <v>0.0</v>
      </c>
      <c r="AZ537" s="83" t="s">
        <v>6874</v>
      </c>
      <c r="BA537" s="83" t="s">
        <v>6875</v>
      </c>
      <c r="BB537" s="83" t="s">
        <v>6876</v>
      </c>
      <c r="BC537" s="54" t="s">
        <v>29</v>
      </c>
      <c r="BD537" s="54" t="str">
        <f t="shared" si="1"/>
        <v>Cajamarca</v>
      </c>
      <c r="BE537" s="67" t="s">
        <v>140</v>
      </c>
      <c r="BF537" s="67" t="s">
        <v>141</v>
      </c>
      <c r="BG537" s="67" t="s">
        <v>142</v>
      </c>
      <c r="BH537" s="67"/>
      <c r="BI537" s="67"/>
      <c r="BJ537" s="67"/>
      <c r="BK537" s="67"/>
      <c r="BL537" s="67" t="s">
        <v>145</v>
      </c>
      <c r="BM537" s="67" t="s">
        <v>146</v>
      </c>
      <c r="BN537" s="100">
        <v>150.0</v>
      </c>
      <c r="BO537" s="102" t="s">
        <v>615</v>
      </c>
      <c r="BP537" s="67" t="s">
        <v>144</v>
      </c>
      <c r="BQ537" s="79" t="s">
        <v>141</v>
      </c>
      <c r="BR537" s="67">
        <v>2.0</v>
      </c>
      <c r="BS537" s="102" t="s">
        <v>149</v>
      </c>
      <c r="BT537" s="106"/>
      <c r="BU537" s="107"/>
      <c r="BV537" s="108">
        <f t="shared" si="2"/>
        <v>46253</v>
      </c>
      <c r="BW537" s="108" t="str">
        <f t="shared" si="16"/>
        <v/>
      </c>
      <c r="BX537" s="102" t="str">
        <f t="shared" si="15"/>
        <v/>
      </c>
      <c r="BY537" s="107">
        <f t="shared" si="5"/>
        <v>0</v>
      </c>
      <c r="BZ537" s="107">
        <f t="array" ref="BZ537">IF($A537&lt;&gt;"",INDEX(LISTA!$M$2:$N$27,MATCH($BC537,LISTA!$N$2:$N$27,0),1),"")</f>
        <v>9</v>
      </c>
      <c r="CA537" s="67">
        <f t="shared" si="6"/>
        <v>8</v>
      </c>
      <c r="CB537" s="114" t="str">
        <f t="shared" si="7"/>
        <v/>
      </c>
      <c r="CC537" s="114"/>
    </row>
    <row r="538" ht="15.0" customHeight="1">
      <c r="A538" s="59">
        <v>46256.42165575232</v>
      </c>
      <c r="B538" s="115" t="s">
        <v>345</v>
      </c>
      <c r="C538" s="54" t="s">
        <v>100</v>
      </c>
      <c r="D538" s="56" t="s">
        <v>319</v>
      </c>
      <c r="E538" s="69"/>
      <c r="F538" s="162" t="s">
        <v>6877</v>
      </c>
      <c r="G538" s="60"/>
      <c r="H538" s="60"/>
      <c r="I538" s="67" t="s">
        <v>382</v>
      </c>
      <c r="J538" s="79" t="s">
        <v>6878</v>
      </c>
      <c r="K538" s="67" t="s">
        <v>109</v>
      </c>
      <c r="L538" s="79" t="s">
        <v>6879</v>
      </c>
      <c r="M538" s="83" t="s">
        <v>6880</v>
      </c>
      <c r="N538" s="78">
        <v>32969.0</v>
      </c>
      <c r="O538" s="80" t="s">
        <v>48</v>
      </c>
      <c r="P538" s="70">
        <v>210500.0</v>
      </c>
      <c r="Q538" s="54"/>
      <c r="R538" s="84"/>
      <c r="S538" s="84"/>
      <c r="T538" s="54"/>
      <c r="U538" s="86"/>
      <c r="V538" s="54"/>
      <c r="W538" s="86"/>
      <c r="X538" s="54"/>
      <c r="Y538" s="78"/>
      <c r="Z538" s="54"/>
      <c r="AA538" s="70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 t="s">
        <v>866</v>
      </c>
      <c r="AO538" s="83"/>
      <c r="AP538" s="83"/>
      <c r="AQ538" s="54" t="s">
        <v>2671</v>
      </c>
      <c r="AR538" s="83" t="s">
        <v>2074</v>
      </c>
      <c r="AS538" s="83" t="s">
        <v>6881</v>
      </c>
      <c r="AT538" s="93" t="s">
        <v>6878</v>
      </c>
      <c r="AU538" s="93" t="s">
        <v>6878</v>
      </c>
      <c r="AV538" s="93" t="s">
        <v>6878</v>
      </c>
      <c r="AW538" s="83" t="s">
        <v>6882</v>
      </c>
      <c r="AX538" s="83">
        <v>1.0</v>
      </c>
      <c r="AY538" s="83">
        <v>0.0</v>
      </c>
      <c r="AZ538" s="83" t="s">
        <v>6883</v>
      </c>
      <c r="BA538" s="83" t="s">
        <v>6884</v>
      </c>
      <c r="BB538" s="83" t="s">
        <v>6885</v>
      </c>
      <c r="BC538" s="54" t="s">
        <v>50</v>
      </c>
      <c r="BD538" s="70" t="str">
        <f t="shared" si="1"/>
        <v>Tacna</v>
      </c>
      <c r="BE538" s="67" t="s">
        <v>140</v>
      </c>
      <c r="BF538" s="67" t="s">
        <v>141</v>
      </c>
      <c r="BG538" s="67" t="s">
        <v>142</v>
      </c>
      <c r="BH538" s="67"/>
      <c r="BI538" s="67"/>
      <c r="BJ538" s="67"/>
      <c r="BK538" s="67"/>
      <c r="BL538" s="67" t="s">
        <v>145</v>
      </c>
      <c r="BM538" s="67" t="s">
        <v>146</v>
      </c>
      <c r="BN538" s="100">
        <v>170.0</v>
      </c>
      <c r="BO538" s="102" t="s">
        <v>148</v>
      </c>
      <c r="BP538" s="67" t="s">
        <v>144</v>
      </c>
      <c r="BQ538" s="79" t="s">
        <v>141</v>
      </c>
      <c r="BR538" s="67">
        <v>2.0</v>
      </c>
      <c r="BS538" s="102">
        <v>1.0</v>
      </c>
      <c r="BT538" s="106"/>
      <c r="BU538" s="107"/>
      <c r="BV538" s="108">
        <f t="shared" si="2"/>
        <v>46256</v>
      </c>
      <c r="BW538" s="108" t="str">
        <f t="shared" si="16"/>
        <v/>
      </c>
      <c r="BX538" s="102" t="str">
        <f t="shared" si="15"/>
        <v/>
      </c>
      <c r="BY538" s="107">
        <f t="shared" si="5"/>
        <v>0</v>
      </c>
      <c r="BZ538" s="107">
        <f t="array" ref="BZ538">IF($A538&lt;&gt;"",INDEX(LISTA!$M$2:$N$27,MATCH($BC538,LISTA!$N$2:$N$27,0),1),"")</f>
        <v>24</v>
      </c>
      <c r="CA538" s="67">
        <f t="shared" si="6"/>
        <v>8</v>
      </c>
      <c r="CB538" s="114" t="str">
        <f t="shared" si="7"/>
        <v/>
      </c>
      <c r="CC538" s="114"/>
    </row>
    <row r="539" ht="15.0" customHeight="1">
      <c r="A539" s="59">
        <v>46258.568756990746</v>
      </c>
      <c r="B539" s="115"/>
      <c r="C539" s="54" t="s">
        <v>100</v>
      </c>
      <c r="D539" s="56"/>
      <c r="E539" s="69"/>
      <c r="F539" s="162"/>
      <c r="G539" s="60"/>
      <c r="H539" s="60"/>
      <c r="I539" s="67" t="s">
        <v>382</v>
      </c>
      <c r="J539" s="79" t="s">
        <v>6886</v>
      </c>
      <c r="K539" s="67" t="s">
        <v>109</v>
      </c>
      <c r="L539" s="79" t="s">
        <v>6887</v>
      </c>
      <c r="M539" s="83" t="s">
        <v>6888</v>
      </c>
      <c r="N539" s="78">
        <v>22832.0</v>
      </c>
      <c r="O539" s="80" t="s">
        <v>29</v>
      </c>
      <c r="P539" s="156" t="s">
        <v>6889</v>
      </c>
      <c r="Q539" s="54"/>
      <c r="R539" s="84"/>
      <c r="S539" s="84"/>
      <c r="T539" s="54"/>
      <c r="U539" s="86"/>
      <c r="V539" s="54" t="s">
        <v>6890</v>
      </c>
      <c r="W539" s="86"/>
      <c r="X539" s="54"/>
      <c r="Y539" s="78"/>
      <c r="Z539" s="54"/>
      <c r="AA539" s="70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54" t="s">
        <v>6891</v>
      </c>
      <c r="AR539" s="83" t="s">
        <v>6664</v>
      </c>
      <c r="AS539" s="83" t="s">
        <v>6892</v>
      </c>
      <c r="AT539" s="93" t="s">
        <v>6893</v>
      </c>
      <c r="AU539" s="93" t="s">
        <v>6893</v>
      </c>
      <c r="AV539" s="93" t="s">
        <v>6893</v>
      </c>
      <c r="AW539" s="83" t="s">
        <v>6894</v>
      </c>
      <c r="AX539" s="83">
        <v>2.0</v>
      </c>
      <c r="AY539" s="83">
        <v>0.0</v>
      </c>
      <c r="AZ539" s="83" t="s">
        <v>6895</v>
      </c>
      <c r="BA539" s="83" t="s">
        <v>6896</v>
      </c>
      <c r="BB539" s="83" t="s">
        <v>6897</v>
      </c>
      <c r="BC539" s="54" t="s">
        <v>29</v>
      </c>
      <c r="BD539" s="70" t="str">
        <f t="shared" si="1"/>
        <v>Cutervo</v>
      </c>
      <c r="BE539" s="67" t="s">
        <v>140</v>
      </c>
      <c r="BF539" s="67" t="s">
        <v>144</v>
      </c>
      <c r="BG539" s="67" t="s">
        <v>142</v>
      </c>
      <c r="BH539" s="67"/>
      <c r="BI539" s="67"/>
      <c r="BJ539" s="67"/>
      <c r="BK539" s="67"/>
      <c r="BL539" s="67" t="s">
        <v>145</v>
      </c>
      <c r="BM539" s="67" t="s">
        <v>146</v>
      </c>
      <c r="BN539" s="100">
        <v>150.0</v>
      </c>
      <c r="BO539" s="102" t="s">
        <v>615</v>
      </c>
      <c r="BP539" s="67" t="s">
        <v>144</v>
      </c>
      <c r="BQ539" s="79" t="s">
        <v>141</v>
      </c>
      <c r="BR539" s="67">
        <v>2.0</v>
      </c>
      <c r="BS539" s="102" t="s">
        <v>149</v>
      </c>
      <c r="BT539" s="106"/>
      <c r="BU539" s="107"/>
      <c r="BV539" s="108">
        <f t="shared" si="2"/>
        <v>46258</v>
      </c>
      <c r="BW539" s="108" t="str">
        <f t="shared" si="16"/>
        <v/>
      </c>
      <c r="BX539" s="102" t="str">
        <f t="shared" si="15"/>
        <v/>
      </c>
      <c r="BY539" s="107" t="str">
        <f t="shared" si="5"/>
        <v/>
      </c>
      <c r="BZ539" s="107">
        <f t="array" ref="BZ539">IF($A539&lt;&gt;"",INDEX(LISTA!$M$2:$N$27,MATCH($BC539,LISTA!$N$2:$N$27,0),1),"")</f>
        <v>9</v>
      </c>
      <c r="CA539" s="67">
        <f t="shared" si="6"/>
        <v>8</v>
      </c>
      <c r="CB539" s="114" t="str">
        <f t="shared" si="7"/>
        <v/>
      </c>
      <c r="CC539" s="114"/>
    </row>
    <row r="540" ht="15.0" customHeight="1">
      <c r="A540" s="59">
        <v>46258.68283518519</v>
      </c>
      <c r="B540" s="115"/>
      <c r="C540" s="54" t="s">
        <v>100</v>
      </c>
      <c r="D540" s="56"/>
      <c r="E540" s="69"/>
      <c r="F540" s="162"/>
      <c r="G540" s="60"/>
      <c r="H540" s="60"/>
      <c r="I540" s="67" t="s">
        <v>374</v>
      </c>
      <c r="J540" s="79" t="s">
        <v>6898</v>
      </c>
      <c r="K540" s="67" t="s">
        <v>109</v>
      </c>
      <c r="L540" s="79" t="s">
        <v>6899</v>
      </c>
      <c r="M540" s="83" t="s">
        <v>6900</v>
      </c>
      <c r="N540" s="78">
        <v>30836.0</v>
      </c>
      <c r="O540" s="80" t="s">
        <v>37</v>
      </c>
      <c r="P540" s="70">
        <v>150101.0</v>
      </c>
      <c r="Q540" s="54"/>
      <c r="R540" s="84"/>
      <c r="S540" s="84"/>
      <c r="T540" s="54"/>
      <c r="U540" s="86"/>
      <c r="V540" s="54"/>
      <c r="W540" s="86"/>
      <c r="X540" s="54"/>
      <c r="Y540" s="78"/>
      <c r="Z540" s="54"/>
      <c r="AA540" s="70"/>
      <c r="AB540" s="83"/>
      <c r="AC540" s="83"/>
      <c r="AD540" s="83"/>
      <c r="AE540" s="83"/>
      <c r="AF540" s="83" t="s">
        <v>2735</v>
      </c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54" t="s">
        <v>6901</v>
      </c>
      <c r="AR540" s="83" t="s">
        <v>6902</v>
      </c>
      <c r="AS540" s="83" t="s">
        <v>6903</v>
      </c>
      <c r="AT540" s="93" t="s">
        <v>6898</v>
      </c>
      <c r="AU540" s="93" t="s">
        <v>6898</v>
      </c>
      <c r="AV540" s="93" t="s">
        <v>6898</v>
      </c>
      <c r="AW540" s="83" t="s">
        <v>6904</v>
      </c>
      <c r="AX540" s="83">
        <v>5.0</v>
      </c>
      <c r="AY540" s="83">
        <v>504.0</v>
      </c>
      <c r="AZ540" s="83" t="s">
        <v>6905</v>
      </c>
      <c r="BA540" s="83" t="s">
        <v>1767</v>
      </c>
      <c r="BB540" s="83" t="s">
        <v>6906</v>
      </c>
      <c r="BC540" s="54" t="s">
        <v>41</v>
      </c>
      <c r="BD540" s="70" t="str">
        <f t="shared" si="1"/>
        <v>San Miguel</v>
      </c>
      <c r="BE540" s="67" t="s">
        <v>143</v>
      </c>
      <c r="BF540" s="67" t="s">
        <v>144</v>
      </c>
      <c r="BG540" s="67" t="s">
        <v>142</v>
      </c>
      <c r="BH540" s="67"/>
      <c r="BI540" s="67"/>
      <c r="BJ540" s="67"/>
      <c r="BK540" s="67"/>
      <c r="BL540" s="67" t="s">
        <v>147</v>
      </c>
      <c r="BM540" s="67" t="s">
        <v>146</v>
      </c>
      <c r="BN540" s="100">
        <v>89.0</v>
      </c>
      <c r="BO540" s="102" t="s">
        <v>148</v>
      </c>
      <c r="BP540" s="67" t="s">
        <v>141</v>
      </c>
      <c r="BQ540" s="79" t="s">
        <v>141</v>
      </c>
      <c r="BR540" s="67" t="s">
        <v>149</v>
      </c>
      <c r="BS540" s="102" t="s">
        <v>149</v>
      </c>
      <c r="BT540" s="106"/>
      <c r="BU540" s="107"/>
      <c r="BV540" s="108">
        <f t="shared" si="2"/>
        <v>46258</v>
      </c>
      <c r="BW540" s="108" t="str">
        <f t="shared" si="16"/>
        <v/>
      </c>
      <c r="BX540" s="102" t="str">
        <f t="shared" si="15"/>
        <v/>
      </c>
      <c r="BY540" s="107" t="str">
        <f t="shared" si="5"/>
        <v/>
      </c>
      <c r="BZ540" s="107">
        <f t="array" ref="BZ540">IF($A540&lt;&gt;"",INDEX(LISTA!$M$2:$N$27,MATCH($BC540,LISTA!$N$2:$N$27,0),1),"")</f>
        <v>1</v>
      </c>
      <c r="CA540" s="67">
        <f t="shared" si="6"/>
        <v>8</v>
      </c>
      <c r="CB540" s="114" t="str">
        <f t="shared" si="7"/>
        <v/>
      </c>
      <c r="CC540" s="114"/>
    </row>
    <row r="541" ht="15.0" customHeight="1">
      <c r="A541" s="59">
        <v>46259.46306708333</v>
      </c>
      <c r="B541" s="115"/>
      <c r="C541" s="54" t="s">
        <v>100</v>
      </c>
      <c r="D541" s="56"/>
      <c r="E541" s="69"/>
      <c r="F541" s="162"/>
      <c r="G541" s="60"/>
      <c r="H541" s="60"/>
      <c r="I541" s="67" t="s">
        <v>382</v>
      </c>
      <c r="J541" s="79" t="s">
        <v>6907</v>
      </c>
      <c r="K541" s="67" t="s">
        <v>109</v>
      </c>
      <c r="L541" s="79" t="s">
        <v>6908</v>
      </c>
      <c r="M541" s="83" t="s">
        <v>6909</v>
      </c>
      <c r="N541" s="78">
        <v>36565.0</v>
      </c>
      <c r="O541" s="80" t="s">
        <v>41</v>
      </c>
      <c r="P541" s="70">
        <v>150101.0</v>
      </c>
      <c r="Q541" s="54"/>
      <c r="R541" s="84"/>
      <c r="S541" s="84"/>
      <c r="T541" s="54"/>
      <c r="U541" s="86"/>
      <c r="V541" s="54"/>
      <c r="W541" s="86"/>
      <c r="X541" s="54"/>
      <c r="Y541" s="78"/>
      <c r="Z541" s="54"/>
      <c r="AA541" s="70"/>
      <c r="AB541" s="83"/>
      <c r="AC541" s="83"/>
      <c r="AD541" s="83"/>
      <c r="AE541" s="83"/>
      <c r="AF541" s="83" t="s">
        <v>792</v>
      </c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54" t="s">
        <v>6910</v>
      </c>
      <c r="AR541" s="83" t="s">
        <v>6911</v>
      </c>
      <c r="AS541" s="83" t="s">
        <v>6912</v>
      </c>
      <c r="AT541" s="93" t="s">
        <v>6907</v>
      </c>
      <c r="AU541" s="93" t="s">
        <v>6907</v>
      </c>
      <c r="AV541" s="93" t="s">
        <v>6907</v>
      </c>
      <c r="AW541" s="83" t="s">
        <v>6913</v>
      </c>
      <c r="AX541" s="83">
        <v>1.0</v>
      </c>
      <c r="AY541" s="83">
        <v>0.0</v>
      </c>
      <c r="AZ541" s="83" t="s">
        <v>6914</v>
      </c>
      <c r="BA541" s="83" t="s">
        <v>6915</v>
      </c>
      <c r="BB541" s="83" t="s">
        <v>6916</v>
      </c>
      <c r="BC541" s="54" t="s">
        <v>41</v>
      </c>
      <c r="BD541" s="70" t="str">
        <f t="shared" si="1"/>
        <v>Los Olivos</v>
      </c>
      <c r="BE541" s="67" t="s">
        <v>140</v>
      </c>
      <c r="BF541" s="67" t="s">
        <v>144</v>
      </c>
      <c r="BG541" s="67" t="s">
        <v>142</v>
      </c>
      <c r="BH541" s="67"/>
      <c r="BI541" s="67"/>
      <c r="BJ541" s="67"/>
      <c r="BK541" s="67"/>
      <c r="BL541" s="67" t="s">
        <v>145</v>
      </c>
      <c r="BM541" s="67" t="s">
        <v>146</v>
      </c>
      <c r="BN541" s="100">
        <v>150.0</v>
      </c>
      <c r="BO541" s="102" t="s">
        <v>615</v>
      </c>
      <c r="BP541" s="67" t="s">
        <v>144</v>
      </c>
      <c r="BQ541" s="79" t="s">
        <v>141</v>
      </c>
      <c r="BR541" s="67">
        <v>2.0</v>
      </c>
      <c r="BS541" s="102" t="s">
        <v>149</v>
      </c>
      <c r="BT541" s="106"/>
      <c r="BU541" s="107"/>
      <c r="BV541" s="108">
        <f t="shared" si="2"/>
        <v>46259</v>
      </c>
      <c r="BW541" s="108" t="str">
        <f t="shared" si="16"/>
        <v/>
      </c>
      <c r="BX541" s="102" t="str">
        <f t="shared" si="15"/>
        <v/>
      </c>
      <c r="BY541" s="107" t="str">
        <f t="shared" si="5"/>
        <v/>
      </c>
      <c r="BZ541" s="107">
        <f t="array" ref="BZ541">IF($A541&lt;&gt;"",INDEX(LISTA!$M$2:$N$27,MATCH($BC541,LISTA!$N$2:$N$27,0),1),"")</f>
        <v>1</v>
      </c>
      <c r="CA541" s="67">
        <f t="shared" si="6"/>
        <v>8</v>
      </c>
      <c r="CB541" s="114" t="str">
        <f t="shared" si="7"/>
        <v/>
      </c>
      <c r="CC541" s="114"/>
    </row>
    <row r="542" ht="15.0" customHeight="1">
      <c r="A542" s="59"/>
      <c r="B542" s="115"/>
      <c r="C542" s="54" t="s">
        <v>6917</v>
      </c>
      <c r="D542" s="56"/>
      <c r="E542" s="69"/>
      <c r="F542" s="162"/>
      <c r="G542" s="60"/>
      <c r="H542" s="60"/>
      <c r="I542" s="67"/>
      <c r="J542" s="79"/>
      <c r="K542" s="67"/>
      <c r="L542" s="79"/>
      <c r="M542" s="83"/>
      <c r="N542" s="78"/>
      <c r="O542" s="80"/>
      <c r="P542" s="70"/>
      <c r="Q542" s="54"/>
      <c r="R542" s="84"/>
      <c r="S542" s="84"/>
      <c r="T542" s="54"/>
      <c r="U542" s="86"/>
      <c r="V542" s="54"/>
      <c r="W542" s="86"/>
      <c r="X542" s="54"/>
      <c r="Y542" s="78"/>
      <c r="Z542" s="54"/>
      <c r="AA542" s="70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54"/>
      <c r="AR542" s="83"/>
      <c r="AS542" s="83"/>
      <c r="AT542" s="93"/>
      <c r="AU542" s="93"/>
      <c r="AV542" s="93"/>
      <c r="AW542" s="83"/>
      <c r="AX542" s="83"/>
      <c r="AY542" s="83"/>
      <c r="AZ542" s="83"/>
      <c r="BA542" s="83"/>
      <c r="BB542" s="83"/>
      <c r="BC542" s="54"/>
      <c r="BD542" s="70" t="str">
        <f t="shared" si="1"/>
        <v/>
      </c>
      <c r="BE542" s="67"/>
      <c r="BF542" s="67"/>
      <c r="BG542" s="67"/>
      <c r="BH542" s="67"/>
      <c r="BI542" s="67"/>
      <c r="BJ542" s="67"/>
      <c r="BK542" s="67"/>
      <c r="BL542" s="67"/>
      <c r="BM542" s="67"/>
      <c r="BN542" s="100"/>
      <c r="BO542" s="102"/>
      <c r="BP542" s="67"/>
      <c r="BQ542" s="79"/>
      <c r="BR542" s="67"/>
      <c r="BS542" s="102"/>
      <c r="BT542" s="106"/>
      <c r="BU542" s="107"/>
      <c r="BV542" s="108"/>
      <c r="BW542" s="108" t="str">
        <f t="shared" si="16"/>
        <v/>
      </c>
      <c r="BX542" s="102" t="str">
        <f t="shared" si="15"/>
        <v/>
      </c>
      <c r="BY542" s="107" t="str">
        <f t="shared" si="5"/>
        <v/>
      </c>
      <c r="BZ542" s="107" t="str">
        <f t="array" ref="BZ542">IF($A542&lt;&gt;"",INDEX(LISTA!$M$2:$N$27,MATCH($BC542,LISTA!$N$2:$N$27,0),1),"")</f>
        <v/>
      </c>
      <c r="CA542" s="67" t="str">
        <f t="shared" si="6"/>
        <v/>
      </c>
      <c r="CB542" s="114" t="str">
        <f t="shared" si="7"/>
        <v/>
      </c>
      <c r="CC542" s="114"/>
    </row>
    <row r="543" ht="15.0" customHeight="1">
      <c r="A543" s="59"/>
      <c r="B543" s="115"/>
      <c r="C543" s="54"/>
      <c r="D543" s="56"/>
      <c r="E543" s="69"/>
      <c r="F543" s="162"/>
      <c r="G543" s="60"/>
      <c r="H543" s="60"/>
      <c r="I543" s="67"/>
      <c r="J543" s="79"/>
      <c r="K543" s="67"/>
      <c r="L543" s="79"/>
      <c r="M543" s="83"/>
      <c r="N543" s="78"/>
      <c r="O543" s="80"/>
      <c r="P543" s="70"/>
      <c r="Q543" s="54"/>
      <c r="R543" s="84"/>
      <c r="S543" s="84"/>
      <c r="T543" s="54"/>
      <c r="U543" s="86"/>
      <c r="V543" s="54"/>
      <c r="W543" s="86"/>
      <c r="X543" s="54"/>
      <c r="Y543" s="78"/>
      <c r="Z543" s="54"/>
      <c r="AA543" s="70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54"/>
      <c r="AR543" s="83"/>
      <c r="AS543" s="83"/>
      <c r="AT543" s="93"/>
      <c r="AU543" s="93"/>
      <c r="AV543" s="93"/>
      <c r="AW543" s="83"/>
      <c r="AX543" s="83"/>
      <c r="AY543" s="83"/>
      <c r="AZ543" s="83"/>
      <c r="BA543" s="83"/>
      <c r="BB543" s="83"/>
      <c r="BC543" s="54"/>
      <c r="BD543" s="70" t="str">
        <f t="shared" si="1"/>
        <v/>
      </c>
      <c r="BE543" s="67"/>
      <c r="BF543" s="67"/>
      <c r="BG543" s="67"/>
      <c r="BH543" s="67"/>
      <c r="BI543" s="67"/>
      <c r="BJ543" s="67"/>
      <c r="BK543" s="67"/>
      <c r="BL543" s="67"/>
      <c r="BM543" s="67"/>
      <c r="BN543" s="100"/>
      <c r="BO543" s="102"/>
      <c r="BP543" s="67"/>
      <c r="BQ543" s="79"/>
      <c r="BR543" s="67"/>
      <c r="BS543" s="102"/>
      <c r="BT543" s="106"/>
      <c r="BU543" s="107"/>
      <c r="BV543" s="108" t="str">
        <f>IF($A542&lt;&gt;"", DATE(YEAR($A542),MONTH($A542),DAY($A542)),"")</f>
        <v/>
      </c>
      <c r="BW543" s="108" t="str">
        <f t="shared" si="16"/>
        <v/>
      </c>
      <c r="BX543" s="102" t="str">
        <f t="shared" si="15"/>
        <v/>
      </c>
      <c r="BY543" s="107" t="str">
        <f t="shared" si="5"/>
        <v/>
      </c>
      <c r="BZ543" s="107" t="str">
        <f t="array" ref="BZ543">IF($A543&lt;&gt;"",INDEX(LISTA!$M$2:$N$27,MATCH($BC543,LISTA!$N$2:$N$27,0),1),"")</f>
        <v/>
      </c>
      <c r="CA543" s="67" t="str">
        <f t="shared" si="6"/>
        <v/>
      </c>
      <c r="CB543" s="114" t="str">
        <f t="shared" si="7"/>
        <v/>
      </c>
      <c r="CC543" s="114"/>
    </row>
    <row r="544" ht="15.0" customHeight="1">
      <c r="A544" s="59"/>
      <c r="B544" s="115"/>
      <c r="C544" s="54"/>
      <c r="D544" s="56"/>
      <c r="E544" s="69"/>
      <c r="F544" s="162"/>
      <c r="G544" s="60"/>
      <c r="H544" s="60"/>
      <c r="I544" s="67"/>
      <c r="J544" s="79"/>
      <c r="K544" s="67"/>
      <c r="L544" s="79"/>
      <c r="M544" s="83"/>
      <c r="N544" s="78"/>
      <c r="O544" s="80"/>
      <c r="P544" s="70"/>
      <c r="Q544" s="54"/>
      <c r="R544" s="84"/>
      <c r="S544" s="84"/>
      <c r="T544" s="54"/>
      <c r="U544" s="86"/>
      <c r="V544" s="54"/>
      <c r="W544" s="86"/>
      <c r="X544" s="54"/>
      <c r="Y544" s="78"/>
      <c r="Z544" s="54"/>
      <c r="AA544" s="70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54"/>
      <c r="AR544" s="83"/>
      <c r="AS544" s="83"/>
      <c r="AT544" s="93"/>
      <c r="AU544" s="93"/>
      <c r="AV544" s="93"/>
      <c r="AW544" s="83"/>
      <c r="AX544" s="83"/>
      <c r="AY544" s="83"/>
      <c r="AZ544" s="83"/>
      <c r="BA544" s="83"/>
      <c r="BB544" s="83"/>
      <c r="BC544" s="54"/>
      <c r="BD544" s="70" t="str">
        <f t="shared" si="1"/>
        <v/>
      </c>
      <c r="BE544" s="67"/>
      <c r="BF544" s="67"/>
      <c r="BG544" s="67"/>
      <c r="BH544" s="67"/>
      <c r="BI544" s="67"/>
      <c r="BJ544" s="67"/>
      <c r="BK544" s="67"/>
      <c r="BL544" s="67"/>
      <c r="BM544" s="67"/>
      <c r="BN544" s="100"/>
      <c r="BO544" s="102"/>
      <c r="BP544" s="67"/>
      <c r="BQ544" s="79"/>
      <c r="BR544" s="67"/>
      <c r="BS544" s="102"/>
      <c r="BT544" s="106"/>
      <c r="BU544" s="107"/>
      <c r="BV544" s="108" t="str">
        <f t="shared" ref="BV544:BV1148" si="17">IF($A544&lt;&gt;"", DATE(YEAR($A544),MONTH($A544),DAY($A544)),"")</f>
        <v/>
      </c>
      <c r="BW544" s="108" t="str">
        <f t="shared" si="16"/>
        <v/>
      </c>
      <c r="BX544" s="102" t="str">
        <f t="shared" si="15"/>
        <v/>
      </c>
      <c r="BY544" s="107" t="str">
        <f t="shared" si="5"/>
        <v/>
      </c>
      <c r="BZ544" s="107" t="str">
        <f t="array" ref="BZ544">IF($A544&lt;&gt;"",INDEX(LISTA!$M$2:$N$27,MATCH($BC544,LISTA!$N$2:$N$27,0),1),"")</f>
        <v/>
      </c>
      <c r="CA544" s="67" t="str">
        <f t="shared" si="6"/>
        <v/>
      </c>
      <c r="CB544" s="114" t="str">
        <f t="shared" si="7"/>
        <v/>
      </c>
      <c r="CC544" s="114"/>
    </row>
    <row r="545" ht="15.0" customHeight="1">
      <c r="A545" s="59"/>
      <c r="B545" s="115"/>
      <c r="C545" s="54"/>
      <c r="D545" s="56"/>
      <c r="E545" s="69"/>
      <c r="F545" s="162"/>
      <c r="G545" s="60"/>
      <c r="H545" s="60"/>
      <c r="I545" s="67"/>
      <c r="J545" s="79"/>
      <c r="K545" s="67"/>
      <c r="L545" s="79"/>
      <c r="M545" s="83"/>
      <c r="N545" s="78"/>
      <c r="O545" s="80"/>
      <c r="P545" s="70"/>
      <c r="Q545" s="54"/>
      <c r="R545" s="84"/>
      <c r="S545" s="84"/>
      <c r="T545" s="54"/>
      <c r="U545" s="86"/>
      <c r="V545" s="54"/>
      <c r="W545" s="86"/>
      <c r="X545" s="54"/>
      <c r="Y545" s="78"/>
      <c r="Z545" s="54"/>
      <c r="AA545" s="70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54"/>
      <c r="AR545" s="83"/>
      <c r="AS545" s="83"/>
      <c r="AT545" s="93"/>
      <c r="AU545" s="93"/>
      <c r="AV545" s="93"/>
      <c r="AW545" s="83"/>
      <c r="AX545" s="83"/>
      <c r="AY545" s="83"/>
      <c r="AZ545" s="83"/>
      <c r="BA545" s="83"/>
      <c r="BB545" s="83"/>
      <c r="BC545" s="54"/>
      <c r="BD545" s="70" t="str">
        <f t="shared" si="1"/>
        <v/>
      </c>
      <c r="BE545" s="67"/>
      <c r="BF545" s="67"/>
      <c r="BG545" s="67"/>
      <c r="BH545" s="67"/>
      <c r="BI545" s="67"/>
      <c r="BJ545" s="67"/>
      <c r="BK545" s="67"/>
      <c r="BL545" s="67"/>
      <c r="BM545" s="67"/>
      <c r="BN545" s="100"/>
      <c r="BO545" s="102"/>
      <c r="BP545" s="67"/>
      <c r="BQ545" s="79"/>
      <c r="BR545" s="67"/>
      <c r="BS545" s="102"/>
      <c r="BT545" s="106"/>
      <c r="BU545" s="107"/>
      <c r="BV545" s="108" t="str">
        <f t="shared" si="17"/>
        <v/>
      </c>
      <c r="BW545" s="108" t="str">
        <f t="shared" si="16"/>
        <v/>
      </c>
      <c r="BX545" s="102" t="str">
        <f t="shared" si="15"/>
        <v/>
      </c>
      <c r="BY545" s="107" t="str">
        <f t="shared" si="5"/>
        <v/>
      </c>
      <c r="BZ545" s="107" t="str">
        <f t="array" ref="BZ545">IF($A545&lt;&gt;"",INDEX(LISTA!$M$2:$N$27,MATCH($BC545,LISTA!$N$2:$N$27,0),1),"")</f>
        <v/>
      </c>
      <c r="CA545" s="67" t="str">
        <f t="shared" si="6"/>
        <v/>
      </c>
      <c r="CB545" s="114" t="str">
        <f t="shared" si="7"/>
        <v/>
      </c>
      <c r="CC545" s="114"/>
    </row>
    <row r="546" ht="15.0" customHeight="1">
      <c r="A546" s="59"/>
      <c r="B546" s="115"/>
      <c r="C546" s="54"/>
      <c r="D546" s="56"/>
      <c r="E546" s="69"/>
      <c r="F546" s="162"/>
      <c r="G546" s="60"/>
      <c r="H546" s="60"/>
      <c r="I546" s="67"/>
      <c r="J546" s="79"/>
      <c r="K546" s="67"/>
      <c r="L546" s="79"/>
      <c r="M546" s="83"/>
      <c r="N546" s="78"/>
      <c r="O546" s="80"/>
      <c r="P546" s="70"/>
      <c r="Q546" s="54"/>
      <c r="R546" s="84"/>
      <c r="S546" s="84"/>
      <c r="T546" s="54"/>
      <c r="U546" s="86"/>
      <c r="V546" s="54"/>
      <c r="W546" s="86"/>
      <c r="X546" s="54"/>
      <c r="Y546" s="78"/>
      <c r="Z546" s="54"/>
      <c r="AA546" s="70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54"/>
      <c r="AR546" s="83"/>
      <c r="AS546" s="83"/>
      <c r="AT546" s="93"/>
      <c r="AU546" s="93"/>
      <c r="AV546" s="93"/>
      <c r="AW546" s="83"/>
      <c r="AX546" s="83"/>
      <c r="AY546" s="83"/>
      <c r="AZ546" s="83"/>
      <c r="BA546" s="83"/>
      <c r="BB546" s="83"/>
      <c r="BC546" s="54"/>
      <c r="BD546" s="70" t="str">
        <f t="shared" si="1"/>
        <v/>
      </c>
      <c r="BE546" s="67"/>
      <c r="BF546" s="67"/>
      <c r="BG546" s="67"/>
      <c r="BH546" s="67"/>
      <c r="BI546" s="67"/>
      <c r="BJ546" s="67"/>
      <c r="BK546" s="67"/>
      <c r="BL546" s="67"/>
      <c r="BM546" s="67"/>
      <c r="BN546" s="100"/>
      <c r="BO546" s="102"/>
      <c r="BP546" s="67"/>
      <c r="BQ546" s="79"/>
      <c r="BR546" s="67"/>
      <c r="BS546" s="102"/>
      <c r="BT546" s="106"/>
      <c r="BU546" s="107"/>
      <c r="BV546" s="108" t="str">
        <f t="shared" si="17"/>
        <v/>
      </c>
      <c r="BW546" s="108" t="str">
        <f t="shared" si="16"/>
        <v/>
      </c>
      <c r="BX546" s="102" t="str">
        <f t="shared" si="15"/>
        <v/>
      </c>
      <c r="BY546" s="107" t="str">
        <f t="shared" si="5"/>
        <v/>
      </c>
      <c r="BZ546" s="107" t="str">
        <f t="array" ref="BZ546">IF($A546&lt;&gt;"",INDEX(LISTA!$M$2:$N$27,MATCH($BC546,LISTA!$N$2:$N$27,0),1),"")</f>
        <v/>
      </c>
      <c r="CA546" s="67" t="str">
        <f t="shared" si="6"/>
        <v/>
      </c>
      <c r="CB546" s="114" t="str">
        <f t="shared" si="7"/>
        <v/>
      </c>
      <c r="CC546" s="114"/>
    </row>
    <row r="547" ht="15.0" customHeight="1">
      <c r="A547" s="59"/>
      <c r="B547" s="115"/>
      <c r="C547" s="54"/>
      <c r="D547" s="56"/>
      <c r="E547" s="69"/>
      <c r="F547" s="162"/>
      <c r="G547" s="60"/>
      <c r="H547" s="60"/>
      <c r="I547" s="67"/>
      <c r="J547" s="79"/>
      <c r="K547" s="67"/>
      <c r="L547" s="79"/>
      <c r="M547" s="83"/>
      <c r="N547" s="78"/>
      <c r="O547" s="80"/>
      <c r="P547" s="70"/>
      <c r="Q547" s="54"/>
      <c r="R547" s="84"/>
      <c r="S547" s="84"/>
      <c r="T547" s="54"/>
      <c r="U547" s="86"/>
      <c r="V547" s="54"/>
      <c r="W547" s="86"/>
      <c r="X547" s="54"/>
      <c r="Y547" s="78"/>
      <c r="Z547" s="54"/>
      <c r="AA547" s="70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54"/>
      <c r="AR547" s="83"/>
      <c r="AS547" s="83"/>
      <c r="AT547" s="93"/>
      <c r="AU547" s="93"/>
      <c r="AV547" s="93"/>
      <c r="AW547" s="83"/>
      <c r="AX547" s="83"/>
      <c r="AY547" s="83"/>
      <c r="AZ547" s="83"/>
      <c r="BA547" s="83"/>
      <c r="BB547" s="83"/>
      <c r="BC547" s="54"/>
      <c r="BD547" s="70" t="str">
        <f t="shared" si="1"/>
        <v/>
      </c>
      <c r="BE547" s="67"/>
      <c r="BF547" s="67"/>
      <c r="BG547" s="67"/>
      <c r="BH547" s="67"/>
      <c r="BI547" s="67"/>
      <c r="BJ547" s="67"/>
      <c r="BK547" s="67"/>
      <c r="BL547" s="67"/>
      <c r="BM547" s="67"/>
      <c r="BN547" s="100"/>
      <c r="BO547" s="102"/>
      <c r="BP547" s="67"/>
      <c r="BQ547" s="79"/>
      <c r="BR547" s="67"/>
      <c r="BS547" s="102"/>
      <c r="BT547" s="106"/>
      <c r="BU547" s="107"/>
      <c r="BV547" s="108" t="str">
        <f t="shared" si="17"/>
        <v/>
      </c>
      <c r="BW547" s="108" t="str">
        <f t="shared" si="16"/>
        <v/>
      </c>
      <c r="BX547" s="102" t="str">
        <f t="shared" si="15"/>
        <v/>
      </c>
      <c r="BY547" s="107" t="str">
        <f t="shared" si="5"/>
        <v/>
      </c>
      <c r="BZ547" s="107" t="str">
        <f t="array" ref="BZ547">IF($A547&lt;&gt;"",INDEX(LISTA!$M$2:$N$27,MATCH($BC547,LISTA!$N$2:$N$27,0),1),"")</f>
        <v/>
      </c>
      <c r="CA547" s="67" t="str">
        <f t="shared" si="6"/>
        <v/>
      </c>
      <c r="CB547" s="114" t="str">
        <f t="shared" si="7"/>
        <v/>
      </c>
      <c r="CC547" s="114"/>
    </row>
    <row r="548" ht="15.0" customHeight="1">
      <c r="A548" s="59"/>
      <c r="B548" s="115"/>
      <c r="C548" s="54"/>
      <c r="D548" s="56"/>
      <c r="E548" s="69"/>
      <c r="F548" s="162"/>
      <c r="G548" s="60"/>
      <c r="H548" s="60"/>
      <c r="I548" s="67"/>
      <c r="J548" s="79"/>
      <c r="K548" s="67"/>
      <c r="L548" s="79"/>
      <c r="M548" s="83"/>
      <c r="N548" s="78"/>
      <c r="O548" s="80"/>
      <c r="P548" s="70"/>
      <c r="Q548" s="54"/>
      <c r="R548" s="84"/>
      <c r="S548" s="84"/>
      <c r="T548" s="54"/>
      <c r="U548" s="86"/>
      <c r="V548" s="54"/>
      <c r="W548" s="86"/>
      <c r="X548" s="54"/>
      <c r="Y548" s="78"/>
      <c r="Z548" s="54"/>
      <c r="AA548" s="70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54"/>
      <c r="AR548" s="83"/>
      <c r="AS548" s="83"/>
      <c r="AT548" s="93"/>
      <c r="AU548" s="93"/>
      <c r="AV548" s="93"/>
      <c r="AW548" s="83"/>
      <c r="AX548" s="83"/>
      <c r="AY548" s="83"/>
      <c r="AZ548" s="83"/>
      <c r="BA548" s="83"/>
      <c r="BB548" s="83"/>
      <c r="BC548" s="54"/>
      <c r="BD548" s="70" t="str">
        <f t="shared" si="1"/>
        <v/>
      </c>
      <c r="BE548" s="67"/>
      <c r="BF548" s="67"/>
      <c r="BG548" s="67"/>
      <c r="BH548" s="67"/>
      <c r="BI548" s="67"/>
      <c r="BJ548" s="67"/>
      <c r="BK548" s="67"/>
      <c r="BL548" s="67"/>
      <c r="BM548" s="67"/>
      <c r="BN548" s="100"/>
      <c r="BO548" s="102"/>
      <c r="BP548" s="67"/>
      <c r="BQ548" s="79"/>
      <c r="BR548" s="67"/>
      <c r="BS548" s="102"/>
      <c r="BT548" s="106"/>
      <c r="BU548" s="107"/>
      <c r="BV548" s="108" t="str">
        <f t="shared" si="17"/>
        <v/>
      </c>
      <c r="BW548" s="108" t="str">
        <f t="shared" si="16"/>
        <v/>
      </c>
      <c r="BX548" s="102" t="str">
        <f t="shared" si="15"/>
        <v/>
      </c>
      <c r="BY548" s="107" t="str">
        <f t="shared" si="5"/>
        <v/>
      </c>
      <c r="BZ548" s="107" t="str">
        <f t="array" ref="BZ548">IF($A548&lt;&gt;"",INDEX(LISTA!$M$2:$N$27,MATCH($BC548,LISTA!$N$2:$N$27,0),1),"")</f>
        <v/>
      </c>
      <c r="CA548" s="67" t="str">
        <f t="shared" si="6"/>
        <v/>
      </c>
      <c r="CB548" s="114" t="str">
        <f t="shared" si="7"/>
        <v/>
      </c>
      <c r="CC548" s="114"/>
    </row>
    <row r="549" ht="15.0" customHeight="1">
      <c r="A549" s="59"/>
      <c r="B549" s="115"/>
      <c r="C549" s="54"/>
      <c r="D549" s="56"/>
      <c r="E549" s="69"/>
      <c r="F549" s="162"/>
      <c r="G549" s="60"/>
      <c r="H549" s="60"/>
      <c r="I549" s="67"/>
      <c r="J549" s="79"/>
      <c r="K549" s="67"/>
      <c r="L549" s="79"/>
      <c r="M549" s="83"/>
      <c r="N549" s="78"/>
      <c r="O549" s="80"/>
      <c r="P549" s="70"/>
      <c r="Q549" s="54"/>
      <c r="R549" s="84"/>
      <c r="S549" s="84"/>
      <c r="T549" s="54"/>
      <c r="U549" s="86"/>
      <c r="V549" s="54"/>
      <c r="W549" s="86"/>
      <c r="X549" s="54"/>
      <c r="Y549" s="78"/>
      <c r="Z549" s="54"/>
      <c r="AA549" s="70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54"/>
      <c r="AR549" s="83"/>
      <c r="AS549" s="83"/>
      <c r="AT549" s="93"/>
      <c r="AU549" s="93"/>
      <c r="AV549" s="93"/>
      <c r="AW549" s="83"/>
      <c r="AX549" s="83"/>
      <c r="AY549" s="83"/>
      <c r="AZ549" s="83"/>
      <c r="BA549" s="83"/>
      <c r="BB549" s="83"/>
      <c r="BC549" s="54"/>
      <c r="BD549" s="54" t="str">
        <f t="shared" si="1"/>
        <v/>
      </c>
      <c r="BE549" s="67"/>
      <c r="BF549" s="67"/>
      <c r="BG549" s="67"/>
      <c r="BH549" s="67"/>
      <c r="BI549" s="67"/>
      <c r="BJ549" s="67"/>
      <c r="BK549" s="67"/>
      <c r="BL549" s="67"/>
      <c r="BM549" s="67"/>
      <c r="BN549" s="100"/>
      <c r="BO549" s="102"/>
      <c r="BP549" s="67"/>
      <c r="BQ549" s="79"/>
      <c r="BR549" s="67"/>
      <c r="BS549" s="102"/>
      <c r="BT549" s="106"/>
      <c r="BU549" s="107"/>
      <c r="BV549" s="108" t="str">
        <f t="shared" si="17"/>
        <v/>
      </c>
      <c r="BW549" s="108" t="str">
        <f t="shared" si="16"/>
        <v/>
      </c>
      <c r="BX549" s="102" t="str">
        <f t="shared" si="15"/>
        <v/>
      </c>
      <c r="BY549" s="107" t="str">
        <f t="shared" si="5"/>
        <v/>
      </c>
      <c r="BZ549" s="107" t="str">
        <f t="array" ref="BZ549">IF($A549&lt;&gt;"",INDEX(LISTA!$M$2:$N$27,MATCH($BC549,LISTA!$N$2:$N$27,0),1),"")</f>
        <v/>
      </c>
      <c r="CA549" s="67" t="str">
        <f t="shared" si="6"/>
        <v/>
      </c>
      <c r="CB549" s="114" t="str">
        <f t="shared" si="7"/>
        <v/>
      </c>
      <c r="CC549" s="114"/>
    </row>
    <row r="550" ht="15.0" customHeight="1">
      <c r="A550" s="59"/>
      <c r="B550" s="115"/>
      <c r="C550" s="54"/>
      <c r="D550" s="56"/>
      <c r="E550" s="69"/>
      <c r="F550" s="162"/>
      <c r="G550" s="60"/>
      <c r="H550" s="60"/>
      <c r="I550" s="67"/>
      <c r="J550" s="79"/>
      <c r="K550" s="67"/>
      <c r="L550" s="79"/>
      <c r="M550" s="83"/>
      <c r="N550" s="78"/>
      <c r="O550" s="80"/>
      <c r="P550" s="70"/>
      <c r="Q550" s="54"/>
      <c r="R550" s="84"/>
      <c r="S550" s="84"/>
      <c r="T550" s="54"/>
      <c r="U550" s="86"/>
      <c r="V550" s="54"/>
      <c r="W550" s="86"/>
      <c r="X550" s="54"/>
      <c r="Y550" s="78"/>
      <c r="Z550" s="54"/>
      <c r="AA550" s="70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54"/>
      <c r="AR550" s="83"/>
      <c r="AS550" s="83"/>
      <c r="AT550" s="93"/>
      <c r="AU550" s="93"/>
      <c r="AV550" s="93"/>
      <c r="AW550" s="83"/>
      <c r="AX550" s="83"/>
      <c r="AY550" s="83"/>
      <c r="AZ550" s="83"/>
      <c r="BA550" s="83"/>
      <c r="BB550" s="83"/>
      <c r="BC550" s="54"/>
      <c r="BD550" s="54" t="str">
        <f t="shared" si="1"/>
        <v/>
      </c>
      <c r="BE550" s="67"/>
      <c r="BF550" s="67"/>
      <c r="BG550" s="67"/>
      <c r="BH550" s="67"/>
      <c r="BI550" s="67"/>
      <c r="BJ550" s="67"/>
      <c r="BK550" s="67"/>
      <c r="BL550" s="67"/>
      <c r="BM550" s="67"/>
      <c r="BN550" s="100"/>
      <c r="BO550" s="102"/>
      <c r="BP550" s="67"/>
      <c r="BQ550" s="79"/>
      <c r="BR550" s="67"/>
      <c r="BS550" s="102"/>
      <c r="BT550" s="106"/>
      <c r="BU550" s="107"/>
      <c r="BV550" s="108" t="str">
        <f t="shared" si="17"/>
        <v/>
      </c>
      <c r="BW550" s="108" t="str">
        <f t="shared" si="16"/>
        <v/>
      </c>
      <c r="BX550" s="102" t="str">
        <f t="shared" si="15"/>
        <v/>
      </c>
      <c r="BY550" s="107" t="str">
        <f t="shared" si="5"/>
        <v/>
      </c>
      <c r="BZ550" s="107" t="str">
        <f t="array" ref="BZ550">IF($A550&lt;&gt;"",INDEX(LISTA!$M$2:$N$27,MATCH($BC550,LISTA!$N$2:$N$27,0),1),"")</f>
        <v/>
      </c>
      <c r="CA550" s="67" t="str">
        <f t="shared" si="6"/>
        <v/>
      </c>
      <c r="CB550" s="114" t="str">
        <f t="shared" si="7"/>
        <v/>
      </c>
      <c r="CC550" s="114"/>
    </row>
    <row r="551" ht="15.0" customHeight="1">
      <c r="A551" s="59"/>
      <c r="B551" s="115"/>
      <c r="C551" s="54"/>
      <c r="D551" s="56"/>
      <c r="E551" s="69"/>
      <c r="F551" s="162"/>
      <c r="G551" s="60"/>
      <c r="H551" s="60"/>
      <c r="I551" s="67"/>
      <c r="J551" s="79"/>
      <c r="K551" s="67"/>
      <c r="L551" s="79"/>
      <c r="M551" s="83"/>
      <c r="N551" s="78"/>
      <c r="O551" s="80"/>
      <c r="P551" s="70"/>
      <c r="Q551" s="54"/>
      <c r="R551" s="84"/>
      <c r="S551" s="84"/>
      <c r="T551" s="54"/>
      <c r="U551" s="86"/>
      <c r="V551" s="54"/>
      <c r="W551" s="86"/>
      <c r="X551" s="54"/>
      <c r="Y551" s="78"/>
      <c r="Z551" s="54"/>
      <c r="AA551" s="70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54"/>
      <c r="AR551" s="83"/>
      <c r="AS551" s="83"/>
      <c r="AT551" s="93"/>
      <c r="AU551" s="93"/>
      <c r="AV551" s="93"/>
      <c r="AW551" s="83"/>
      <c r="AX551" s="83"/>
      <c r="AY551" s="83"/>
      <c r="AZ551" s="83"/>
      <c r="BA551" s="83"/>
      <c r="BB551" s="83"/>
      <c r="BC551" s="54"/>
      <c r="BD551" s="54" t="str">
        <f t="shared" si="1"/>
        <v/>
      </c>
      <c r="BE551" s="67"/>
      <c r="BF551" s="67"/>
      <c r="BG551" s="67"/>
      <c r="BH551" s="67"/>
      <c r="BI551" s="67"/>
      <c r="BJ551" s="67"/>
      <c r="BK551" s="67"/>
      <c r="BL551" s="67"/>
      <c r="BM551" s="67"/>
      <c r="BN551" s="100"/>
      <c r="BO551" s="102"/>
      <c r="BP551" s="67"/>
      <c r="BQ551" s="79"/>
      <c r="BR551" s="67"/>
      <c r="BS551" s="102"/>
      <c r="BT551" s="106"/>
      <c r="BU551" s="107"/>
      <c r="BV551" s="108" t="str">
        <f t="shared" si="17"/>
        <v/>
      </c>
      <c r="BW551" s="108" t="str">
        <f t="shared" si="16"/>
        <v/>
      </c>
      <c r="BX551" s="102" t="str">
        <f t="shared" si="15"/>
        <v/>
      </c>
      <c r="BY551" s="107" t="str">
        <f t="shared" si="5"/>
        <v/>
      </c>
      <c r="BZ551" s="107" t="str">
        <f t="array" ref="BZ551">IF($A551&lt;&gt;"",INDEX(LISTA!$M$2:$N$27,MATCH($BC551,LISTA!$N$2:$N$27,0),1),"")</f>
        <v/>
      </c>
      <c r="CA551" s="67" t="str">
        <f t="shared" si="6"/>
        <v/>
      </c>
      <c r="CB551" s="114" t="str">
        <f t="shared" si="7"/>
        <v/>
      </c>
      <c r="CC551" s="114"/>
    </row>
    <row r="552" ht="15.0" customHeight="1">
      <c r="A552" s="59"/>
      <c r="B552" s="115"/>
      <c r="C552" s="54"/>
      <c r="D552" s="56"/>
      <c r="E552" s="69"/>
      <c r="F552" s="162"/>
      <c r="G552" s="60"/>
      <c r="H552" s="60"/>
      <c r="I552" s="67"/>
      <c r="J552" s="79"/>
      <c r="K552" s="67"/>
      <c r="L552" s="79"/>
      <c r="M552" s="83"/>
      <c r="N552" s="78"/>
      <c r="O552" s="80"/>
      <c r="P552" s="70"/>
      <c r="Q552" s="54"/>
      <c r="R552" s="84"/>
      <c r="S552" s="84"/>
      <c r="T552" s="54"/>
      <c r="U552" s="86"/>
      <c r="V552" s="54"/>
      <c r="W552" s="86"/>
      <c r="X552" s="54"/>
      <c r="Y552" s="78"/>
      <c r="Z552" s="54"/>
      <c r="AA552" s="70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54"/>
      <c r="AR552" s="83"/>
      <c r="AS552" s="83"/>
      <c r="AT552" s="93"/>
      <c r="AU552" s="93"/>
      <c r="AV552" s="93"/>
      <c r="AW552" s="83"/>
      <c r="AX552" s="83"/>
      <c r="AY552" s="83"/>
      <c r="AZ552" s="83"/>
      <c r="BA552" s="83"/>
      <c r="BB552" s="83"/>
      <c r="BC552" s="54"/>
      <c r="BD552" s="54" t="str">
        <f t="shared" si="1"/>
        <v/>
      </c>
      <c r="BE552" s="67"/>
      <c r="BF552" s="67"/>
      <c r="BG552" s="67"/>
      <c r="BH552" s="67"/>
      <c r="BI552" s="67"/>
      <c r="BJ552" s="67"/>
      <c r="BK552" s="67"/>
      <c r="BL552" s="67"/>
      <c r="BM552" s="67"/>
      <c r="BN552" s="100"/>
      <c r="BO552" s="102"/>
      <c r="BP552" s="67"/>
      <c r="BQ552" s="79"/>
      <c r="BR552" s="67"/>
      <c r="BS552" s="102"/>
      <c r="BT552" s="106"/>
      <c r="BU552" s="107"/>
      <c r="BV552" s="108" t="str">
        <f t="shared" si="17"/>
        <v/>
      </c>
      <c r="BW552" s="108" t="str">
        <f t="shared" si="16"/>
        <v/>
      </c>
      <c r="BX552" s="102" t="str">
        <f t="shared" si="15"/>
        <v/>
      </c>
      <c r="BY552" s="107" t="str">
        <f t="shared" si="5"/>
        <v/>
      </c>
      <c r="BZ552" s="107" t="str">
        <f t="array" ref="BZ552">IF($A552&lt;&gt;"",INDEX(LISTA!$M$2:$N$27,MATCH($BC552,LISTA!$N$2:$N$27,0),1),"")</f>
        <v/>
      </c>
      <c r="CA552" s="67" t="str">
        <f t="shared" si="6"/>
        <v/>
      </c>
      <c r="CB552" s="114" t="str">
        <f t="shared" si="7"/>
        <v/>
      </c>
      <c r="CC552" s="114"/>
    </row>
    <row r="553" ht="15.0" customHeight="1">
      <c r="A553" s="59"/>
      <c r="B553" s="115"/>
      <c r="C553" s="54"/>
      <c r="D553" s="56"/>
      <c r="E553" s="69"/>
      <c r="F553" s="162"/>
      <c r="G553" s="60"/>
      <c r="H553" s="60"/>
      <c r="I553" s="67"/>
      <c r="J553" s="79"/>
      <c r="K553" s="67"/>
      <c r="L553" s="79"/>
      <c r="M553" s="83"/>
      <c r="N553" s="78"/>
      <c r="O553" s="80"/>
      <c r="P553" s="70"/>
      <c r="Q553" s="54"/>
      <c r="R553" s="84"/>
      <c r="S553" s="84"/>
      <c r="T553" s="54"/>
      <c r="U553" s="86"/>
      <c r="V553" s="54"/>
      <c r="W553" s="86"/>
      <c r="X553" s="54"/>
      <c r="Y553" s="78"/>
      <c r="Z553" s="54"/>
      <c r="AA553" s="70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54"/>
      <c r="AR553" s="83"/>
      <c r="AS553" s="83"/>
      <c r="AT553" s="93"/>
      <c r="AU553" s="93"/>
      <c r="AV553" s="93"/>
      <c r="AW553" s="83"/>
      <c r="AX553" s="83"/>
      <c r="AY553" s="83"/>
      <c r="AZ553" s="83"/>
      <c r="BA553" s="83"/>
      <c r="BB553" s="83"/>
      <c r="BC553" s="54"/>
      <c r="BD553" s="54" t="str">
        <f t="shared" si="1"/>
        <v/>
      </c>
      <c r="BE553" s="67"/>
      <c r="BF553" s="67"/>
      <c r="BG553" s="67"/>
      <c r="BH553" s="67"/>
      <c r="BI553" s="67"/>
      <c r="BJ553" s="67"/>
      <c r="BK553" s="67"/>
      <c r="BL553" s="67"/>
      <c r="BM553" s="67"/>
      <c r="BN553" s="100"/>
      <c r="BO553" s="102"/>
      <c r="BP553" s="67"/>
      <c r="BQ553" s="79"/>
      <c r="BR553" s="67"/>
      <c r="BS553" s="102"/>
      <c r="BT553" s="106"/>
      <c r="BU553" s="107"/>
      <c r="BV553" s="108" t="str">
        <f t="shared" si="17"/>
        <v/>
      </c>
      <c r="BW553" s="108" t="str">
        <f t="shared" si="16"/>
        <v/>
      </c>
      <c r="BX553" s="102" t="str">
        <f t="shared" si="15"/>
        <v/>
      </c>
      <c r="BY553" s="107" t="str">
        <f t="shared" si="5"/>
        <v/>
      </c>
      <c r="BZ553" s="107" t="str">
        <f t="array" ref="BZ553">IF($A553&lt;&gt;"",INDEX(LISTA!$M$2:$N$27,MATCH($BC553,LISTA!$N$2:$N$27,0),1),"")</f>
        <v/>
      </c>
      <c r="CA553" s="67" t="str">
        <f t="shared" si="6"/>
        <v/>
      </c>
      <c r="CB553" s="114" t="str">
        <f t="shared" si="7"/>
        <v/>
      </c>
      <c r="CC553" s="114"/>
    </row>
    <row r="554" ht="15.0" customHeight="1">
      <c r="A554" s="59"/>
      <c r="B554" s="115"/>
      <c r="C554" s="54"/>
      <c r="D554" s="56"/>
      <c r="E554" s="69"/>
      <c r="F554" s="162"/>
      <c r="G554" s="60"/>
      <c r="H554" s="60"/>
      <c r="I554" s="67"/>
      <c r="J554" s="79"/>
      <c r="K554" s="67"/>
      <c r="L554" s="79"/>
      <c r="M554" s="83"/>
      <c r="N554" s="78"/>
      <c r="O554" s="80"/>
      <c r="P554" s="70"/>
      <c r="Q554" s="54"/>
      <c r="R554" s="84"/>
      <c r="S554" s="84"/>
      <c r="T554" s="54"/>
      <c r="U554" s="86"/>
      <c r="V554" s="54"/>
      <c r="W554" s="86"/>
      <c r="X554" s="54"/>
      <c r="Y554" s="78"/>
      <c r="Z554" s="54"/>
      <c r="AA554" s="70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54"/>
      <c r="AR554" s="83"/>
      <c r="AS554" s="83"/>
      <c r="AT554" s="93"/>
      <c r="AU554" s="93"/>
      <c r="AV554" s="93"/>
      <c r="AW554" s="83"/>
      <c r="AX554" s="83"/>
      <c r="AY554" s="83"/>
      <c r="AZ554" s="83"/>
      <c r="BA554" s="83"/>
      <c r="BB554" s="83"/>
      <c r="BC554" s="54"/>
      <c r="BD554" s="54" t="str">
        <f t="shared" si="1"/>
        <v/>
      </c>
      <c r="BE554" s="67"/>
      <c r="BF554" s="67"/>
      <c r="BG554" s="67"/>
      <c r="BH554" s="67"/>
      <c r="BI554" s="67"/>
      <c r="BJ554" s="67"/>
      <c r="BK554" s="67"/>
      <c r="BL554" s="67"/>
      <c r="BM554" s="67"/>
      <c r="BN554" s="100"/>
      <c r="BO554" s="102"/>
      <c r="BP554" s="67"/>
      <c r="BQ554" s="79"/>
      <c r="BR554" s="67"/>
      <c r="BS554" s="102"/>
      <c r="BT554" s="106"/>
      <c r="BU554" s="107"/>
      <c r="BV554" s="108" t="str">
        <f t="shared" si="17"/>
        <v/>
      </c>
      <c r="BW554" s="108" t="str">
        <f t="shared" si="16"/>
        <v/>
      </c>
      <c r="BX554" s="102" t="str">
        <f t="shared" si="15"/>
        <v/>
      </c>
      <c r="BY554" s="107" t="str">
        <f t="shared" si="5"/>
        <v/>
      </c>
      <c r="BZ554" s="107" t="str">
        <f t="array" ref="BZ554">IF($A554&lt;&gt;"",INDEX(LISTA!$M$2:$N$27,MATCH($BC554,LISTA!$N$2:$N$27,0),1),"")</f>
        <v/>
      </c>
      <c r="CA554" s="67" t="str">
        <f t="shared" si="6"/>
        <v/>
      </c>
      <c r="CB554" s="114" t="str">
        <f t="shared" si="7"/>
        <v/>
      </c>
      <c r="CC554" s="114"/>
    </row>
    <row r="555" ht="15.0" customHeight="1">
      <c r="A555" s="59"/>
      <c r="B555" s="115"/>
      <c r="C555" s="54"/>
      <c r="D555" s="56"/>
      <c r="E555" s="69"/>
      <c r="F555" s="162"/>
      <c r="G555" s="60"/>
      <c r="H555" s="60"/>
      <c r="I555" s="67"/>
      <c r="J555" s="79"/>
      <c r="K555" s="67"/>
      <c r="L555" s="79"/>
      <c r="M555" s="83"/>
      <c r="N555" s="78"/>
      <c r="O555" s="80"/>
      <c r="P555" s="70"/>
      <c r="Q555" s="54"/>
      <c r="R555" s="84"/>
      <c r="S555" s="84"/>
      <c r="T555" s="54"/>
      <c r="U555" s="86"/>
      <c r="V555" s="54"/>
      <c r="W555" s="86"/>
      <c r="X555" s="54"/>
      <c r="Y555" s="78"/>
      <c r="Z555" s="54"/>
      <c r="AA555" s="70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54"/>
      <c r="AR555" s="83"/>
      <c r="AS555" s="83"/>
      <c r="AT555" s="93"/>
      <c r="AU555" s="93"/>
      <c r="AV555" s="93"/>
      <c r="AW555" s="83"/>
      <c r="AX555" s="83"/>
      <c r="AY555" s="83"/>
      <c r="AZ555" s="83"/>
      <c r="BA555" s="83"/>
      <c r="BB555" s="83"/>
      <c r="BC555" s="54"/>
      <c r="BD555" s="54" t="str">
        <f t="shared" si="1"/>
        <v/>
      </c>
      <c r="BE555" s="67"/>
      <c r="BF555" s="67"/>
      <c r="BG555" s="67"/>
      <c r="BH555" s="67"/>
      <c r="BI555" s="67"/>
      <c r="BJ555" s="67"/>
      <c r="BK555" s="67"/>
      <c r="BL555" s="67"/>
      <c r="BM555" s="67"/>
      <c r="BN555" s="100"/>
      <c r="BO555" s="102"/>
      <c r="BP555" s="67"/>
      <c r="BQ555" s="79"/>
      <c r="BR555" s="67"/>
      <c r="BS555" s="102"/>
      <c r="BT555" s="106"/>
      <c r="BU555" s="107"/>
      <c r="BV555" s="108" t="str">
        <f t="shared" si="17"/>
        <v/>
      </c>
      <c r="BW555" s="108" t="str">
        <f t="shared" si="16"/>
        <v/>
      </c>
      <c r="BX555" s="102" t="str">
        <f t="shared" si="15"/>
        <v/>
      </c>
      <c r="BY555" s="107" t="str">
        <f t="shared" si="5"/>
        <v/>
      </c>
      <c r="BZ555" s="107" t="str">
        <f t="array" ref="BZ555">IF($A555&lt;&gt;"",INDEX(LISTA!$M$2:$N$27,MATCH($BC555,LISTA!$N$2:$N$27,0),1),"")</f>
        <v/>
      </c>
      <c r="CA555" s="67" t="str">
        <f t="shared" si="6"/>
        <v/>
      </c>
      <c r="CB555" s="114" t="str">
        <f t="shared" si="7"/>
        <v/>
      </c>
      <c r="CC555" s="114"/>
    </row>
    <row r="556" ht="15.0" customHeight="1">
      <c r="A556" s="59"/>
      <c r="B556" s="115"/>
      <c r="C556" s="54"/>
      <c r="D556" s="56"/>
      <c r="E556" s="69"/>
      <c r="F556" s="162"/>
      <c r="G556" s="60"/>
      <c r="H556" s="60"/>
      <c r="I556" s="67"/>
      <c r="J556" s="79"/>
      <c r="K556" s="67"/>
      <c r="L556" s="79"/>
      <c r="M556" s="83"/>
      <c r="N556" s="78"/>
      <c r="O556" s="80"/>
      <c r="P556" s="70"/>
      <c r="Q556" s="54"/>
      <c r="R556" s="84"/>
      <c r="S556" s="84"/>
      <c r="T556" s="54"/>
      <c r="U556" s="86"/>
      <c r="V556" s="54"/>
      <c r="W556" s="86"/>
      <c r="X556" s="54"/>
      <c r="Y556" s="78"/>
      <c r="Z556" s="54"/>
      <c r="AA556" s="70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54"/>
      <c r="AR556" s="83"/>
      <c r="AS556" s="83"/>
      <c r="AT556" s="93"/>
      <c r="AU556" s="93"/>
      <c r="AV556" s="93"/>
      <c r="AW556" s="83"/>
      <c r="AX556" s="83"/>
      <c r="AY556" s="83"/>
      <c r="AZ556" s="83"/>
      <c r="BA556" s="83"/>
      <c r="BB556" s="83"/>
      <c r="BC556" s="54"/>
      <c r="BD556" s="54" t="str">
        <f t="shared" si="1"/>
        <v/>
      </c>
      <c r="BE556" s="67"/>
      <c r="BF556" s="67"/>
      <c r="BG556" s="67"/>
      <c r="BH556" s="67"/>
      <c r="BI556" s="67"/>
      <c r="BJ556" s="67"/>
      <c r="BK556" s="67"/>
      <c r="BL556" s="67"/>
      <c r="BM556" s="67"/>
      <c r="BN556" s="100"/>
      <c r="BO556" s="102"/>
      <c r="BP556" s="67"/>
      <c r="BQ556" s="79"/>
      <c r="BR556" s="67"/>
      <c r="BS556" s="102"/>
      <c r="BT556" s="106"/>
      <c r="BU556" s="107"/>
      <c r="BV556" s="108" t="str">
        <f t="shared" si="17"/>
        <v/>
      </c>
      <c r="BW556" s="108" t="str">
        <f t="shared" si="16"/>
        <v/>
      </c>
      <c r="BX556" s="102" t="str">
        <f t="shared" si="15"/>
        <v/>
      </c>
      <c r="BY556" s="107" t="str">
        <f t="shared" si="5"/>
        <v/>
      </c>
      <c r="BZ556" s="107" t="str">
        <f t="array" ref="BZ556">IF($A556&lt;&gt;"",INDEX(LISTA!$M$2:$N$27,MATCH($BC556,LISTA!$N$2:$N$27,0),1),"")</f>
        <v/>
      </c>
      <c r="CA556" s="67" t="str">
        <f t="shared" si="6"/>
        <v/>
      </c>
      <c r="CB556" s="114" t="str">
        <f t="shared" si="7"/>
        <v/>
      </c>
      <c r="CC556" s="114"/>
    </row>
    <row r="557" ht="15.0" customHeight="1">
      <c r="A557" s="59"/>
      <c r="B557" s="115"/>
      <c r="C557" s="54"/>
      <c r="D557" s="56"/>
      <c r="E557" s="69"/>
      <c r="F557" s="162"/>
      <c r="G557" s="60"/>
      <c r="H557" s="60"/>
      <c r="I557" s="67"/>
      <c r="J557" s="79"/>
      <c r="K557" s="67"/>
      <c r="L557" s="79"/>
      <c r="M557" s="83"/>
      <c r="N557" s="78"/>
      <c r="O557" s="80"/>
      <c r="P557" s="70"/>
      <c r="Q557" s="54"/>
      <c r="R557" s="84"/>
      <c r="S557" s="84"/>
      <c r="T557" s="54"/>
      <c r="U557" s="86"/>
      <c r="V557" s="54"/>
      <c r="W557" s="86"/>
      <c r="X557" s="54"/>
      <c r="Y557" s="78"/>
      <c r="Z557" s="54"/>
      <c r="AA557" s="70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54"/>
      <c r="AR557" s="83"/>
      <c r="AS557" s="83"/>
      <c r="AT557" s="93"/>
      <c r="AU557" s="93"/>
      <c r="AV557" s="93"/>
      <c r="AW557" s="83"/>
      <c r="AX557" s="83"/>
      <c r="AY557" s="83"/>
      <c r="AZ557" s="83"/>
      <c r="BA557" s="83"/>
      <c r="BB557" s="83"/>
      <c r="BC557" s="54"/>
      <c r="BD557" s="54" t="str">
        <f t="shared" si="1"/>
        <v/>
      </c>
      <c r="BE557" s="67"/>
      <c r="BF557" s="67"/>
      <c r="BG557" s="67"/>
      <c r="BH557" s="67"/>
      <c r="BI557" s="67"/>
      <c r="BJ557" s="67"/>
      <c r="BK557" s="67"/>
      <c r="BL557" s="67"/>
      <c r="BM557" s="67"/>
      <c r="BN557" s="100"/>
      <c r="BO557" s="102"/>
      <c r="BP557" s="67"/>
      <c r="BQ557" s="79"/>
      <c r="BR557" s="67"/>
      <c r="BS557" s="102"/>
      <c r="BT557" s="106"/>
      <c r="BU557" s="107"/>
      <c r="BV557" s="108" t="str">
        <f t="shared" si="17"/>
        <v/>
      </c>
      <c r="BW557" s="108" t="str">
        <f t="shared" si="16"/>
        <v/>
      </c>
      <c r="BX557" s="102" t="str">
        <f t="shared" si="15"/>
        <v/>
      </c>
      <c r="BY557" s="107" t="str">
        <f t="shared" si="5"/>
        <v/>
      </c>
      <c r="BZ557" s="107" t="str">
        <f t="array" ref="BZ557">IF($A557&lt;&gt;"",INDEX(LISTA!$M$2:$N$27,MATCH($BC557,LISTA!$N$2:$N$27,0),1),"")</f>
        <v/>
      </c>
      <c r="CA557" s="67" t="str">
        <f t="shared" si="6"/>
        <v/>
      </c>
      <c r="CB557" s="114" t="str">
        <f t="shared" si="7"/>
        <v/>
      </c>
      <c r="CC557" s="114"/>
    </row>
    <row r="558" ht="15.0" customHeight="1">
      <c r="A558" s="59"/>
      <c r="B558" s="115"/>
      <c r="C558" s="54"/>
      <c r="D558" s="56"/>
      <c r="E558" s="69"/>
      <c r="F558" s="162"/>
      <c r="G558" s="60"/>
      <c r="H558" s="60"/>
      <c r="I558" s="67"/>
      <c r="J558" s="79"/>
      <c r="K558" s="67"/>
      <c r="L558" s="79"/>
      <c r="M558" s="83"/>
      <c r="N558" s="78"/>
      <c r="O558" s="80"/>
      <c r="P558" s="70"/>
      <c r="Q558" s="54"/>
      <c r="R558" s="84"/>
      <c r="S558" s="84"/>
      <c r="T558" s="54"/>
      <c r="U558" s="86"/>
      <c r="V558" s="54"/>
      <c r="W558" s="86"/>
      <c r="X558" s="54"/>
      <c r="Y558" s="78"/>
      <c r="Z558" s="54"/>
      <c r="AA558" s="70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54"/>
      <c r="AR558" s="83"/>
      <c r="AS558" s="83"/>
      <c r="AT558" s="93"/>
      <c r="AU558" s="93"/>
      <c r="AV558" s="93"/>
      <c r="AW558" s="83"/>
      <c r="AX558" s="83"/>
      <c r="AY558" s="83"/>
      <c r="AZ558" s="83"/>
      <c r="BA558" s="83"/>
      <c r="BB558" s="83"/>
      <c r="BC558" s="54"/>
      <c r="BD558" s="54" t="str">
        <f t="shared" si="1"/>
        <v/>
      </c>
      <c r="BE558" s="67"/>
      <c r="BF558" s="67"/>
      <c r="BG558" s="67"/>
      <c r="BH558" s="67"/>
      <c r="BI558" s="67"/>
      <c r="BJ558" s="67"/>
      <c r="BK558" s="67"/>
      <c r="BL558" s="67"/>
      <c r="BM558" s="67"/>
      <c r="BN558" s="100"/>
      <c r="BO558" s="102"/>
      <c r="BP558" s="67"/>
      <c r="BQ558" s="79"/>
      <c r="BR558" s="67"/>
      <c r="BS558" s="102"/>
      <c r="BT558" s="106"/>
      <c r="BU558" s="107"/>
      <c r="BV558" s="108" t="str">
        <f t="shared" si="17"/>
        <v/>
      </c>
      <c r="BW558" s="108" t="str">
        <f t="shared" si="16"/>
        <v/>
      </c>
      <c r="BX558" s="102" t="str">
        <f t="shared" si="15"/>
        <v/>
      </c>
      <c r="BY558" s="107" t="str">
        <f t="shared" si="5"/>
        <v/>
      </c>
      <c r="BZ558" s="107" t="str">
        <f t="array" ref="BZ558">IF($A558&lt;&gt;"",INDEX(LISTA!$M$2:$N$27,MATCH($BC558,LISTA!$N$2:$N$27,0),1),"")</f>
        <v/>
      </c>
      <c r="CA558" s="67" t="str">
        <f t="shared" si="6"/>
        <v/>
      </c>
      <c r="CB558" s="114" t="str">
        <f t="shared" si="7"/>
        <v/>
      </c>
      <c r="CC558" s="114"/>
    </row>
    <row r="559" ht="15.0" customHeight="1">
      <c r="A559" s="59"/>
      <c r="B559" s="115"/>
      <c r="C559" s="54"/>
      <c r="D559" s="56"/>
      <c r="E559" s="69"/>
      <c r="F559" s="162"/>
      <c r="G559" s="60"/>
      <c r="H559" s="60"/>
      <c r="I559" s="67"/>
      <c r="J559" s="79"/>
      <c r="K559" s="67"/>
      <c r="L559" s="79"/>
      <c r="M559" s="83"/>
      <c r="N559" s="78"/>
      <c r="O559" s="80"/>
      <c r="P559" s="70"/>
      <c r="Q559" s="54"/>
      <c r="R559" s="84"/>
      <c r="S559" s="84"/>
      <c r="T559" s="54"/>
      <c r="U559" s="86"/>
      <c r="V559" s="54"/>
      <c r="W559" s="86"/>
      <c r="X559" s="54"/>
      <c r="Y559" s="78"/>
      <c r="Z559" s="54"/>
      <c r="AA559" s="70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54"/>
      <c r="AR559" s="83"/>
      <c r="AS559" s="83"/>
      <c r="AT559" s="93"/>
      <c r="AU559" s="93"/>
      <c r="AV559" s="93"/>
      <c r="AW559" s="83"/>
      <c r="AX559" s="83"/>
      <c r="AY559" s="83"/>
      <c r="AZ559" s="83"/>
      <c r="BA559" s="83"/>
      <c r="BB559" s="83"/>
      <c r="BC559" s="54"/>
      <c r="BD559" s="54" t="str">
        <f t="shared" si="1"/>
        <v/>
      </c>
      <c r="BE559" s="67"/>
      <c r="BF559" s="67"/>
      <c r="BG559" s="67"/>
      <c r="BH559" s="67"/>
      <c r="BI559" s="67"/>
      <c r="BJ559" s="67"/>
      <c r="BK559" s="67"/>
      <c r="BL559" s="67"/>
      <c r="BM559" s="67"/>
      <c r="BN559" s="100"/>
      <c r="BO559" s="102"/>
      <c r="BP559" s="67"/>
      <c r="BQ559" s="79"/>
      <c r="BR559" s="67"/>
      <c r="BS559" s="102"/>
      <c r="BT559" s="106"/>
      <c r="BU559" s="107"/>
      <c r="BV559" s="108" t="str">
        <f t="shared" si="17"/>
        <v/>
      </c>
      <c r="BW559" s="108" t="str">
        <f t="shared" si="16"/>
        <v/>
      </c>
      <c r="BX559" s="102" t="str">
        <f t="shared" si="15"/>
        <v/>
      </c>
      <c r="BY559" s="107" t="str">
        <f t="shared" si="5"/>
        <v/>
      </c>
      <c r="BZ559" s="107" t="str">
        <f t="array" ref="BZ559">IF($A559&lt;&gt;"",INDEX(LISTA!$M$2:$N$27,MATCH($BC559,LISTA!$N$2:$N$27,0),1),"")</f>
        <v/>
      </c>
      <c r="CA559" s="67" t="str">
        <f t="shared" si="6"/>
        <v/>
      </c>
      <c r="CB559" s="114" t="str">
        <f t="shared" si="7"/>
        <v/>
      </c>
      <c r="CC559" s="114"/>
    </row>
    <row r="560" ht="15.0" customHeight="1">
      <c r="A560" s="59"/>
      <c r="B560" s="115"/>
      <c r="C560" s="54"/>
      <c r="D560" s="56"/>
      <c r="E560" s="69"/>
      <c r="F560" s="162"/>
      <c r="G560" s="60"/>
      <c r="H560" s="60"/>
      <c r="I560" s="67"/>
      <c r="J560" s="79"/>
      <c r="K560" s="67"/>
      <c r="L560" s="79"/>
      <c r="M560" s="83"/>
      <c r="N560" s="78"/>
      <c r="O560" s="80"/>
      <c r="P560" s="70"/>
      <c r="Q560" s="54"/>
      <c r="R560" s="84"/>
      <c r="S560" s="84"/>
      <c r="T560" s="54"/>
      <c r="U560" s="86"/>
      <c r="V560" s="54"/>
      <c r="W560" s="86"/>
      <c r="X560" s="54"/>
      <c r="Y560" s="78"/>
      <c r="Z560" s="54"/>
      <c r="AA560" s="70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54"/>
      <c r="AR560" s="83"/>
      <c r="AS560" s="83"/>
      <c r="AT560" s="93"/>
      <c r="AU560" s="93"/>
      <c r="AV560" s="93"/>
      <c r="AW560" s="83"/>
      <c r="AX560" s="83"/>
      <c r="AY560" s="83"/>
      <c r="AZ560" s="83"/>
      <c r="BA560" s="83"/>
      <c r="BB560" s="83"/>
      <c r="BC560" s="54"/>
      <c r="BD560" s="54" t="str">
        <f t="shared" si="1"/>
        <v/>
      </c>
      <c r="BE560" s="67"/>
      <c r="BF560" s="67"/>
      <c r="BG560" s="67"/>
      <c r="BH560" s="67"/>
      <c r="BI560" s="67"/>
      <c r="BJ560" s="67"/>
      <c r="BK560" s="67"/>
      <c r="BL560" s="67"/>
      <c r="BM560" s="67"/>
      <c r="BN560" s="100"/>
      <c r="BO560" s="102"/>
      <c r="BP560" s="67"/>
      <c r="BQ560" s="79"/>
      <c r="BR560" s="67"/>
      <c r="BS560" s="102"/>
      <c r="BT560" s="106"/>
      <c r="BU560" s="107"/>
      <c r="BV560" s="108" t="str">
        <f t="shared" si="17"/>
        <v/>
      </c>
      <c r="BW560" s="108" t="str">
        <f t="shared" si="16"/>
        <v/>
      </c>
      <c r="BX560" s="102" t="str">
        <f t="shared" si="15"/>
        <v/>
      </c>
      <c r="BY560" s="107" t="str">
        <f t="shared" si="5"/>
        <v/>
      </c>
      <c r="BZ560" s="107" t="str">
        <f t="array" ref="BZ560">IF($A560&lt;&gt;"",INDEX(LISTA!$M$2:$N$27,MATCH($BC560,LISTA!$N$2:$N$27,0),1),"")</f>
        <v/>
      </c>
      <c r="CA560" s="67" t="str">
        <f t="shared" si="6"/>
        <v/>
      </c>
      <c r="CB560" s="114" t="str">
        <f t="shared" si="7"/>
        <v/>
      </c>
      <c r="CC560" s="114"/>
    </row>
    <row r="561" ht="15.0" customHeight="1">
      <c r="A561" s="59"/>
      <c r="B561" s="115"/>
      <c r="C561" s="54"/>
      <c r="D561" s="56"/>
      <c r="E561" s="69"/>
      <c r="F561" s="162"/>
      <c r="G561" s="60"/>
      <c r="H561" s="60"/>
      <c r="I561" s="67"/>
      <c r="J561" s="79"/>
      <c r="K561" s="67"/>
      <c r="L561" s="79"/>
      <c r="M561" s="83"/>
      <c r="N561" s="78"/>
      <c r="O561" s="80"/>
      <c r="P561" s="70"/>
      <c r="Q561" s="54"/>
      <c r="R561" s="84"/>
      <c r="S561" s="84"/>
      <c r="T561" s="54"/>
      <c r="U561" s="86"/>
      <c r="V561" s="54"/>
      <c r="W561" s="86"/>
      <c r="X561" s="54"/>
      <c r="Y561" s="78"/>
      <c r="Z561" s="54"/>
      <c r="AA561" s="70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54"/>
      <c r="AR561" s="83"/>
      <c r="AS561" s="83"/>
      <c r="AT561" s="93"/>
      <c r="AU561" s="93"/>
      <c r="AV561" s="93"/>
      <c r="AW561" s="83"/>
      <c r="AX561" s="83"/>
      <c r="AY561" s="83"/>
      <c r="AZ561" s="83"/>
      <c r="BA561" s="83"/>
      <c r="BB561" s="83"/>
      <c r="BC561" s="54"/>
      <c r="BD561" s="54" t="str">
        <f t="shared" si="1"/>
        <v/>
      </c>
      <c r="BE561" s="67"/>
      <c r="BF561" s="67"/>
      <c r="BG561" s="67"/>
      <c r="BH561" s="67"/>
      <c r="BI561" s="67"/>
      <c r="BJ561" s="67"/>
      <c r="BK561" s="67"/>
      <c r="BL561" s="67"/>
      <c r="BM561" s="67"/>
      <c r="BN561" s="100"/>
      <c r="BO561" s="102"/>
      <c r="BP561" s="67"/>
      <c r="BQ561" s="79"/>
      <c r="BR561" s="67"/>
      <c r="BS561" s="102"/>
      <c r="BT561" s="106"/>
      <c r="BU561" s="107"/>
      <c r="BV561" s="108" t="str">
        <f t="shared" si="17"/>
        <v/>
      </c>
      <c r="BW561" s="108" t="str">
        <f t="shared" si="16"/>
        <v/>
      </c>
      <c r="BX561" s="102" t="str">
        <f t="shared" si="15"/>
        <v/>
      </c>
      <c r="BY561" s="107" t="str">
        <f t="shared" si="5"/>
        <v/>
      </c>
      <c r="BZ561" s="107" t="str">
        <f t="array" ref="BZ561">IF($A561&lt;&gt;"",INDEX(LISTA!$M$2:$N$27,MATCH($BC561,LISTA!$N$2:$N$27,0),1),"")</f>
        <v/>
      </c>
      <c r="CA561" s="67" t="str">
        <f t="shared" si="6"/>
        <v/>
      </c>
      <c r="CB561" s="114" t="str">
        <f t="shared" si="7"/>
        <v/>
      </c>
      <c r="CC561" s="114"/>
    </row>
    <row r="562" ht="15.0" customHeight="1">
      <c r="A562" s="59"/>
      <c r="B562" s="115"/>
      <c r="C562" s="54"/>
      <c r="D562" s="56"/>
      <c r="E562" s="69"/>
      <c r="F562" s="162"/>
      <c r="G562" s="60"/>
      <c r="H562" s="60"/>
      <c r="I562" s="67"/>
      <c r="J562" s="79"/>
      <c r="K562" s="67"/>
      <c r="L562" s="79"/>
      <c r="M562" s="83"/>
      <c r="N562" s="78"/>
      <c r="O562" s="80"/>
      <c r="P562" s="70"/>
      <c r="Q562" s="54"/>
      <c r="R562" s="84"/>
      <c r="S562" s="84"/>
      <c r="T562" s="54"/>
      <c r="U562" s="86"/>
      <c r="V562" s="54"/>
      <c r="W562" s="86"/>
      <c r="X562" s="54"/>
      <c r="Y562" s="78"/>
      <c r="Z562" s="54"/>
      <c r="AA562" s="70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54"/>
      <c r="AR562" s="83"/>
      <c r="AS562" s="83"/>
      <c r="AT562" s="93"/>
      <c r="AU562" s="93"/>
      <c r="AV562" s="93"/>
      <c r="AW562" s="83"/>
      <c r="AX562" s="83"/>
      <c r="AY562" s="83"/>
      <c r="AZ562" s="83"/>
      <c r="BA562" s="83"/>
      <c r="BB562" s="83"/>
      <c r="BC562" s="54"/>
      <c r="BD562" s="54" t="str">
        <f t="shared" si="1"/>
        <v/>
      </c>
      <c r="BE562" s="67"/>
      <c r="BF562" s="67"/>
      <c r="BG562" s="67"/>
      <c r="BH562" s="67"/>
      <c r="BI562" s="67"/>
      <c r="BJ562" s="67"/>
      <c r="BK562" s="67"/>
      <c r="BL562" s="67"/>
      <c r="BM562" s="67"/>
      <c r="BN562" s="100"/>
      <c r="BO562" s="102"/>
      <c r="BP562" s="67"/>
      <c r="BQ562" s="79"/>
      <c r="BR562" s="67"/>
      <c r="BS562" s="102"/>
      <c r="BT562" s="106"/>
      <c r="BU562" s="107"/>
      <c r="BV562" s="108" t="str">
        <f t="shared" si="17"/>
        <v/>
      </c>
      <c r="BW562" s="108" t="str">
        <f t="shared" si="16"/>
        <v/>
      </c>
      <c r="BX562" s="102" t="str">
        <f t="shared" si="15"/>
        <v/>
      </c>
      <c r="BY562" s="107" t="str">
        <f t="shared" si="5"/>
        <v/>
      </c>
      <c r="BZ562" s="107" t="str">
        <f t="array" ref="BZ562">IF($A562&lt;&gt;"",INDEX(LISTA!$M$2:$N$27,MATCH($BC562,LISTA!$N$2:$N$27,0),1),"")</f>
        <v/>
      </c>
      <c r="CA562" s="67" t="str">
        <f t="shared" si="6"/>
        <v/>
      </c>
      <c r="CB562" s="114" t="str">
        <f t="shared" si="7"/>
        <v/>
      </c>
      <c r="CC562" s="114"/>
    </row>
    <row r="563" ht="15.0" customHeight="1">
      <c r="A563" s="59"/>
      <c r="B563" s="115"/>
      <c r="C563" s="54"/>
      <c r="D563" s="56"/>
      <c r="E563" s="69"/>
      <c r="F563" s="162"/>
      <c r="G563" s="60"/>
      <c r="H563" s="60"/>
      <c r="I563" s="67"/>
      <c r="J563" s="79"/>
      <c r="K563" s="67"/>
      <c r="L563" s="79"/>
      <c r="M563" s="83"/>
      <c r="N563" s="78"/>
      <c r="O563" s="80"/>
      <c r="P563" s="70"/>
      <c r="Q563" s="54"/>
      <c r="R563" s="84"/>
      <c r="S563" s="84"/>
      <c r="T563" s="54"/>
      <c r="U563" s="86"/>
      <c r="V563" s="54"/>
      <c r="W563" s="86"/>
      <c r="X563" s="54"/>
      <c r="Y563" s="78"/>
      <c r="Z563" s="54"/>
      <c r="AA563" s="70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54"/>
      <c r="AR563" s="83"/>
      <c r="AS563" s="83"/>
      <c r="AT563" s="93"/>
      <c r="AU563" s="93"/>
      <c r="AV563" s="93"/>
      <c r="AW563" s="83"/>
      <c r="AX563" s="83"/>
      <c r="AY563" s="83"/>
      <c r="AZ563" s="83"/>
      <c r="BA563" s="83"/>
      <c r="BB563" s="83"/>
      <c r="BC563" s="54"/>
      <c r="BD563" s="54" t="str">
        <f t="shared" si="1"/>
        <v/>
      </c>
      <c r="BE563" s="67"/>
      <c r="BF563" s="67"/>
      <c r="BG563" s="67"/>
      <c r="BH563" s="67"/>
      <c r="BI563" s="67"/>
      <c r="BJ563" s="67"/>
      <c r="BK563" s="67"/>
      <c r="BL563" s="67"/>
      <c r="BM563" s="67"/>
      <c r="BN563" s="100"/>
      <c r="BO563" s="102"/>
      <c r="BP563" s="67"/>
      <c r="BQ563" s="79"/>
      <c r="BR563" s="67"/>
      <c r="BS563" s="102"/>
      <c r="BT563" s="106"/>
      <c r="BU563" s="107"/>
      <c r="BV563" s="108" t="str">
        <f t="shared" si="17"/>
        <v/>
      </c>
      <c r="BW563" s="108" t="str">
        <f t="shared" si="16"/>
        <v/>
      </c>
      <c r="BX563" s="102" t="str">
        <f t="shared" si="15"/>
        <v/>
      </c>
      <c r="BY563" s="107" t="str">
        <f t="shared" si="5"/>
        <v/>
      </c>
      <c r="BZ563" s="107" t="str">
        <f t="array" ref="BZ563">IF($A563&lt;&gt;"",INDEX(LISTA!$M$2:$N$27,MATCH($BC563,LISTA!$N$2:$N$27,0),1),"")</f>
        <v/>
      </c>
      <c r="CA563" s="67" t="str">
        <f t="shared" si="6"/>
        <v/>
      </c>
      <c r="CB563" s="114" t="str">
        <f t="shared" si="7"/>
        <v/>
      </c>
      <c r="CC563" s="114"/>
    </row>
    <row r="564" ht="15.0" customHeight="1">
      <c r="A564" s="59"/>
      <c r="B564" s="115"/>
      <c r="C564" s="54"/>
      <c r="D564" s="56"/>
      <c r="E564" s="69"/>
      <c r="F564" s="162"/>
      <c r="G564" s="60"/>
      <c r="H564" s="60"/>
      <c r="I564" s="67"/>
      <c r="J564" s="79"/>
      <c r="K564" s="67"/>
      <c r="L564" s="79"/>
      <c r="M564" s="83"/>
      <c r="N564" s="78"/>
      <c r="O564" s="80"/>
      <c r="P564" s="70"/>
      <c r="Q564" s="54"/>
      <c r="R564" s="84"/>
      <c r="S564" s="84"/>
      <c r="T564" s="54"/>
      <c r="U564" s="86"/>
      <c r="V564" s="54"/>
      <c r="W564" s="86"/>
      <c r="X564" s="54"/>
      <c r="Y564" s="78"/>
      <c r="Z564" s="54"/>
      <c r="AA564" s="70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54"/>
      <c r="AR564" s="83"/>
      <c r="AS564" s="83"/>
      <c r="AT564" s="93"/>
      <c r="AU564" s="93"/>
      <c r="AV564" s="93"/>
      <c r="AW564" s="83"/>
      <c r="AX564" s="83"/>
      <c r="AY564" s="83"/>
      <c r="AZ564" s="83"/>
      <c r="BA564" s="83"/>
      <c r="BB564" s="83"/>
      <c r="BC564" s="54"/>
      <c r="BD564" s="54" t="str">
        <f t="shared" si="1"/>
        <v/>
      </c>
      <c r="BE564" s="67"/>
      <c r="BF564" s="67"/>
      <c r="BG564" s="67"/>
      <c r="BH564" s="67"/>
      <c r="BI564" s="67"/>
      <c r="BJ564" s="67"/>
      <c r="BK564" s="67"/>
      <c r="BL564" s="67"/>
      <c r="BM564" s="67"/>
      <c r="BN564" s="100"/>
      <c r="BO564" s="102"/>
      <c r="BP564" s="67"/>
      <c r="BQ564" s="79"/>
      <c r="BR564" s="67"/>
      <c r="BS564" s="102"/>
      <c r="BT564" s="106"/>
      <c r="BU564" s="107"/>
      <c r="BV564" s="108" t="str">
        <f t="shared" si="17"/>
        <v/>
      </c>
      <c r="BW564" s="108" t="str">
        <f t="shared" si="16"/>
        <v/>
      </c>
      <c r="BX564" s="102" t="str">
        <f t="shared" si="15"/>
        <v/>
      </c>
      <c r="BY564" s="107" t="str">
        <f t="shared" si="5"/>
        <v/>
      </c>
      <c r="BZ564" s="107" t="str">
        <f t="array" ref="BZ564">IF($A564&lt;&gt;"",INDEX(LISTA!$M$2:$N$27,MATCH($BC564,LISTA!$N$2:$N$27,0),1),"")</f>
        <v/>
      </c>
      <c r="CA564" s="67" t="str">
        <f t="shared" si="6"/>
        <v/>
      </c>
      <c r="CB564" s="114" t="str">
        <f t="shared" si="7"/>
        <v/>
      </c>
      <c r="CC564" s="114"/>
    </row>
    <row r="565" ht="15.0" customHeight="1">
      <c r="A565" s="59"/>
      <c r="B565" s="115"/>
      <c r="C565" s="54"/>
      <c r="D565" s="56"/>
      <c r="E565" s="69"/>
      <c r="F565" s="162"/>
      <c r="G565" s="60"/>
      <c r="H565" s="60"/>
      <c r="I565" s="67"/>
      <c r="J565" s="79"/>
      <c r="K565" s="67"/>
      <c r="L565" s="79"/>
      <c r="M565" s="83"/>
      <c r="N565" s="78"/>
      <c r="O565" s="80"/>
      <c r="P565" s="70"/>
      <c r="Q565" s="54"/>
      <c r="R565" s="84"/>
      <c r="S565" s="84"/>
      <c r="T565" s="54"/>
      <c r="U565" s="86"/>
      <c r="V565" s="54"/>
      <c r="W565" s="86"/>
      <c r="X565" s="54"/>
      <c r="Y565" s="78"/>
      <c r="Z565" s="54"/>
      <c r="AA565" s="70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54"/>
      <c r="AR565" s="83"/>
      <c r="AS565" s="83"/>
      <c r="AT565" s="93"/>
      <c r="AU565" s="93"/>
      <c r="AV565" s="93"/>
      <c r="AW565" s="83"/>
      <c r="AX565" s="83"/>
      <c r="AY565" s="83"/>
      <c r="AZ565" s="83"/>
      <c r="BA565" s="83"/>
      <c r="BB565" s="83"/>
      <c r="BC565" s="54"/>
      <c r="BD565" s="54" t="str">
        <f t="shared" si="1"/>
        <v/>
      </c>
      <c r="BE565" s="67"/>
      <c r="BF565" s="67"/>
      <c r="BG565" s="67"/>
      <c r="BH565" s="67"/>
      <c r="BI565" s="67"/>
      <c r="BJ565" s="67"/>
      <c r="BK565" s="67"/>
      <c r="BL565" s="67"/>
      <c r="BM565" s="67"/>
      <c r="BN565" s="100"/>
      <c r="BO565" s="102"/>
      <c r="BP565" s="67"/>
      <c r="BQ565" s="79"/>
      <c r="BR565" s="67"/>
      <c r="BS565" s="102"/>
      <c r="BT565" s="106"/>
      <c r="BU565" s="107"/>
      <c r="BV565" s="108" t="str">
        <f t="shared" si="17"/>
        <v/>
      </c>
      <c r="BW565" s="108" t="str">
        <f t="shared" si="16"/>
        <v/>
      </c>
      <c r="BX565" s="102" t="str">
        <f t="shared" si="15"/>
        <v/>
      </c>
      <c r="BY565" s="107" t="str">
        <f t="shared" si="5"/>
        <v/>
      </c>
      <c r="BZ565" s="107" t="str">
        <f t="array" ref="BZ565">IF($A565&lt;&gt;"",INDEX(LISTA!$M$2:$N$27,MATCH($BC565,LISTA!$N$2:$N$27,0),1),"")</f>
        <v/>
      </c>
      <c r="CA565" s="67" t="str">
        <f t="shared" si="6"/>
        <v/>
      </c>
      <c r="CB565" s="114" t="str">
        <f t="shared" si="7"/>
        <v/>
      </c>
      <c r="CC565" s="114"/>
    </row>
    <row r="566" ht="15.0" customHeight="1">
      <c r="A566" s="59"/>
      <c r="B566" s="115"/>
      <c r="C566" s="54"/>
      <c r="D566" s="56"/>
      <c r="E566" s="69"/>
      <c r="F566" s="162"/>
      <c r="G566" s="60"/>
      <c r="H566" s="60"/>
      <c r="I566" s="67"/>
      <c r="J566" s="79"/>
      <c r="K566" s="67"/>
      <c r="L566" s="79"/>
      <c r="M566" s="83"/>
      <c r="N566" s="78"/>
      <c r="O566" s="80"/>
      <c r="P566" s="70"/>
      <c r="Q566" s="54"/>
      <c r="R566" s="84"/>
      <c r="S566" s="84"/>
      <c r="T566" s="54"/>
      <c r="U566" s="86"/>
      <c r="V566" s="54"/>
      <c r="W566" s="86"/>
      <c r="X566" s="54"/>
      <c r="Y566" s="78"/>
      <c r="Z566" s="54"/>
      <c r="AA566" s="70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54"/>
      <c r="AR566" s="83"/>
      <c r="AS566" s="83"/>
      <c r="AT566" s="93"/>
      <c r="AU566" s="93"/>
      <c r="AV566" s="93"/>
      <c r="AW566" s="83"/>
      <c r="AX566" s="83"/>
      <c r="AY566" s="83"/>
      <c r="AZ566" s="83"/>
      <c r="BA566" s="83"/>
      <c r="BB566" s="83"/>
      <c r="BC566" s="54"/>
      <c r="BD566" s="54" t="str">
        <f t="shared" si="1"/>
        <v/>
      </c>
      <c r="BE566" s="67"/>
      <c r="BF566" s="67"/>
      <c r="BG566" s="67"/>
      <c r="BH566" s="67"/>
      <c r="BI566" s="67"/>
      <c r="BJ566" s="67"/>
      <c r="BK566" s="67"/>
      <c r="BL566" s="67"/>
      <c r="BM566" s="67"/>
      <c r="BN566" s="100"/>
      <c r="BO566" s="102"/>
      <c r="BP566" s="67"/>
      <c r="BQ566" s="79"/>
      <c r="BR566" s="67"/>
      <c r="BS566" s="102"/>
      <c r="BT566" s="106"/>
      <c r="BU566" s="107"/>
      <c r="BV566" s="108" t="str">
        <f t="shared" si="17"/>
        <v/>
      </c>
      <c r="BW566" s="108" t="str">
        <f t="shared" si="16"/>
        <v/>
      </c>
      <c r="BX566" s="102" t="str">
        <f t="shared" si="15"/>
        <v/>
      </c>
      <c r="BY566" s="107" t="str">
        <f t="shared" si="5"/>
        <v/>
      </c>
      <c r="BZ566" s="107" t="str">
        <f t="array" ref="BZ566">IF($A566&lt;&gt;"",INDEX(LISTA!$M$2:$N$27,MATCH($BC566,LISTA!$N$2:$N$27,0),1),"")</f>
        <v/>
      </c>
      <c r="CA566" s="67" t="str">
        <f t="shared" si="6"/>
        <v/>
      </c>
      <c r="CB566" s="114" t="str">
        <f t="shared" si="7"/>
        <v/>
      </c>
      <c r="CC566" s="114"/>
    </row>
    <row r="567" ht="15.0" customHeight="1">
      <c r="A567" s="59"/>
      <c r="B567" s="115"/>
      <c r="C567" s="54"/>
      <c r="D567" s="56"/>
      <c r="E567" s="69"/>
      <c r="F567" s="162"/>
      <c r="G567" s="60"/>
      <c r="H567" s="60"/>
      <c r="I567" s="67"/>
      <c r="J567" s="79"/>
      <c r="K567" s="67"/>
      <c r="L567" s="79"/>
      <c r="M567" s="83"/>
      <c r="N567" s="78"/>
      <c r="O567" s="80"/>
      <c r="P567" s="70"/>
      <c r="Q567" s="54"/>
      <c r="R567" s="84"/>
      <c r="S567" s="84"/>
      <c r="T567" s="54"/>
      <c r="U567" s="86"/>
      <c r="V567" s="54"/>
      <c r="W567" s="86"/>
      <c r="X567" s="54"/>
      <c r="Y567" s="78"/>
      <c r="Z567" s="54"/>
      <c r="AA567" s="70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54"/>
      <c r="AR567" s="83"/>
      <c r="AS567" s="83"/>
      <c r="AT567" s="93"/>
      <c r="AU567" s="93"/>
      <c r="AV567" s="93"/>
      <c r="AW567" s="83"/>
      <c r="AX567" s="83"/>
      <c r="AY567" s="83"/>
      <c r="AZ567" s="83"/>
      <c r="BA567" s="83"/>
      <c r="BB567" s="83"/>
      <c r="BC567" s="54"/>
      <c r="BD567" s="54" t="str">
        <f t="shared" si="1"/>
        <v/>
      </c>
      <c r="BE567" s="67"/>
      <c r="BF567" s="67"/>
      <c r="BG567" s="67"/>
      <c r="BH567" s="67"/>
      <c r="BI567" s="67"/>
      <c r="BJ567" s="67"/>
      <c r="BK567" s="67"/>
      <c r="BL567" s="67"/>
      <c r="BM567" s="67"/>
      <c r="BN567" s="100"/>
      <c r="BO567" s="102"/>
      <c r="BP567" s="67"/>
      <c r="BQ567" s="79"/>
      <c r="BR567" s="67"/>
      <c r="BS567" s="102"/>
      <c r="BT567" s="106"/>
      <c r="BU567" s="107"/>
      <c r="BV567" s="108" t="str">
        <f t="shared" si="17"/>
        <v/>
      </c>
      <c r="BW567" s="108" t="str">
        <f t="shared" si="16"/>
        <v/>
      </c>
      <c r="BX567" s="102" t="str">
        <f t="shared" si="15"/>
        <v/>
      </c>
      <c r="BY567" s="107" t="str">
        <f t="shared" si="5"/>
        <v/>
      </c>
      <c r="BZ567" s="107" t="str">
        <f t="array" ref="BZ567">IF($A567&lt;&gt;"",INDEX(LISTA!$M$2:$N$27,MATCH($BC567,LISTA!$N$2:$N$27,0),1),"")</f>
        <v/>
      </c>
      <c r="CA567" s="67" t="str">
        <f t="shared" si="6"/>
        <v/>
      </c>
      <c r="CB567" s="114" t="str">
        <f t="shared" si="7"/>
        <v/>
      </c>
      <c r="CC567" s="114"/>
    </row>
    <row r="568" ht="15.0" customHeight="1">
      <c r="A568" s="59"/>
      <c r="B568" s="115"/>
      <c r="C568" s="54"/>
      <c r="D568" s="56"/>
      <c r="E568" s="69"/>
      <c r="F568" s="162"/>
      <c r="G568" s="60"/>
      <c r="H568" s="60"/>
      <c r="I568" s="67"/>
      <c r="J568" s="79"/>
      <c r="K568" s="67"/>
      <c r="L568" s="79"/>
      <c r="M568" s="83"/>
      <c r="N568" s="78"/>
      <c r="O568" s="80"/>
      <c r="P568" s="70"/>
      <c r="Q568" s="54"/>
      <c r="R568" s="84"/>
      <c r="S568" s="84"/>
      <c r="T568" s="54"/>
      <c r="U568" s="86"/>
      <c r="V568" s="54"/>
      <c r="W568" s="86"/>
      <c r="X568" s="54"/>
      <c r="Y568" s="78"/>
      <c r="Z568" s="54"/>
      <c r="AA568" s="70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54"/>
      <c r="AR568" s="83"/>
      <c r="AS568" s="83"/>
      <c r="AT568" s="93"/>
      <c r="AU568" s="93"/>
      <c r="AV568" s="93"/>
      <c r="AW568" s="83"/>
      <c r="AX568" s="83"/>
      <c r="AY568" s="83"/>
      <c r="AZ568" s="83"/>
      <c r="BA568" s="83"/>
      <c r="BB568" s="83"/>
      <c r="BC568" s="54"/>
      <c r="BD568" s="54" t="str">
        <f t="shared" si="1"/>
        <v/>
      </c>
      <c r="BE568" s="67"/>
      <c r="BF568" s="67"/>
      <c r="BG568" s="67"/>
      <c r="BH568" s="67"/>
      <c r="BI568" s="67"/>
      <c r="BJ568" s="67"/>
      <c r="BK568" s="67"/>
      <c r="BL568" s="67"/>
      <c r="BM568" s="67"/>
      <c r="BN568" s="100"/>
      <c r="BO568" s="102"/>
      <c r="BP568" s="67"/>
      <c r="BQ568" s="79"/>
      <c r="BR568" s="67"/>
      <c r="BS568" s="102"/>
      <c r="BT568" s="106"/>
      <c r="BU568" s="107"/>
      <c r="BV568" s="108" t="str">
        <f t="shared" si="17"/>
        <v/>
      </c>
      <c r="BW568" s="108" t="str">
        <f t="shared" si="16"/>
        <v/>
      </c>
      <c r="BX568" s="102" t="str">
        <f t="shared" si="15"/>
        <v/>
      </c>
      <c r="BY568" s="107" t="str">
        <f t="shared" si="5"/>
        <v/>
      </c>
      <c r="BZ568" s="107" t="str">
        <f t="array" ref="BZ568">IF($A568&lt;&gt;"",INDEX(LISTA!$M$2:$N$27,MATCH($BC568,LISTA!$N$2:$N$27,0),1),"")</f>
        <v/>
      </c>
      <c r="CA568" s="67" t="str">
        <f t="shared" si="6"/>
        <v/>
      </c>
      <c r="CB568" s="114" t="str">
        <f t="shared" si="7"/>
        <v/>
      </c>
      <c r="CC568" s="114"/>
    </row>
    <row r="569" ht="15.0" customHeight="1">
      <c r="A569" s="59"/>
      <c r="B569" s="115"/>
      <c r="C569" s="54"/>
      <c r="D569" s="56"/>
      <c r="E569" s="69"/>
      <c r="F569" s="162"/>
      <c r="G569" s="60"/>
      <c r="H569" s="60"/>
      <c r="I569" s="67"/>
      <c r="J569" s="79"/>
      <c r="K569" s="67"/>
      <c r="L569" s="79"/>
      <c r="M569" s="83"/>
      <c r="N569" s="78"/>
      <c r="O569" s="80"/>
      <c r="P569" s="70"/>
      <c r="Q569" s="54"/>
      <c r="R569" s="84"/>
      <c r="S569" s="84"/>
      <c r="T569" s="54"/>
      <c r="U569" s="86"/>
      <c r="V569" s="54"/>
      <c r="W569" s="86"/>
      <c r="X569" s="54"/>
      <c r="Y569" s="78"/>
      <c r="Z569" s="54"/>
      <c r="AA569" s="70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54"/>
      <c r="AR569" s="83"/>
      <c r="AS569" s="83"/>
      <c r="AT569" s="93"/>
      <c r="AU569" s="93"/>
      <c r="AV569" s="93"/>
      <c r="AW569" s="83"/>
      <c r="AX569" s="83"/>
      <c r="AY569" s="83"/>
      <c r="AZ569" s="83"/>
      <c r="BA569" s="83"/>
      <c r="BB569" s="83"/>
      <c r="BC569" s="54"/>
      <c r="BD569" s="54" t="str">
        <f t="shared" si="1"/>
        <v/>
      </c>
      <c r="BE569" s="67"/>
      <c r="BF569" s="67"/>
      <c r="BG569" s="67"/>
      <c r="BH569" s="67"/>
      <c r="BI569" s="67"/>
      <c r="BJ569" s="67"/>
      <c r="BK569" s="67"/>
      <c r="BL569" s="67"/>
      <c r="BM569" s="67"/>
      <c r="BN569" s="100"/>
      <c r="BO569" s="102"/>
      <c r="BP569" s="67"/>
      <c r="BQ569" s="79"/>
      <c r="BR569" s="67"/>
      <c r="BS569" s="102"/>
      <c r="BT569" s="106"/>
      <c r="BU569" s="107"/>
      <c r="BV569" s="108" t="str">
        <f t="shared" si="17"/>
        <v/>
      </c>
      <c r="BW569" s="108" t="str">
        <f t="shared" si="16"/>
        <v/>
      </c>
      <c r="BX569" s="102" t="str">
        <f t="shared" si="15"/>
        <v/>
      </c>
      <c r="BY569" s="107" t="str">
        <f t="shared" si="5"/>
        <v/>
      </c>
      <c r="BZ569" s="107" t="str">
        <f t="array" ref="BZ569">IF($A569&lt;&gt;"",INDEX(LISTA!$M$2:$N$27,MATCH($BC569,LISTA!$N$2:$N$27,0),1),"")</f>
        <v/>
      </c>
      <c r="CA569" s="67" t="str">
        <f t="shared" si="6"/>
        <v/>
      </c>
      <c r="CB569" s="114" t="str">
        <f t="shared" si="7"/>
        <v/>
      </c>
      <c r="CC569" s="114"/>
    </row>
    <row r="570" ht="15.0" customHeight="1">
      <c r="A570" s="59"/>
      <c r="B570" s="115"/>
      <c r="C570" s="54"/>
      <c r="D570" s="56"/>
      <c r="E570" s="69"/>
      <c r="F570" s="162"/>
      <c r="G570" s="60"/>
      <c r="H570" s="60"/>
      <c r="I570" s="67"/>
      <c r="J570" s="79"/>
      <c r="K570" s="67"/>
      <c r="L570" s="79"/>
      <c r="M570" s="83"/>
      <c r="N570" s="78"/>
      <c r="O570" s="80"/>
      <c r="P570" s="70"/>
      <c r="Q570" s="54"/>
      <c r="R570" s="84"/>
      <c r="S570" s="84"/>
      <c r="T570" s="54"/>
      <c r="U570" s="86"/>
      <c r="V570" s="54"/>
      <c r="W570" s="86"/>
      <c r="X570" s="54"/>
      <c r="Y570" s="78"/>
      <c r="Z570" s="54"/>
      <c r="AA570" s="70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54"/>
      <c r="AR570" s="83"/>
      <c r="AS570" s="83"/>
      <c r="AT570" s="93"/>
      <c r="AU570" s="93"/>
      <c r="AV570" s="93"/>
      <c r="AW570" s="83"/>
      <c r="AX570" s="83"/>
      <c r="AY570" s="83"/>
      <c r="AZ570" s="83"/>
      <c r="BA570" s="83"/>
      <c r="BB570" s="83"/>
      <c r="BC570" s="54"/>
      <c r="BD570" s="54" t="str">
        <f t="shared" si="1"/>
        <v/>
      </c>
      <c r="BE570" s="67"/>
      <c r="BF570" s="67"/>
      <c r="BG570" s="67"/>
      <c r="BH570" s="67"/>
      <c r="BI570" s="67"/>
      <c r="BJ570" s="67"/>
      <c r="BK570" s="67"/>
      <c r="BL570" s="67"/>
      <c r="BM570" s="67"/>
      <c r="BN570" s="100"/>
      <c r="BO570" s="102"/>
      <c r="BP570" s="67"/>
      <c r="BQ570" s="79"/>
      <c r="BR570" s="67"/>
      <c r="BS570" s="102"/>
      <c r="BT570" s="106"/>
      <c r="BU570" s="107"/>
      <c r="BV570" s="108" t="str">
        <f t="shared" si="17"/>
        <v/>
      </c>
      <c r="BW570" s="108" t="str">
        <f t="shared" si="16"/>
        <v/>
      </c>
      <c r="BX570" s="102" t="str">
        <f t="shared" si="15"/>
        <v/>
      </c>
      <c r="BY570" s="107" t="str">
        <f t="shared" si="5"/>
        <v/>
      </c>
      <c r="BZ570" s="107" t="str">
        <f t="array" ref="BZ570">IF($A570&lt;&gt;"",INDEX(LISTA!$M$2:$N$27,MATCH($BC570,LISTA!$N$2:$N$27,0),1),"")</f>
        <v/>
      </c>
      <c r="CA570" s="67" t="str">
        <f t="shared" si="6"/>
        <v/>
      </c>
      <c r="CB570" s="114" t="str">
        <f t="shared" si="7"/>
        <v/>
      </c>
      <c r="CC570" s="114"/>
    </row>
    <row r="571" ht="15.0" customHeight="1">
      <c r="A571" s="59"/>
      <c r="B571" s="115"/>
      <c r="C571" s="54"/>
      <c r="D571" s="56"/>
      <c r="E571" s="69"/>
      <c r="F571" s="162"/>
      <c r="G571" s="60"/>
      <c r="H571" s="60"/>
      <c r="I571" s="67"/>
      <c r="J571" s="79"/>
      <c r="K571" s="67"/>
      <c r="L571" s="79"/>
      <c r="M571" s="83"/>
      <c r="N571" s="78"/>
      <c r="O571" s="80"/>
      <c r="P571" s="70"/>
      <c r="Q571" s="54"/>
      <c r="R571" s="84"/>
      <c r="S571" s="84"/>
      <c r="T571" s="54"/>
      <c r="U571" s="86"/>
      <c r="V571" s="54"/>
      <c r="W571" s="86"/>
      <c r="X571" s="54"/>
      <c r="Y571" s="78"/>
      <c r="Z571" s="54"/>
      <c r="AA571" s="70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54"/>
      <c r="AR571" s="83"/>
      <c r="AS571" s="83"/>
      <c r="AT571" s="93"/>
      <c r="AU571" s="93"/>
      <c r="AV571" s="93"/>
      <c r="AW571" s="83"/>
      <c r="AX571" s="83"/>
      <c r="AY571" s="83"/>
      <c r="AZ571" s="83"/>
      <c r="BA571" s="83"/>
      <c r="BB571" s="83"/>
      <c r="BC571" s="54"/>
      <c r="BD571" s="54" t="str">
        <f t="shared" si="1"/>
        <v/>
      </c>
      <c r="BE571" s="67"/>
      <c r="BF571" s="67"/>
      <c r="BG571" s="67"/>
      <c r="BH571" s="67"/>
      <c r="BI571" s="67"/>
      <c r="BJ571" s="67"/>
      <c r="BK571" s="67"/>
      <c r="BL571" s="67"/>
      <c r="BM571" s="67"/>
      <c r="BN571" s="100"/>
      <c r="BO571" s="102"/>
      <c r="BP571" s="67"/>
      <c r="BQ571" s="79"/>
      <c r="BR571" s="67"/>
      <c r="BS571" s="102"/>
      <c r="BT571" s="106"/>
      <c r="BU571" s="107"/>
      <c r="BV571" s="108" t="str">
        <f t="shared" si="17"/>
        <v/>
      </c>
      <c r="BW571" s="108" t="str">
        <f t="shared" si="16"/>
        <v/>
      </c>
      <c r="BX571" s="102" t="str">
        <f t="shared" si="15"/>
        <v/>
      </c>
      <c r="BY571" s="107" t="str">
        <f t="shared" si="5"/>
        <v/>
      </c>
      <c r="BZ571" s="107" t="str">
        <f t="array" ref="BZ571">IF($A571&lt;&gt;"",INDEX(LISTA!$M$2:$N$27,MATCH($BC571,LISTA!$N$2:$N$27,0),1),"")</f>
        <v/>
      </c>
      <c r="CA571" s="67" t="str">
        <f t="shared" si="6"/>
        <v/>
      </c>
      <c r="CB571" s="114" t="str">
        <f t="shared" si="7"/>
        <v/>
      </c>
      <c r="CC571" s="114"/>
    </row>
    <row r="572" ht="15.0" customHeight="1">
      <c r="A572" s="59"/>
      <c r="B572" s="115"/>
      <c r="C572" s="54"/>
      <c r="D572" s="56"/>
      <c r="E572" s="69"/>
      <c r="F572" s="162"/>
      <c r="G572" s="60"/>
      <c r="H572" s="60"/>
      <c r="I572" s="67"/>
      <c r="J572" s="79"/>
      <c r="K572" s="67"/>
      <c r="L572" s="79"/>
      <c r="M572" s="83"/>
      <c r="N572" s="78"/>
      <c r="O572" s="80"/>
      <c r="P572" s="70"/>
      <c r="Q572" s="54"/>
      <c r="R572" s="84"/>
      <c r="S572" s="84"/>
      <c r="T572" s="54"/>
      <c r="U572" s="86"/>
      <c r="V572" s="54"/>
      <c r="W572" s="86"/>
      <c r="X572" s="54"/>
      <c r="Y572" s="78"/>
      <c r="Z572" s="54"/>
      <c r="AA572" s="70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54"/>
      <c r="AR572" s="83"/>
      <c r="AS572" s="83"/>
      <c r="AT572" s="93"/>
      <c r="AU572" s="93"/>
      <c r="AV572" s="93"/>
      <c r="AW572" s="83"/>
      <c r="AX572" s="83"/>
      <c r="AY572" s="83"/>
      <c r="AZ572" s="83"/>
      <c r="BA572" s="83"/>
      <c r="BB572" s="83"/>
      <c r="BC572" s="54"/>
      <c r="BD572" s="54" t="str">
        <f t="shared" si="1"/>
        <v/>
      </c>
      <c r="BE572" s="67"/>
      <c r="BF572" s="67"/>
      <c r="BG572" s="67"/>
      <c r="BH572" s="67"/>
      <c r="BI572" s="67"/>
      <c r="BJ572" s="67"/>
      <c r="BK572" s="67"/>
      <c r="BL572" s="67"/>
      <c r="BM572" s="67"/>
      <c r="BN572" s="100"/>
      <c r="BO572" s="102"/>
      <c r="BP572" s="67"/>
      <c r="BQ572" s="79"/>
      <c r="BR572" s="67"/>
      <c r="BS572" s="102"/>
      <c r="BT572" s="106"/>
      <c r="BU572" s="107"/>
      <c r="BV572" s="108" t="str">
        <f t="shared" si="17"/>
        <v/>
      </c>
      <c r="BW572" s="108" t="str">
        <f t="shared" si="16"/>
        <v/>
      </c>
      <c r="BX572" s="102" t="str">
        <f t="shared" si="15"/>
        <v/>
      </c>
      <c r="BY572" s="107" t="str">
        <f t="shared" si="5"/>
        <v/>
      </c>
      <c r="BZ572" s="107" t="str">
        <f t="array" ref="BZ572">IF($A572&lt;&gt;"",INDEX(LISTA!$M$2:$N$27,MATCH($BC572,LISTA!$N$2:$N$27,0),1),"")</f>
        <v/>
      </c>
      <c r="CA572" s="67" t="str">
        <f t="shared" si="6"/>
        <v/>
      </c>
      <c r="CB572" s="114" t="str">
        <f t="shared" si="7"/>
        <v/>
      </c>
      <c r="CC572" s="114"/>
    </row>
    <row r="573" ht="15.0" customHeight="1">
      <c r="A573" s="59"/>
      <c r="B573" s="115"/>
      <c r="C573" s="54"/>
      <c r="D573" s="56"/>
      <c r="E573" s="69"/>
      <c r="F573" s="162"/>
      <c r="G573" s="60"/>
      <c r="H573" s="60"/>
      <c r="I573" s="67"/>
      <c r="J573" s="79"/>
      <c r="K573" s="67"/>
      <c r="L573" s="79"/>
      <c r="M573" s="83"/>
      <c r="N573" s="78"/>
      <c r="O573" s="80"/>
      <c r="P573" s="70"/>
      <c r="Q573" s="54"/>
      <c r="R573" s="84"/>
      <c r="S573" s="84"/>
      <c r="T573" s="54"/>
      <c r="U573" s="86"/>
      <c r="V573" s="54"/>
      <c r="W573" s="86"/>
      <c r="X573" s="54"/>
      <c r="Y573" s="78"/>
      <c r="Z573" s="54"/>
      <c r="AA573" s="70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54"/>
      <c r="AR573" s="83"/>
      <c r="AS573" s="83"/>
      <c r="AT573" s="93"/>
      <c r="AU573" s="93"/>
      <c r="AV573" s="93"/>
      <c r="AW573" s="83"/>
      <c r="AX573" s="83"/>
      <c r="AY573" s="83"/>
      <c r="AZ573" s="83"/>
      <c r="BA573" s="83"/>
      <c r="BB573" s="83"/>
      <c r="BC573" s="54"/>
      <c r="BD573" s="54" t="str">
        <f t="shared" si="1"/>
        <v/>
      </c>
      <c r="BE573" s="67"/>
      <c r="BF573" s="67"/>
      <c r="BG573" s="67"/>
      <c r="BH573" s="67"/>
      <c r="BI573" s="67"/>
      <c r="BJ573" s="67"/>
      <c r="BK573" s="67"/>
      <c r="BL573" s="67"/>
      <c r="BM573" s="67"/>
      <c r="BN573" s="100"/>
      <c r="BO573" s="102"/>
      <c r="BP573" s="67"/>
      <c r="BQ573" s="79"/>
      <c r="BR573" s="67"/>
      <c r="BS573" s="102"/>
      <c r="BT573" s="106"/>
      <c r="BU573" s="107"/>
      <c r="BV573" s="108" t="str">
        <f t="shared" si="17"/>
        <v/>
      </c>
      <c r="BW573" s="108" t="str">
        <f t="shared" si="16"/>
        <v/>
      </c>
      <c r="BX573" s="102" t="str">
        <f t="shared" si="15"/>
        <v/>
      </c>
      <c r="BY573" s="107" t="str">
        <f t="shared" si="5"/>
        <v/>
      </c>
      <c r="BZ573" s="107" t="str">
        <f t="array" ref="BZ573">IF($A573&lt;&gt;"",INDEX(LISTA!$M$2:$N$27,MATCH($BC573,LISTA!$N$2:$N$27,0),1),"")</f>
        <v/>
      </c>
      <c r="CA573" s="67" t="str">
        <f t="shared" si="6"/>
        <v/>
      </c>
      <c r="CB573" s="114" t="str">
        <f t="shared" si="7"/>
        <v/>
      </c>
      <c r="CC573" s="114"/>
    </row>
    <row r="574" ht="15.0" customHeight="1">
      <c r="A574" s="59"/>
      <c r="B574" s="115"/>
      <c r="C574" s="54"/>
      <c r="D574" s="56"/>
      <c r="E574" s="69"/>
      <c r="F574" s="162"/>
      <c r="G574" s="60"/>
      <c r="H574" s="60"/>
      <c r="I574" s="67"/>
      <c r="J574" s="79"/>
      <c r="K574" s="67"/>
      <c r="L574" s="79"/>
      <c r="M574" s="83"/>
      <c r="N574" s="78"/>
      <c r="O574" s="80"/>
      <c r="P574" s="70"/>
      <c r="Q574" s="54"/>
      <c r="R574" s="84"/>
      <c r="S574" s="84"/>
      <c r="T574" s="54"/>
      <c r="U574" s="86"/>
      <c r="V574" s="54"/>
      <c r="W574" s="86"/>
      <c r="X574" s="54"/>
      <c r="Y574" s="78"/>
      <c r="Z574" s="54"/>
      <c r="AA574" s="70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54"/>
      <c r="AR574" s="83"/>
      <c r="AS574" s="83"/>
      <c r="AT574" s="93"/>
      <c r="AU574" s="93"/>
      <c r="AV574" s="93"/>
      <c r="AW574" s="83"/>
      <c r="AX574" s="83"/>
      <c r="AY574" s="83"/>
      <c r="AZ574" s="83"/>
      <c r="BA574" s="83"/>
      <c r="BB574" s="83"/>
      <c r="BC574" s="54"/>
      <c r="BD574" s="54" t="str">
        <f t="shared" si="1"/>
        <v/>
      </c>
      <c r="BE574" s="67"/>
      <c r="BF574" s="67"/>
      <c r="BG574" s="67"/>
      <c r="BH574" s="67"/>
      <c r="BI574" s="67"/>
      <c r="BJ574" s="67"/>
      <c r="BK574" s="67"/>
      <c r="BL574" s="67"/>
      <c r="BM574" s="67"/>
      <c r="BN574" s="100"/>
      <c r="BO574" s="102"/>
      <c r="BP574" s="67"/>
      <c r="BQ574" s="79"/>
      <c r="BR574" s="67"/>
      <c r="BS574" s="102"/>
      <c r="BT574" s="106"/>
      <c r="BU574" s="107"/>
      <c r="BV574" s="108" t="str">
        <f t="shared" si="17"/>
        <v/>
      </c>
      <c r="BW574" s="108" t="str">
        <f t="shared" si="16"/>
        <v/>
      </c>
      <c r="BX574" s="102" t="str">
        <f t="shared" si="15"/>
        <v/>
      </c>
      <c r="BY574" s="107" t="str">
        <f t="shared" si="5"/>
        <v/>
      </c>
      <c r="BZ574" s="107" t="str">
        <f t="array" ref="BZ574">IF($A574&lt;&gt;"",INDEX(LISTA!$M$2:$N$27,MATCH($BC574,LISTA!$N$2:$N$27,0),1),"")</f>
        <v/>
      </c>
      <c r="CA574" s="67" t="str">
        <f t="shared" si="6"/>
        <v/>
      </c>
      <c r="CB574" s="114" t="str">
        <f t="shared" si="7"/>
        <v/>
      </c>
      <c r="CC574" s="114"/>
    </row>
    <row r="575" ht="15.0" customHeight="1">
      <c r="A575" s="59"/>
      <c r="B575" s="115"/>
      <c r="C575" s="54"/>
      <c r="D575" s="56"/>
      <c r="E575" s="69"/>
      <c r="F575" s="162"/>
      <c r="G575" s="60"/>
      <c r="H575" s="60"/>
      <c r="I575" s="67"/>
      <c r="J575" s="79"/>
      <c r="K575" s="67"/>
      <c r="L575" s="79"/>
      <c r="M575" s="83"/>
      <c r="N575" s="78"/>
      <c r="O575" s="80"/>
      <c r="P575" s="70"/>
      <c r="Q575" s="54"/>
      <c r="R575" s="84"/>
      <c r="S575" s="84"/>
      <c r="T575" s="54"/>
      <c r="U575" s="86"/>
      <c r="V575" s="54"/>
      <c r="W575" s="86"/>
      <c r="X575" s="54"/>
      <c r="Y575" s="78"/>
      <c r="Z575" s="54"/>
      <c r="AA575" s="70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54"/>
      <c r="AR575" s="83"/>
      <c r="AS575" s="83"/>
      <c r="AT575" s="93"/>
      <c r="AU575" s="93"/>
      <c r="AV575" s="93"/>
      <c r="AW575" s="83"/>
      <c r="AX575" s="83"/>
      <c r="AY575" s="83"/>
      <c r="AZ575" s="83"/>
      <c r="BA575" s="83"/>
      <c r="BB575" s="83"/>
      <c r="BC575" s="54"/>
      <c r="BD575" s="54" t="str">
        <f t="shared" si="1"/>
        <v/>
      </c>
      <c r="BE575" s="67"/>
      <c r="BF575" s="67"/>
      <c r="BG575" s="67"/>
      <c r="BH575" s="67"/>
      <c r="BI575" s="67"/>
      <c r="BJ575" s="67"/>
      <c r="BK575" s="67"/>
      <c r="BL575" s="67"/>
      <c r="BM575" s="67"/>
      <c r="BN575" s="100"/>
      <c r="BO575" s="102"/>
      <c r="BP575" s="67"/>
      <c r="BQ575" s="79"/>
      <c r="BR575" s="67"/>
      <c r="BS575" s="102"/>
      <c r="BT575" s="106"/>
      <c r="BU575" s="107"/>
      <c r="BV575" s="108" t="str">
        <f t="shared" si="17"/>
        <v/>
      </c>
      <c r="BW575" s="108" t="str">
        <f t="shared" si="16"/>
        <v/>
      </c>
      <c r="BX575" s="102" t="str">
        <f t="shared" si="15"/>
        <v/>
      </c>
      <c r="BY575" s="107" t="str">
        <f t="shared" si="5"/>
        <v/>
      </c>
      <c r="BZ575" s="107" t="str">
        <f t="array" ref="BZ575">IF($A575&lt;&gt;"",INDEX(LISTA!$M$2:$N$27,MATCH($BC575,LISTA!$N$2:$N$27,0),1),"")</f>
        <v/>
      </c>
      <c r="CA575" s="67" t="str">
        <f t="shared" si="6"/>
        <v/>
      </c>
      <c r="CB575" s="114" t="str">
        <f t="shared" si="7"/>
        <v/>
      </c>
      <c r="CC575" s="114"/>
    </row>
    <row r="576" ht="15.0" customHeight="1">
      <c r="A576" s="59"/>
      <c r="B576" s="115"/>
      <c r="C576" s="54"/>
      <c r="D576" s="56"/>
      <c r="E576" s="69"/>
      <c r="F576" s="162"/>
      <c r="G576" s="60"/>
      <c r="H576" s="60"/>
      <c r="I576" s="67"/>
      <c r="J576" s="79"/>
      <c r="K576" s="67"/>
      <c r="L576" s="79"/>
      <c r="M576" s="83"/>
      <c r="N576" s="78"/>
      <c r="O576" s="80"/>
      <c r="P576" s="70"/>
      <c r="Q576" s="54"/>
      <c r="R576" s="84"/>
      <c r="S576" s="84"/>
      <c r="T576" s="54"/>
      <c r="U576" s="86"/>
      <c r="V576" s="54"/>
      <c r="W576" s="86"/>
      <c r="X576" s="54"/>
      <c r="Y576" s="78"/>
      <c r="Z576" s="54"/>
      <c r="AA576" s="70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54"/>
      <c r="AR576" s="83"/>
      <c r="AS576" s="83"/>
      <c r="AT576" s="93"/>
      <c r="AU576" s="93"/>
      <c r="AV576" s="93"/>
      <c r="AW576" s="83"/>
      <c r="AX576" s="83"/>
      <c r="AY576" s="83"/>
      <c r="AZ576" s="83"/>
      <c r="BA576" s="83"/>
      <c r="BB576" s="83"/>
      <c r="BC576" s="54"/>
      <c r="BD576" s="54" t="str">
        <f t="shared" si="1"/>
        <v/>
      </c>
      <c r="BE576" s="67"/>
      <c r="BF576" s="67"/>
      <c r="BG576" s="67"/>
      <c r="BH576" s="67"/>
      <c r="BI576" s="67"/>
      <c r="BJ576" s="67"/>
      <c r="BK576" s="67"/>
      <c r="BL576" s="67"/>
      <c r="BM576" s="67"/>
      <c r="BN576" s="100"/>
      <c r="BO576" s="102"/>
      <c r="BP576" s="67"/>
      <c r="BQ576" s="79"/>
      <c r="BR576" s="67"/>
      <c r="BS576" s="102"/>
      <c r="BT576" s="106"/>
      <c r="BU576" s="107"/>
      <c r="BV576" s="108" t="str">
        <f t="shared" si="17"/>
        <v/>
      </c>
      <c r="BW576" s="108" t="str">
        <f t="shared" si="16"/>
        <v/>
      </c>
      <c r="BX576" s="102" t="str">
        <f t="shared" si="15"/>
        <v/>
      </c>
      <c r="BY576" s="107" t="str">
        <f t="shared" si="5"/>
        <v/>
      </c>
      <c r="BZ576" s="107" t="str">
        <f t="array" ref="BZ576">IF($A576&lt;&gt;"",INDEX(LISTA!$M$2:$N$27,MATCH($BC576,LISTA!$N$2:$N$27,0),1),"")</f>
        <v/>
      </c>
      <c r="CA576" s="67" t="str">
        <f t="shared" si="6"/>
        <v/>
      </c>
      <c r="CB576" s="114" t="str">
        <f t="shared" si="7"/>
        <v/>
      </c>
      <c r="CC576" s="114"/>
    </row>
    <row r="577" ht="15.0" customHeight="1">
      <c r="A577" s="59"/>
      <c r="B577" s="115"/>
      <c r="C577" s="54"/>
      <c r="D577" s="56"/>
      <c r="E577" s="69"/>
      <c r="F577" s="162"/>
      <c r="G577" s="60"/>
      <c r="H577" s="60"/>
      <c r="I577" s="67"/>
      <c r="J577" s="79"/>
      <c r="K577" s="67"/>
      <c r="L577" s="79"/>
      <c r="M577" s="83"/>
      <c r="N577" s="78"/>
      <c r="O577" s="80"/>
      <c r="P577" s="70"/>
      <c r="Q577" s="54"/>
      <c r="R577" s="84"/>
      <c r="S577" s="84"/>
      <c r="T577" s="54"/>
      <c r="U577" s="86"/>
      <c r="V577" s="54"/>
      <c r="W577" s="86"/>
      <c r="X577" s="54"/>
      <c r="Y577" s="78"/>
      <c r="Z577" s="54"/>
      <c r="AA577" s="70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54"/>
      <c r="AR577" s="83"/>
      <c r="AS577" s="83"/>
      <c r="AT577" s="93"/>
      <c r="AU577" s="93"/>
      <c r="AV577" s="93"/>
      <c r="AW577" s="83"/>
      <c r="AX577" s="83"/>
      <c r="AY577" s="83"/>
      <c r="AZ577" s="83"/>
      <c r="BA577" s="83"/>
      <c r="BB577" s="83"/>
      <c r="BC577" s="54"/>
      <c r="BD577" s="54" t="str">
        <f t="shared" si="1"/>
        <v/>
      </c>
      <c r="BE577" s="67"/>
      <c r="BF577" s="67"/>
      <c r="BG577" s="67"/>
      <c r="BH577" s="67"/>
      <c r="BI577" s="67"/>
      <c r="BJ577" s="67"/>
      <c r="BK577" s="67"/>
      <c r="BL577" s="67"/>
      <c r="BM577" s="67"/>
      <c r="BN577" s="100"/>
      <c r="BO577" s="102"/>
      <c r="BP577" s="67"/>
      <c r="BQ577" s="79"/>
      <c r="BR577" s="67"/>
      <c r="BS577" s="102"/>
      <c r="BT577" s="106"/>
      <c r="BU577" s="107"/>
      <c r="BV577" s="108" t="str">
        <f t="shared" si="17"/>
        <v/>
      </c>
      <c r="BW577" s="108" t="str">
        <f t="shared" si="16"/>
        <v/>
      </c>
      <c r="BX577" s="102" t="str">
        <f t="shared" si="15"/>
        <v/>
      </c>
      <c r="BY577" s="107" t="str">
        <f t="shared" si="5"/>
        <v/>
      </c>
      <c r="BZ577" s="107" t="str">
        <f t="array" ref="BZ577">IF($A577&lt;&gt;"",INDEX(LISTA!$M$2:$N$27,MATCH($BC577,LISTA!$N$2:$N$27,0),1),"")</f>
        <v/>
      </c>
      <c r="CA577" s="67" t="str">
        <f t="shared" si="6"/>
        <v/>
      </c>
      <c r="CB577" s="114" t="str">
        <f t="shared" si="7"/>
        <v/>
      </c>
      <c r="CC577" s="114"/>
    </row>
    <row r="578" ht="15.0" customHeight="1">
      <c r="A578" s="59"/>
      <c r="B578" s="115"/>
      <c r="C578" s="54"/>
      <c r="D578" s="56"/>
      <c r="E578" s="69"/>
      <c r="F578" s="162"/>
      <c r="G578" s="60"/>
      <c r="H578" s="60"/>
      <c r="I578" s="67"/>
      <c r="J578" s="79"/>
      <c r="K578" s="67"/>
      <c r="L578" s="79"/>
      <c r="M578" s="83"/>
      <c r="N578" s="78"/>
      <c r="O578" s="80"/>
      <c r="P578" s="70"/>
      <c r="Q578" s="54"/>
      <c r="R578" s="84"/>
      <c r="S578" s="84"/>
      <c r="T578" s="54"/>
      <c r="U578" s="86"/>
      <c r="V578" s="54"/>
      <c r="W578" s="86"/>
      <c r="X578" s="54"/>
      <c r="Y578" s="78"/>
      <c r="Z578" s="54"/>
      <c r="AA578" s="70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54"/>
      <c r="AR578" s="83"/>
      <c r="AS578" s="83"/>
      <c r="AT578" s="93"/>
      <c r="AU578" s="93"/>
      <c r="AV578" s="93"/>
      <c r="AW578" s="83"/>
      <c r="AX578" s="83"/>
      <c r="AY578" s="83"/>
      <c r="AZ578" s="83"/>
      <c r="BA578" s="83"/>
      <c r="BB578" s="83"/>
      <c r="BC578" s="54"/>
      <c r="BD578" s="54" t="str">
        <f t="shared" si="1"/>
        <v/>
      </c>
      <c r="BE578" s="67"/>
      <c r="BF578" s="67"/>
      <c r="BG578" s="67"/>
      <c r="BH578" s="67"/>
      <c r="BI578" s="67"/>
      <c r="BJ578" s="67"/>
      <c r="BK578" s="67"/>
      <c r="BL578" s="67"/>
      <c r="BM578" s="67"/>
      <c r="BN578" s="100"/>
      <c r="BO578" s="102"/>
      <c r="BP578" s="67"/>
      <c r="BQ578" s="79"/>
      <c r="BR578" s="67"/>
      <c r="BS578" s="102"/>
      <c r="BT578" s="106"/>
      <c r="BU578" s="107"/>
      <c r="BV578" s="108" t="str">
        <f t="shared" si="17"/>
        <v/>
      </c>
      <c r="BW578" s="108" t="str">
        <f t="shared" si="16"/>
        <v/>
      </c>
      <c r="BX578" s="102" t="str">
        <f t="shared" si="15"/>
        <v/>
      </c>
      <c r="BY578" s="107" t="str">
        <f t="shared" si="5"/>
        <v/>
      </c>
      <c r="BZ578" s="107" t="str">
        <f t="array" ref="BZ578">IF($A578&lt;&gt;"",INDEX(LISTA!$M$2:$N$27,MATCH($BC578,LISTA!$N$2:$N$27,0),1),"")</f>
        <v/>
      </c>
      <c r="CA578" s="67" t="str">
        <f t="shared" si="6"/>
        <v/>
      </c>
      <c r="CB578" s="114" t="str">
        <f t="shared" si="7"/>
        <v/>
      </c>
      <c r="CC578" s="114"/>
    </row>
    <row r="579" ht="15.0" customHeight="1">
      <c r="A579" s="59"/>
      <c r="B579" s="115"/>
      <c r="C579" s="54"/>
      <c r="D579" s="56"/>
      <c r="E579" s="69"/>
      <c r="F579" s="162"/>
      <c r="G579" s="60"/>
      <c r="H579" s="60"/>
      <c r="I579" s="67"/>
      <c r="J579" s="79"/>
      <c r="K579" s="67"/>
      <c r="L579" s="79"/>
      <c r="M579" s="83"/>
      <c r="N579" s="78"/>
      <c r="O579" s="80"/>
      <c r="P579" s="70"/>
      <c r="Q579" s="54"/>
      <c r="R579" s="84"/>
      <c r="S579" s="84"/>
      <c r="T579" s="54"/>
      <c r="U579" s="86"/>
      <c r="V579" s="54"/>
      <c r="W579" s="86"/>
      <c r="X579" s="54"/>
      <c r="Y579" s="78"/>
      <c r="Z579" s="54"/>
      <c r="AA579" s="70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54"/>
      <c r="AR579" s="83"/>
      <c r="AS579" s="83"/>
      <c r="AT579" s="93"/>
      <c r="AU579" s="93"/>
      <c r="AV579" s="93"/>
      <c r="AW579" s="83"/>
      <c r="AX579" s="83"/>
      <c r="AY579" s="83"/>
      <c r="AZ579" s="83"/>
      <c r="BA579" s="83"/>
      <c r="BB579" s="83"/>
      <c r="BC579" s="54"/>
      <c r="BD579" s="54" t="str">
        <f t="shared" si="1"/>
        <v/>
      </c>
      <c r="BE579" s="67"/>
      <c r="BF579" s="67"/>
      <c r="BG579" s="67"/>
      <c r="BH579" s="67"/>
      <c r="BI579" s="67"/>
      <c r="BJ579" s="67"/>
      <c r="BK579" s="67"/>
      <c r="BL579" s="67"/>
      <c r="BM579" s="67"/>
      <c r="BN579" s="100"/>
      <c r="BO579" s="102"/>
      <c r="BP579" s="67"/>
      <c r="BQ579" s="79"/>
      <c r="BR579" s="67"/>
      <c r="BS579" s="102"/>
      <c r="BT579" s="106"/>
      <c r="BU579" s="107"/>
      <c r="BV579" s="108" t="str">
        <f t="shared" si="17"/>
        <v/>
      </c>
      <c r="BW579" s="108" t="str">
        <f t="shared" si="16"/>
        <v/>
      </c>
      <c r="BX579" s="102" t="str">
        <f t="shared" si="15"/>
        <v/>
      </c>
      <c r="BY579" s="107" t="str">
        <f t="shared" si="5"/>
        <v/>
      </c>
      <c r="BZ579" s="107" t="str">
        <f t="array" ref="BZ579">IF($A579&lt;&gt;"",INDEX(LISTA!$M$2:$N$27,MATCH($BC579,LISTA!$N$2:$N$27,0),1),"")</f>
        <v/>
      </c>
      <c r="CA579" s="67" t="str">
        <f t="shared" si="6"/>
        <v/>
      </c>
      <c r="CB579" s="114" t="str">
        <f t="shared" si="7"/>
        <v/>
      </c>
      <c r="CC579" s="114"/>
    </row>
    <row r="580" ht="15.0" customHeight="1">
      <c r="A580" s="59"/>
      <c r="B580" s="115"/>
      <c r="C580" s="54"/>
      <c r="D580" s="56"/>
      <c r="E580" s="69"/>
      <c r="F580" s="162"/>
      <c r="G580" s="60"/>
      <c r="H580" s="60"/>
      <c r="I580" s="67"/>
      <c r="J580" s="79"/>
      <c r="K580" s="67"/>
      <c r="L580" s="79"/>
      <c r="M580" s="83"/>
      <c r="N580" s="78"/>
      <c r="O580" s="80"/>
      <c r="P580" s="70"/>
      <c r="Q580" s="54"/>
      <c r="R580" s="84"/>
      <c r="S580" s="84"/>
      <c r="T580" s="54"/>
      <c r="U580" s="86"/>
      <c r="V580" s="54"/>
      <c r="W580" s="86"/>
      <c r="X580" s="54"/>
      <c r="Y580" s="78"/>
      <c r="Z580" s="54"/>
      <c r="AA580" s="70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54"/>
      <c r="AR580" s="83"/>
      <c r="AS580" s="83"/>
      <c r="AT580" s="93"/>
      <c r="AU580" s="93"/>
      <c r="AV580" s="93"/>
      <c r="AW580" s="83"/>
      <c r="AX580" s="83"/>
      <c r="AY580" s="83"/>
      <c r="AZ580" s="83"/>
      <c r="BA580" s="83"/>
      <c r="BB580" s="83"/>
      <c r="BC580" s="54"/>
      <c r="BD580" s="54" t="str">
        <f t="shared" si="1"/>
        <v/>
      </c>
      <c r="BE580" s="67"/>
      <c r="BF580" s="67"/>
      <c r="BG580" s="67"/>
      <c r="BH580" s="67"/>
      <c r="BI580" s="67"/>
      <c r="BJ580" s="67"/>
      <c r="BK580" s="67"/>
      <c r="BL580" s="67"/>
      <c r="BM580" s="67"/>
      <c r="BN580" s="100"/>
      <c r="BO580" s="102"/>
      <c r="BP580" s="67"/>
      <c r="BQ580" s="79"/>
      <c r="BR580" s="67"/>
      <c r="BS580" s="102"/>
      <c r="BT580" s="106"/>
      <c r="BU580" s="107"/>
      <c r="BV580" s="108" t="str">
        <f t="shared" si="17"/>
        <v/>
      </c>
      <c r="BW580" s="108" t="str">
        <f t="shared" si="16"/>
        <v/>
      </c>
      <c r="BX580" s="102" t="str">
        <f t="shared" si="15"/>
        <v/>
      </c>
      <c r="BY580" s="107" t="str">
        <f t="shared" si="5"/>
        <v/>
      </c>
      <c r="BZ580" s="107" t="str">
        <f t="array" ref="BZ580">IF($A580&lt;&gt;"",INDEX(LISTA!$M$2:$N$27,MATCH($BC580,LISTA!$N$2:$N$27,0),1),"")</f>
        <v/>
      </c>
      <c r="CA580" s="67" t="str">
        <f t="shared" si="6"/>
        <v/>
      </c>
      <c r="CB580" s="114" t="str">
        <f t="shared" si="7"/>
        <v/>
      </c>
      <c r="CC580" s="114"/>
    </row>
    <row r="581" ht="15.0" customHeight="1">
      <c r="A581" s="59"/>
      <c r="B581" s="115"/>
      <c r="C581" s="54"/>
      <c r="D581" s="56"/>
      <c r="E581" s="69"/>
      <c r="F581" s="162"/>
      <c r="G581" s="60"/>
      <c r="H581" s="60"/>
      <c r="I581" s="67"/>
      <c r="J581" s="79"/>
      <c r="K581" s="67"/>
      <c r="L581" s="79"/>
      <c r="M581" s="83"/>
      <c r="N581" s="78"/>
      <c r="O581" s="80"/>
      <c r="P581" s="70"/>
      <c r="Q581" s="54"/>
      <c r="R581" s="84"/>
      <c r="S581" s="84"/>
      <c r="T581" s="54"/>
      <c r="U581" s="86"/>
      <c r="V581" s="54"/>
      <c r="W581" s="86"/>
      <c r="X581" s="54"/>
      <c r="Y581" s="78"/>
      <c r="Z581" s="54"/>
      <c r="AA581" s="70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54"/>
      <c r="AR581" s="83"/>
      <c r="AS581" s="83"/>
      <c r="AT581" s="93"/>
      <c r="AU581" s="93"/>
      <c r="AV581" s="93"/>
      <c r="AW581" s="83"/>
      <c r="AX581" s="83"/>
      <c r="AY581" s="83"/>
      <c r="AZ581" s="83"/>
      <c r="BA581" s="83"/>
      <c r="BB581" s="83"/>
      <c r="BC581" s="54"/>
      <c r="BD581" s="54" t="str">
        <f t="shared" si="1"/>
        <v/>
      </c>
      <c r="BE581" s="67"/>
      <c r="BF581" s="67"/>
      <c r="BG581" s="67"/>
      <c r="BH581" s="67"/>
      <c r="BI581" s="67"/>
      <c r="BJ581" s="67"/>
      <c r="BK581" s="67"/>
      <c r="BL581" s="67"/>
      <c r="BM581" s="67"/>
      <c r="BN581" s="100"/>
      <c r="BO581" s="102"/>
      <c r="BP581" s="67"/>
      <c r="BQ581" s="79"/>
      <c r="BR581" s="67"/>
      <c r="BS581" s="102"/>
      <c r="BT581" s="106"/>
      <c r="BU581" s="107"/>
      <c r="BV581" s="108" t="str">
        <f t="shared" si="17"/>
        <v/>
      </c>
      <c r="BW581" s="108" t="str">
        <f t="shared" si="16"/>
        <v/>
      </c>
      <c r="BX581" s="102" t="str">
        <f t="shared" si="15"/>
        <v/>
      </c>
      <c r="BY581" s="107" t="str">
        <f t="shared" si="5"/>
        <v/>
      </c>
      <c r="BZ581" s="107" t="str">
        <f t="array" ref="BZ581">IF($A581&lt;&gt;"",INDEX(LISTA!$M$2:$N$27,MATCH($BC581,LISTA!$N$2:$N$27,0),1),"")</f>
        <v/>
      </c>
      <c r="CA581" s="67" t="str">
        <f t="shared" si="6"/>
        <v/>
      </c>
      <c r="CB581" s="114" t="str">
        <f t="shared" si="7"/>
        <v/>
      </c>
      <c r="CC581" s="114"/>
    </row>
    <row r="582" ht="15.0" customHeight="1">
      <c r="A582" s="59"/>
      <c r="B582" s="115"/>
      <c r="C582" s="54"/>
      <c r="D582" s="56"/>
      <c r="E582" s="69"/>
      <c r="F582" s="162"/>
      <c r="G582" s="60"/>
      <c r="H582" s="60"/>
      <c r="I582" s="67"/>
      <c r="J582" s="79"/>
      <c r="K582" s="67"/>
      <c r="L582" s="79"/>
      <c r="M582" s="83"/>
      <c r="N582" s="78"/>
      <c r="O582" s="80"/>
      <c r="P582" s="70"/>
      <c r="Q582" s="54"/>
      <c r="R582" s="84"/>
      <c r="S582" s="84"/>
      <c r="T582" s="54"/>
      <c r="U582" s="86"/>
      <c r="V582" s="54"/>
      <c r="W582" s="86"/>
      <c r="X582" s="54"/>
      <c r="Y582" s="78"/>
      <c r="Z582" s="54"/>
      <c r="AA582" s="70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54"/>
      <c r="AR582" s="83"/>
      <c r="AS582" s="83"/>
      <c r="AT582" s="93"/>
      <c r="AU582" s="93"/>
      <c r="AV582" s="93"/>
      <c r="AW582" s="83"/>
      <c r="AX582" s="83"/>
      <c r="AY582" s="83"/>
      <c r="AZ582" s="83"/>
      <c r="BA582" s="83"/>
      <c r="BB582" s="83"/>
      <c r="BC582" s="54"/>
      <c r="BD582" s="54" t="str">
        <f t="shared" si="1"/>
        <v/>
      </c>
      <c r="BE582" s="67"/>
      <c r="BF582" s="67"/>
      <c r="BG582" s="67"/>
      <c r="BH582" s="67"/>
      <c r="BI582" s="67"/>
      <c r="BJ582" s="67"/>
      <c r="BK582" s="67"/>
      <c r="BL582" s="67"/>
      <c r="BM582" s="67"/>
      <c r="BN582" s="100"/>
      <c r="BO582" s="102"/>
      <c r="BP582" s="67"/>
      <c r="BQ582" s="79"/>
      <c r="BR582" s="67"/>
      <c r="BS582" s="102"/>
      <c r="BT582" s="106"/>
      <c r="BU582" s="107"/>
      <c r="BV582" s="108" t="str">
        <f t="shared" si="17"/>
        <v/>
      </c>
      <c r="BW582" s="108" t="str">
        <f t="shared" si="16"/>
        <v/>
      </c>
      <c r="BX582" s="102" t="str">
        <f t="shared" si="15"/>
        <v/>
      </c>
      <c r="BY582" s="107" t="str">
        <f t="shared" si="5"/>
        <v/>
      </c>
      <c r="BZ582" s="107" t="str">
        <f t="array" ref="BZ582">IF($A582&lt;&gt;"",INDEX(LISTA!$M$2:$N$27,MATCH($BC582,LISTA!$N$2:$N$27,0),1),"")</f>
        <v/>
      </c>
      <c r="CA582" s="67" t="str">
        <f t="shared" si="6"/>
        <v/>
      </c>
      <c r="CB582" s="114" t="str">
        <f t="shared" si="7"/>
        <v/>
      </c>
      <c r="CC582" s="114"/>
    </row>
    <row r="583" ht="15.0" customHeight="1">
      <c r="A583" s="59"/>
      <c r="B583" s="115"/>
      <c r="C583" s="54"/>
      <c r="D583" s="56"/>
      <c r="E583" s="69"/>
      <c r="F583" s="162"/>
      <c r="G583" s="60"/>
      <c r="H583" s="60"/>
      <c r="I583" s="67"/>
      <c r="J583" s="79"/>
      <c r="K583" s="67"/>
      <c r="L583" s="79"/>
      <c r="M583" s="83"/>
      <c r="N583" s="78"/>
      <c r="O583" s="80"/>
      <c r="P583" s="70"/>
      <c r="Q583" s="54"/>
      <c r="R583" s="84"/>
      <c r="S583" s="84"/>
      <c r="T583" s="54"/>
      <c r="U583" s="86"/>
      <c r="V583" s="54"/>
      <c r="W583" s="86"/>
      <c r="X583" s="54"/>
      <c r="Y583" s="78"/>
      <c r="Z583" s="54"/>
      <c r="AA583" s="70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54"/>
      <c r="AR583" s="83"/>
      <c r="AS583" s="83"/>
      <c r="AT583" s="93"/>
      <c r="AU583" s="93"/>
      <c r="AV583" s="93"/>
      <c r="AW583" s="83"/>
      <c r="AX583" s="83"/>
      <c r="AY583" s="83"/>
      <c r="AZ583" s="83"/>
      <c r="BA583" s="83"/>
      <c r="BB583" s="83"/>
      <c r="BC583" s="54"/>
      <c r="BD583" s="54" t="str">
        <f t="shared" si="1"/>
        <v/>
      </c>
      <c r="BE583" s="67"/>
      <c r="BF583" s="67"/>
      <c r="BG583" s="67"/>
      <c r="BH583" s="67"/>
      <c r="BI583" s="67"/>
      <c r="BJ583" s="67"/>
      <c r="BK583" s="67"/>
      <c r="BL583" s="67"/>
      <c r="BM583" s="67"/>
      <c r="BN583" s="100"/>
      <c r="BO583" s="102"/>
      <c r="BP583" s="67"/>
      <c r="BQ583" s="79"/>
      <c r="BR583" s="67"/>
      <c r="BS583" s="102"/>
      <c r="BT583" s="106"/>
      <c r="BU583" s="107"/>
      <c r="BV583" s="108" t="str">
        <f t="shared" si="17"/>
        <v/>
      </c>
      <c r="BW583" s="108" t="str">
        <f t="shared" si="16"/>
        <v/>
      </c>
      <c r="BX583" s="102" t="str">
        <f t="shared" si="15"/>
        <v/>
      </c>
      <c r="BY583" s="107" t="str">
        <f t="shared" si="5"/>
        <v/>
      </c>
      <c r="BZ583" s="107" t="str">
        <f t="array" ref="BZ583">IF($A583&lt;&gt;"",INDEX(LISTA!$M$2:$N$27,MATCH($BC583,LISTA!$N$2:$N$27,0),1),"")</f>
        <v/>
      </c>
      <c r="CA583" s="67" t="str">
        <f t="shared" si="6"/>
        <v/>
      </c>
      <c r="CB583" s="114" t="str">
        <f t="shared" si="7"/>
        <v/>
      </c>
      <c r="CC583" s="114"/>
    </row>
    <row r="584" ht="15.0" customHeight="1">
      <c r="A584" s="59"/>
      <c r="B584" s="115"/>
      <c r="C584" s="54"/>
      <c r="D584" s="56"/>
      <c r="E584" s="69"/>
      <c r="F584" s="162"/>
      <c r="G584" s="60"/>
      <c r="H584" s="60"/>
      <c r="I584" s="67"/>
      <c r="J584" s="79"/>
      <c r="K584" s="67"/>
      <c r="L584" s="79"/>
      <c r="M584" s="83"/>
      <c r="N584" s="78"/>
      <c r="O584" s="80"/>
      <c r="P584" s="70"/>
      <c r="Q584" s="54"/>
      <c r="R584" s="84"/>
      <c r="S584" s="84"/>
      <c r="T584" s="54"/>
      <c r="U584" s="86"/>
      <c r="V584" s="54"/>
      <c r="W584" s="86"/>
      <c r="X584" s="54"/>
      <c r="Y584" s="78"/>
      <c r="Z584" s="54"/>
      <c r="AA584" s="70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54"/>
      <c r="AR584" s="83"/>
      <c r="AS584" s="83"/>
      <c r="AT584" s="93"/>
      <c r="AU584" s="93"/>
      <c r="AV584" s="93"/>
      <c r="AW584" s="83"/>
      <c r="AX584" s="83"/>
      <c r="AY584" s="83"/>
      <c r="AZ584" s="83"/>
      <c r="BA584" s="83"/>
      <c r="BB584" s="83"/>
      <c r="BC584" s="54"/>
      <c r="BD584" s="54" t="str">
        <f t="shared" si="1"/>
        <v/>
      </c>
      <c r="BE584" s="67"/>
      <c r="BF584" s="67"/>
      <c r="BG584" s="67"/>
      <c r="BH584" s="67"/>
      <c r="BI584" s="67"/>
      <c r="BJ584" s="67"/>
      <c r="BK584" s="67"/>
      <c r="BL584" s="67"/>
      <c r="BM584" s="67"/>
      <c r="BN584" s="100"/>
      <c r="BO584" s="102"/>
      <c r="BP584" s="67"/>
      <c r="BQ584" s="79"/>
      <c r="BR584" s="67"/>
      <c r="BS584" s="102"/>
      <c r="BT584" s="106"/>
      <c r="BU584" s="107"/>
      <c r="BV584" s="108" t="str">
        <f t="shared" si="17"/>
        <v/>
      </c>
      <c r="BW584" s="108" t="str">
        <f t="shared" si="16"/>
        <v/>
      </c>
      <c r="BX584" s="102" t="str">
        <f t="shared" si="15"/>
        <v/>
      </c>
      <c r="BY584" s="107" t="str">
        <f t="shared" si="5"/>
        <v/>
      </c>
      <c r="BZ584" s="107" t="str">
        <f t="array" ref="BZ584">IF($A584&lt;&gt;"",INDEX(LISTA!$M$2:$N$27,MATCH($BC584,LISTA!$N$2:$N$27,0),1),"")</f>
        <v/>
      </c>
      <c r="CA584" s="67" t="str">
        <f t="shared" si="6"/>
        <v/>
      </c>
      <c r="CB584" s="114" t="str">
        <f t="shared" si="7"/>
        <v/>
      </c>
      <c r="CC584" s="114"/>
    </row>
    <row r="585" ht="15.0" customHeight="1">
      <c r="A585" s="59"/>
      <c r="B585" s="115"/>
      <c r="C585" s="54"/>
      <c r="D585" s="56"/>
      <c r="E585" s="69"/>
      <c r="F585" s="73"/>
      <c r="G585" s="60"/>
      <c r="H585" s="60"/>
      <c r="I585" s="67"/>
      <c r="J585" s="79"/>
      <c r="K585" s="67"/>
      <c r="L585" s="79"/>
      <c r="M585" s="83"/>
      <c r="N585" s="78"/>
      <c r="O585" s="80"/>
      <c r="P585" s="70"/>
      <c r="Q585" s="54"/>
      <c r="R585" s="84"/>
      <c r="S585" s="84"/>
      <c r="T585" s="54"/>
      <c r="U585" s="86"/>
      <c r="V585" s="54"/>
      <c r="W585" s="86"/>
      <c r="X585" s="54"/>
      <c r="Y585" s="78"/>
      <c r="Z585" s="54"/>
      <c r="AA585" s="70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54"/>
      <c r="AR585" s="83"/>
      <c r="AS585" s="83"/>
      <c r="AT585" s="93"/>
      <c r="AU585" s="93"/>
      <c r="AV585" s="93"/>
      <c r="AW585" s="83"/>
      <c r="AX585" s="83"/>
      <c r="AY585" s="83"/>
      <c r="AZ585" s="83"/>
      <c r="BA585" s="83"/>
      <c r="BB585" s="83"/>
      <c r="BC585" s="54"/>
      <c r="BD585" s="54" t="str">
        <f t="shared" si="1"/>
        <v/>
      </c>
      <c r="BE585" s="67"/>
      <c r="BF585" s="67"/>
      <c r="BG585" s="67"/>
      <c r="BH585" s="67"/>
      <c r="BI585" s="67"/>
      <c r="BJ585" s="67"/>
      <c r="BK585" s="67"/>
      <c r="BL585" s="67"/>
      <c r="BM585" s="67"/>
      <c r="BN585" s="100"/>
      <c r="BO585" s="102"/>
      <c r="BP585" s="67"/>
      <c r="BQ585" s="79"/>
      <c r="BR585" s="67"/>
      <c r="BS585" s="102"/>
      <c r="BT585" s="106"/>
      <c r="BU585" s="107"/>
      <c r="BV585" s="108" t="str">
        <f t="shared" si="17"/>
        <v/>
      </c>
      <c r="BW585" s="108" t="str">
        <f t="shared" si="16"/>
        <v/>
      </c>
      <c r="BX585" s="102" t="str">
        <f t="shared" si="15"/>
        <v/>
      </c>
      <c r="BY585" s="107" t="str">
        <f t="shared" si="5"/>
        <v/>
      </c>
      <c r="BZ585" s="107" t="str">
        <f t="array" ref="BZ585">IF($A585&lt;&gt;"",INDEX(LISTA!$M$2:$N$27,MATCH($BC585,LISTA!$N$2:$N$27,0),1),"")</f>
        <v/>
      </c>
      <c r="CA585" s="67" t="str">
        <f t="shared" si="6"/>
        <v/>
      </c>
      <c r="CB585" s="114" t="str">
        <f t="shared" si="7"/>
        <v/>
      </c>
      <c r="CC585" s="114"/>
    </row>
    <row r="586" ht="15.0" customHeight="1">
      <c r="A586" s="59"/>
      <c r="B586" s="115"/>
      <c r="C586" s="54"/>
      <c r="D586" s="56"/>
      <c r="E586" s="69"/>
      <c r="F586" s="73"/>
      <c r="G586" s="60"/>
      <c r="H586" s="60"/>
      <c r="I586" s="67"/>
      <c r="J586" s="79"/>
      <c r="K586" s="67"/>
      <c r="L586" s="79"/>
      <c r="M586" s="83"/>
      <c r="N586" s="78"/>
      <c r="O586" s="80"/>
      <c r="P586" s="70"/>
      <c r="Q586" s="54"/>
      <c r="R586" s="84"/>
      <c r="S586" s="84"/>
      <c r="T586" s="54"/>
      <c r="U586" s="86"/>
      <c r="V586" s="54"/>
      <c r="W586" s="86"/>
      <c r="X586" s="54"/>
      <c r="Y586" s="78"/>
      <c r="Z586" s="54"/>
      <c r="AA586" s="70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54"/>
      <c r="AR586" s="83"/>
      <c r="AS586" s="83"/>
      <c r="AT586" s="93"/>
      <c r="AU586" s="93"/>
      <c r="AV586" s="93"/>
      <c r="AW586" s="83"/>
      <c r="AX586" s="83"/>
      <c r="AY586" s="83"/>
      <c r="AZ586" s="83"/>
      <c r="BA586" s="83"/>
      <c r="BB586" s="83"/>
      <c r="BC586" s="54"/>
      <c r="BD586" s="54" t="str">
        <f t="shared" si="1"/>
        <v/>
      </c>
      <c r="BE586" s="67"/>
      <c r="BF586" s="67"/>
      <c r="BG586" s="67"/>
      <c r="BH586" s="67"/>
      <c r="BI586" s="67"/>
      <c r="BJ586" s="67"/>
      <c r="BK586" s="67"/>
      <c r="BL586" s="67"/>
      <c r="BM586" s="67"/>
      <c r="BN586" s="100"/>
      <c r="BO586" s="102"/>
      <c r="BP586" s="67"/>
      <c r="BQ586" s="79"/>
      <c r="BR586" s="67"/>
      <c r="BS586" s="102"/>
      <c r="BT586" s="106"/>
      <c r="BU586" s="107"/>
      <c r="BV586" s="108" t="str">
        <f t="shared" si="17"/>
        <v/>
      </c>
      <c r="BW586" s="108" t="str">
        <f t="shared" si="16"/>
        <v/>
      </c>
      <c r="BX586" s="102" t="str">
        <f t="shared" si="15"/>
        <v/>
      </c>
      <c r="BY586" s="107" t="str">
        <f t="shared" si="5"/>
        <v/>
      </c>
      <c r="BZ586" s="107" t="str">
        <f t="array" ref="BZ586">IF($A586&lt;&gt;"",INDEX(LISTA!$M$2:$N$27,MATCH($BC586,LISTA!$N$2:$N$27,0),1),"")</f>
        <v/>
      </c>
      <c r="CA586" s="67" t="str">
        <f t="shared" si="6"/>
        <v/>
      </c>
      <c r="CB586" s="114" t="str">
        <f t="shared" si="7"/>
        <v/>
      </c>
      <c r="CC586" s="114"/>
    </row>
    <row r="587" ht="15.0" customHeight="1">
      <c r="A587" s="59"/>
      <c r="B587" s="115"/>
      <c r="C587" s="54"/>
      <c r="D587" s="56"/>
      <c r="E587" s="69"/>
      <c r="F587" s="73"/>
      <c r="G587" s="60"/>
      <c r="H587" s="60"/>
      <c r="I587" s="67"/>
      <c r="J587" s="79"/>
      <c r="K587" s="67"/>
      <c r="L587" s="79"/>
      <c r="M587" s="83"/>
      <c r="N587" s="78"/>
      <c r="O587" s="80"/>
      <c r="P587" s="70"/>
      <c r="Q587" s="54"/>
      <c r="R587" s="84"/>
      <c r="S587" s="84"/>
      <c r="T587" s="54"/>
      <c r="U587" s="86"/>
      <c r="V587" s="54"/>
      <c r="W587" s="86"/>
      <c r="X587" s="54"/>
      <c r="Y587" s="78"/>
      <c r="Z587" s="54"/>
      <c r="AA587" s="70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54"/>
      <c r="AR587" s="83"/>
      <c r="AS587" s="83"/>
      <c r="AT587" s="93"/>
      <c r="AU587" s="93"/>
      <c r="AV587" s="93"/>
      <c r="AW587" s="83"/>
      <c r="AX587" s="83"/>
      <c r="AY587" s="83"/>
      <c r="AZ587" s="83"/>
      <c r="BA587" s="83"/>
      <c r="BB587" s="83"/>
      <c r="BC587" s="54"/>
      <c r="BD587" s="54" t="str">
        <f t="shared" si="1"/>
        <v/>
      </c>
      <c r="BE587" s="67"/>
      <c r="BF587" s="67"/>
      <c r="BG587" s="67"/>
      <c r="BH587" s="67"/>
      <c r="BI587" s="67"/>
      <c r="BJ587" s="67"/>
      <c r="BK587" s="67"/>
      <c r="BL587" s="67"/>
      <c r="BM587" s="67"/>
      <c r="BN587" s="100"/>
      <c r="BO587" s="102"/>
      <c r="BP587" s="67"/>
      <c r="BQ587" s="79"/>
      <c r="BR587" s="67"/>
      <c r="BS587" s="102"/>
      <c r="BT587" s="106"/>
      <c r="BU587" s="107"/>
      <c r="BV587" s="108" t="str">
        <f t="shared" si="17"/>
        <v/>
      </c>
      <c r="BW587" s="108" t="str">
        <f t="shared" si="16"/>
        <v/>
      </c>
      <c r="BX587" s="102" t="str">
        <f t="shared" si="15"/>
        <v/>
      </c>
      <c r="BY587" s="107" t="str">
        <f t="shared" si="5"/>
        <v/>
      </c>
      <c r="BZ587" s="107" t="str">
        <f t="array" ref="BZ587">IF($A587&lt;&gt;"",INDEX(LISTA!$M$2:$N$27,MATCH($BC587,LISTA!$N$2:$N$27,0),1),"")</f>
        <v/>
      </c>
      <c r="CA587" s="67" t="str">
        <f t="shared" si="6"/>
        <v/>
      </c>
      <c r="CB587" s="114" t="str">
        <f t="shared" si="7"/>
        <v/>
      </c>
      <c r="CC587" s="114"/>
    </row>
    <row r="588" ht="15.0" customHeight="1">
      <c r="A588" s="59"/>
      <c r="B588" s="115"/>
      <c r="C588" s="54"/>
      <c r="D588" s="56"/>
      <c r="E588" s="69"/>
      <c r="F588" s="73"/>
      <c r="G588" s="60"/>
      <c r="H588" s="60"/>
      <c r="I588" s="67"/>
      <c r="J588" s="79"/>
      <c r="K588" s="67"/>
      <c r="L588" s="79"/>
      <c r="M588" s="83"/>
      <c r="N588" s="78"/>
      <c r="O588" s="80"/>
      <c r="P588" s="70"/>
      <c r="Q588" s="54"/>
      <c r="R588" s="84"/>
      <c r="S588" s="84"/>
      <c r="T588" s="54"/>
      <c r="U588" s="86"/>
      <c r="V588" s="54"/>
      <c r="W588" s="86"/>
      <c r="X588" s="54"/>
      <c r="Y588" s="78"/>
      <c r="Z588" s="54"/>
      <c r="AA588" s="70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54"/>
      <c r="AR588" s="83"/>
      <c r="AS588" s="83"/>
      <c r="AT588" s="93"/>
      <c r="AU588" s="93"/>
      <c r="AV588" s="93"/>
      <c r="AW588" s="83"/>
      <c r="AX588" s="83"/>
      <c r="AY588" s="83"/>
      <c r="AZ588" s="83"/>
      <c r="BA588" s="83"/>
      <c r="BB588" s="83"/>
      <c r="BC588" s="54"/>
      <c r="BD588" s="54" t="str">
        <f t="shared" si="1"/>
        <v/>
      </c>
      <c r="BE588" s="67"/>
      <c r="BF588" s="67"/>
      <c r="BG588" s="67"/>
      <c r="BH588" s="67"/>
      <c r="BI588" s="67"/>
      <c r="BJ588" s="67"/>
      <c r="BK588" s="67"/>
      <c r="BL588" s="67"/>
      <c r="BM588" s="67"/>
      <c r="BN588" s="100"/>
      <c r="BO588" s="102"/>
      <c r="BP588" s="67"/>
      <c r="BQ588" s="79"/>
      <c r="BR588" s="67"/>
      <c r="BS588" s="102"/>
      <c r="BT588" s="106"/>
      <c r="BU588" s="107"/>
      <c r="BV588" s="108" t="str">
        <f t="shared" si="17"/>
        <v/>
      </c>
      <c r="BW588" s="108" t="str">
        <f t="shared" si="16"/>
        <v/>
      </c>
      <c r="BX588" s="102" t="str">
        <f t="shared" si="15"/>
        <v/>
      </c>
      <c r="BY588" s="107" t="str">
        <f t="shared" si="5"/>
        <v/>
      </c>
      <c r="BZ588" s="107" t="str">
        <f t="array" ref="BZ588">IF($A588&lt;&gt;"",INDEX(LISTA!$M$2:$N$27,MATCH($BC588,LISTA!$N$2:$N$27,0),1),"")</f>
        <v/>
      </c>
      <c r="CA588" s="67" t="str">
        <f t="shared" si="6"/>
        <v/>
      </c>
      <c r="CB588" s="114" t="str">
        <f t="shared" si="7"/>
        <v/>
      </c>
      <c r="CC588" s="114"/>
    </row>
    <row r="589" ht="15.0" customHeight="1">
      <c r="A589" s="59"/>
      <c r="B589" s="115"/>
      <c r="C589" s="54"/>
      <c r="D589" s="56"/>
      <c r="E589" s="69"/>
      <c r="F589" s="73"/>
      <c r="G589" s="60"/>
      <c r="H589" s="60"/>
      <c r="I589" s="67"/>
      <c r="J589" s="79"/>
      <c r="K589" s="67"/>
      <c r="L589" s="79"/>
      <c r="M589" s="83"/>
      <c r="N589" s="78"/>
      <c r="O589" s="80"/>
      <c r="P589" s="70"/>
      <c r="Q589" s="54"/>
      <c r="R589" s="84"/>
      <c r="S589" s="84"/>
      <c r="T589" s="54"/>
      <c r="U589" s="86"/>
      <c r="V589" s="54"/>
      <c r="W589" s="86"/>
      <c r="X589" s="54"/>
      <c r="Y589" s="78"/>
      <c r="Z589" s="54"/>
      <c r="AA589" s="70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54"/>
      <c r="AR589" s="83"/>
      <c r="AS589" s="83"/>
      <c r="AT589" s="93"/>
      <c r="AU589" s="93"/>
      <c r="AV589" s="93"/>
      <c r="AW589" s="83"/>
      <c r="AX589" s="83"/>
      <c r="AY589" s="83"/>
      <c r="AZ589" s="83"/>
      <c r="BA589" s="83"/>
      <c r="BB589" s="83"/>
      <c r="BC589" s="54"/>
      <c r="BD589" s="54" t="str">
        <f t="shared" si="1"/>
        <v/>
      </c>
      <c r="BE589" s="67"/>
      <c r="BF589" s="67"/>
      <c r="BG589" s="67"/>
      <c r="BH589" s="67"/>
      <c r="BI589" s="67"/>
      <c r="BJ589" s="67"/>
      <c r="BK589" s="67"/>
      <c r="BL589" s="67"/>
      <c r="BM589" s="67"/>
      <c r="BN589" s="100"/>
      <c r="BO589" s="102"/>
      <c r="BP589" s="67"/>
      <c r="BQ589" s="79"/>
      <c r="BR589" s="67"/>
      <c r="BS589" s="102"/>
      <c r="BT589" s="106"/>
      <c r="BU589" s="107"/>
      <c r="BV589" s="108" t="str">
        <f t="shared" si="17"/>
        <v/>
      </c>
      <c r="BW589" s="108" t="str">
        <f t="shared" si="16"/>
        <v/>
      </c>
      <c r="BX589" s="102" t="str">
        <f t="shared" si="15"/>
        <v/>
      </c>
      <c r="BY589" s="107" t="str">
        <f t="shared" si="5"/>
        <v/>
      </c>
      <c r="BZ589" s="107" t="str">
        <f t="array" ref="BZ589">IF($A589&lt;&gt;"",INDEX(LISTA!$M$2:$N$27,MATCH($BC589,LISTA!$N$2:$N$27,0),1),"")</f>
        <v/>
      </c>
      <c r="CA589" s="67" t="str">
        <f t="shared" si="6"/>
        <v/>
      </c>
      <c r="CB589" s="114" t="str">
        <f t="shared" si="7"/>
        <v/>
      </c>
      <c r="CC589" s="114"/>
    </row>
    <row r="590" ht="15.0" customHeight="1">
      <c r="A590" s="59"/>
      <c r="B590" s="115"/>
      <c r="C590" s="54"/>
      <c r="D590" s="56"/>
      <c r="E590" s="69"/>
      <c r="F590" s="73"/>
      <c r="G590" s="60"/>
      <c r="H590" s="60"/>
      <c r="I590" s="67"/>
      <c r="J590" s="79"/>
      <c r="K590" s="67"/>
      <c r="L590" s="79"/>
      <c r="M590" s="83"/>
      <c r="N590" s="78"/>
      <c r="O590" s="80"/>
      <c r="P590" s="70"/>
      <c r="Q590" s="54"/>
      <c r="R590" s="84"/>
      <c r="S590" s="84"/>
      <c r="T590" s="54"/>
      <c r="U590" s="86"/>
      <c r="V590" s="54"/>
      <c r="W590" s="86"/>
      <c r="X590" s="54"/>
      <c r="Y590" s="78"/>
      <c r="Z590" s="54"/>
      <c r="AA590" s="70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54"/>
      <c r="AR590" s="83"/>
      <c r="AS590" s="83"/>
      <c r="AT590" s="93"/>
      <c r="AU590" s="93"/>
      <c r="AV590" s="93"/>
      <c r="AW590" s="83"/>
      <c r="AX590" s="83"/>
      <c r="AY590" s="83"/>
      <c r="AZ590" s="83"/>
      <c r="BA590" s="83"/>
      <c r="BB590" s="83"/>
      <c r="BC590" s="54"/>
      <c r="BD590" s="54" t="str">
        <f t="shared" si="1"/>
        <v/>
      </c>
      <c r="BE590" s="67"/>
      <c r="BF590" s="67"/>
      <c r="BG590" s="67"/>
      <c r="BH590" s="67"/>
      <c r="BI590" s="67"/>
      <c r="BJ590" s="67"/>
      <c r="BK590" s="67"/>
      <c r="BL590" s="67"/>
      <c r="BM590" s="67"/>
      <c r="BN590" s="100"/>
      <c r="BO590" s="102"/>
      <c r="BP590" s="67"/>
      <c r="BQ590" s="79"/>
      <c r="BR590" s="67"/>
      <c r="BS590" s="102"/>
      <c r="BT590" s="106"/>
      <c r="BU590" s="107"/>
      <c r="BV590" s="108" t="str">
        <f t="shared" si="17"/>
        <v/>
      </c>
      <c r="BW590" s="108" t="str">
        <f t="shared" si="16"/>
        <v/>
      </c>
      <c r="BX590" s="102" t="str">
        <f t="shared" si="15"/>
        <v/>
      </c>
      <c r="BY590" s="107" t="str">
        <f t="shared" si="5"/>
        <v/>
      </c>
      <c r="BZ590" s="107" t="str">
        <f t="array" ref="BZ590">IF($A590&lt;&gt;"",INDEX(LISTA!$M$2:$N$27,MATCH($BC590,LISTA!$N$2:$N$27,0),1),"")</f>
        <v/>
      </c>
      <c r="CA590" s="67" t="str">
        <f t="shared" si="6"/>
        <v/>
      </c>
      <c r="CB590" s="114" t="str">
        <f t="shared" si="7"/>
        <v/>
      </c>
      <c r="CC590" s="114"/>
    </row>
    <row r="591" ht="15.0" customHeight="1">
      <c r="A591" s="59"/>
      <c r="B591" s="115"/>
      <c r="C591" s="54"/>
      <c r="D591" s="56"/>
      <c r="E591" s="69"/>
      <c r="F591" s="73"/>
      <c r="G591" s="60"/>
      <c r="H591" s="60"/>
      <c r="I591" s="67"/>
      <c r="J591" s="79"/>
      <c r="K591" s="67"/>
      <c r="L591" s="79"/>
      <c r="M591" s="83"/>
      <c r="N591" s="78"/>
      <c r="O591" s="80"/>
      <c r="P591" s="70"/>
      <c r="Q591" s="54"/>
      <c r="R591" s="84"/>
      <c r="S591" s="84"/>
      <c r="T591" s="54"/>
      <c r="U591" s="86"/>
      <c r="V591" s="54"/>
      <c r="W591" s="86"/>
      <c r="X591" s="54"/>
      <c r="Y591" s="78"/>
      <c r="Z591" s="54"/>
      <c r="AA591" s="70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54"/>
      <c r="AR591" s="83"/>
      <c r="AS591" s="83"/>
      <c r="AT591" s="93"/>
      <c r="AU591" s="93"/>
      <c r="AV591" s="93"/>
      <c r="AW591" s="83"/>
      <c r="AX591" s="83"/>
      <c r="AY591" s="83"/>
      <c r="AZ591" s="83"/>
      <c r="BA591" s="83"/>
      <c r="BB591" s="83"/>
      <c r="BC591" s="54"/>
      <c r="BD591" s="54" t="str">
        <f t="shared" si="1"/>
        <v/>
      </c>
      <c r="BE591" s="67"/>
      <c r="BF591" s="67"/>
      <c r="BG591" s="67"/>
      <c r="BH591" s="67"/>
      <c r="BI591" s="67"/>
      <c r="BJ591" s="67"/>
      <c r="BK591" s="67"/>
      <c r="BL591" s="67"/>
      <c r="BM591" s="67"/>
      <c r="BN591" s="100"/>
      <c r="BO591" s="102"/>
      <c r="BP591" s="67"/>
      <c r="BQ591" s="79"/>
      <c r="BR591" s="67"/>
      <c r="BS591" s="102"/>
      <c r="BT591" s="106"/>
      <c r="BU591" s="107"/>
      <c r="BV591" s="108" t="str">
        <f t="shared" si="17"/>
        <v/>
      </c>
      <c r="BW591" s="108" t="str">
        <f t="shared" si="16"/>
        <v/>
      </c>
      <c r="BX591" s="102" t="str">
        <f t="shared" si="15"/>
        <v/>
      </c>
      <c r="BY591" s="107" t="str">
        <f t="shared" si="5"/>
        <v/>
      </c>
      <c r="BZ591" s="107" t="str">
        <f t="array" ref="BZ591">IF($A591&lt;&gt;"",INDEX(LISTA!$M$2:$N$27,MATCH($BC591,LISTA!$N$2:$N$27,0),1),"")</f>
        <v/>
      </c>
      <c r="CA591" s="67" t="str">
        <f t="shared" si="6"/>
        <v/>
      </c>
      <c r="CB591" s="114" t="str">
        <f t="shared" si="7"/>
        <v/>
      </c>
      <c r="CC591" s="114"/>
    </row>
    <row r="592" ht="15.0" customHeight="1">
      <c r="A592" s="59"/>
      <c r="B592" s="115"/>
      <c r="C592" s="54"/>
      <c r="D592" s="56"/>
      <c r="E592" s="69"/>
      <c r="F592" s="73"/>
      <c r="G592" s="60"/>
      <c r="H592" s="60"/>
      <c r="I592" s="67"/>
      <c r="J592" s="79"/>
      <c r="K592" s="67"/>
      <c r="L592" s="79"/>
      <c r="M592" s="83"/>
      <c r="N592" s="78"/>
      <c r="O592" s="80"/>
      <c r="P592" s="70"/>
      <c r="Q592" s="54"/>
      <c r="R592" s="84"/>
      <c r="S592" s="84"/>
      <c r="T592" s="54"/>
      <c r="U592" s="86"/>
      <c r="V592" s="54"/>
      <c r="W592" s="86"/>
      <c r="X592" s="54"/>
      <c r="Y592" s="78"/>
      <c r="Z592" s="54"/>
      <c r="AA592" s="70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54"/>
      <c r="AR592" s="83"/>
      <c r="AS592" s="83"/>
      <c r="AT592" s="93"/>
      <c r="AU592" s="93"/>
      <c r="AV592" s="93"/>
      <c r="AW592" s="83"/>
      <c r="AX592" s="83"/>
      <c r="AY592" s="83"/>
      <c r="AZ592" s="83"/>
      <c r="BA592" s="83"/>
      <c r="BB592" s="83"/>
      <c r="BC592" s="54"/>
      <c r="BD592" s="54" t="str">
        <f t="shared" si="1"/>
        <v/>
      </c>
      <c r="BE592" s="67"/>
      <c r="BF592" s="67"/>
      <c r="BG592" s="67"/>
      <c r="BH592" s="67"/>
      <c r="BI592" s="67"/>
      <c r="BJ592" s="67"/>
      <c r="BK592" s="67"/>
      <c r="BL592" s="67"/>
      <c r="BM592" s="67"/>
      <c r="BN592" s="100"/>
      <c r="BO592" s="102"/>
      <c r="BP592" s="67"/>
      <c r="BQ592" s="79"/>
      <c r="BR592" s="67"/>
      <c r="BS592" s="102"/>
      <c r="BT592" s="106"/>
      <c r="BU592" s="107"/>
      <c r="BV592" s="108" t="str">
        <f t="shared" si="17"/>
        <v/>
      </c>
      <c r="BW592" s="108" t="str">
        <f t="shared" si="16"/>
        <v/>
      </c>
      <c r="BX592" s="102" t="str">
        <f t="shared" si="15"/>
        <v/>
      </c>
      <c r="BY592" s="107" t="str">
        <f t="shared" si="5"/>
        <v/>
      </c>
      <c r="BZ592" s="107" t="str">
        <f t="array" ref="BZ592">IF($A592&lt;&gt;"",INDEX(LISTA!$M$2:$N$27,MATCH($BC592,LISTA!$N$2:$N$27,0),1),"")</f>
        <v/>
      </c>
      <c r="CA592" s="67" t="str">
        <f t="shared" si="6"/>
        <v/>
      </c>
      <c r="CB592" s="114" t="str">
        <f t="shared" si="7"/>
        <v/>
      </c>
      <c r="CC592" s="114"/>
    </row>
    <row r="593" ht="15.0" customHeight="1">
      <c r="A593" s="59"/>
      <c r="B593" s="115"/>
      <c r="C593" s="54"/>
      <c r="D593" s="56"/>
      <c r="E593" s="69"/>
      <c r="F593" s="73"/>
      <c r="G593" s="60"/>
      <c r="H593" s="60"/>
      <c r="I593" s="67"/>
      <c r="J593" s="79"/>
      <c r="K593" s="67"/>
      <c r="L593" s="79"/>
      <c r="M593" s="83"/>
      <c r="N593" s="78"/>
      <c r="O593" s="80"/>
      <c r="P593" s="70"/>
      <c r="Q593" s="54"/>
      <c r="R593" s="84"/>
      <c r="S593" s="84"/>
      <c r="T593" s="54"/>
      <c r="U593" s="86"/>
      <c r="V593" s="54"/>
      <c r="W593" s="86"/>
      <c r="X593" s="54"/>
      <c r="Y593" s="78"/>
      <c r="Z593" s="54"/>
      <c r="AA593" s="70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54"/>
      <c r="AR593" s="83"/>
      <c r="AS593" s="83"/>
      <c r="AT593" s="93"/>
      <c r="AU593" s="93"/>
      <c r="AV593" s="93"/>
      <c r="AW593" s="83"/>
      <c r="AX593" s="83"/>
      <c r="AY593" s="83"/>
      <c r="AZ593" s="83"/>
      <c r="BA593" s="83"/>
      <c r="BB593" s="83"/>
      <c r="BC593" s="54"/>
      <c r="BD593" s="54" t="str">
        <f t="shared" si="1"/>
        <v/>
      </c>
      <c r="BE593" s="67"/>
      <c r="BF593" s="67"/>
      <c r="BG593" s="67"/>
      <c r="BH593" s="67"/>
      <c r="BI593" s="67"/>
      <c r="BJ593" s="67"/>
      <c r="BK593" s="67"/>
      <c r="BL593" s="67"/>
      <c r="BM593" s="67"/>
      <c r="BN593" s="100"/>
      <c r="BO593" s="102"/>
      <c r="BP593" s="67"/>
      <c r="BQ593" s="79"/>
      <c r="BR593" s="67"/>
      <c r="BS593" s="102"/>
      <c r="BT593" s="106"/>
      <c r="BU593" s="107"/>
      <c r="BV593" s="108" t="str">
        <f t="shared" si="17"/>
        <v/>
      </c>
      <c r="BW593" s="108" t="str">
        <f t="shared" si="16"/>
        <v/>
      </c>
      <c r="BX593" s="102" t="str">
        <f t="shared" si="15"/>
        <v/>
      </c>
      <c r="BY593" s="107" t="str">
        <f t="shared" si="5"/>
        <v/>
      </c>
      <c r="BZ593" s="107" t="str">
        <f t="array" ref="BZ593">IF($A593&lt;&gt;"",INDEX(LISTA!$M$2:$N$27,MATCH($BC593,LISTA!$N$2:$N$27,0),1),"")</f>
        <v/>
      </c>
      <c r="CA593" s="67" t="str">
        <f t="shared" si="6"/>
        <v/>
      </c>
      <c r="CB593" s="114" t="str">
        <f t="shared" si="7"/>
        <v/>
      </c>
      <c r="CC593" s="114"/>
    </row>
    <row r="594" ht="15.0" customHeight="1">
      <c r="A594" s="59"/>
      <c r="B594" s="115"/>
      <c r="C594" s="54"/>
      <c r="D594" s="56"/>
      <c r="E594" s="69"/>
      <c r="F594" s="73"/>
      <c r="G594" s="60"/>
      <c r="H594" s="60"/>
      <c r="I594" s="67"/>
      <c r="J594" s="79"/>
      <c r="K594" s="67"/>
      <c r="L594" s="79"/>
      <c r="M594" s="83"/>
      <c r="N594" s="78"/>
      <c r="O594" s="80"/>
      <c r="P594" s="70"/>
      <c r="Q594" s="54"/>
      <c r="R594" s="84"/>
      <c r="S594" s="84"/>
      <c r="T594" s="54"/>
      <c r="U594" s="86"/>
      <c r="V594" s="54"/>
      <c r="W594" s="86"/>
      <c r="X594" s="54"/>
      <c r="Y594" s="78"/>
      <c r="Z594" s="54"/>
      <c r="AA594" s="70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54"/>
      <c r="AR594" s="83"/>
      <c r="AS594" s="83"/>
      <c r="AT594" s="93"/>
      <c r="AU594" s="93"/>
      <c r="AV594" s="93"/>
      <c r="AW594" s="83"/>
      <c r="AX594" s="83"/>
      <c r="AY594" s="83"/>
      <c r="AZ594" s="83"/>
      <c r="BA594" s="83"/>
      <c r="BB594" s="83"/>
      <c r="BC594" s="54"/>
      <c r="BD594" s="54" t="str">
        <f t="shared" si="1"/>
        <v/>
      </c>
      <c r="BE594" s="67"/>
      <c r="BF594" s="67"/>
      <c r="BG594" s="67"/>
      <c r="BH594" s="67"/>
      <c r="BI594" s="67"/>
      <c r="BJ594" s="67"/>
      <c r="BK594" s="67"/>
      <c r="BL594" s="67"/>
      <c r="BM594" s="67"/>
      <c r="BN594" s="100"/>
      <c r="BO594" s="102"/>
      <c r="BP594" s="67"/>
      <c r="BQ594" s="79"/>
      <c r="BR594" s="67"/>
      <c r="BS594" s="102"/>
      <c r="BT594" s="106"/>
      <c r="BU594" s="107"/>
      <c r="BV594" s="108" t="str">
        <f t="shared" si="17"/>
        <v/>
      </c>
      <c r="BW594" s="108" t="str">
        <f t="shared" si="16"/>
        <v/>
      </c>
      <c r="BX594" s="102" t="str">
        <f t="shared" si="15"/>
        <v/>
      </c>
      <c r="BY594" s="107" t="str">
        <f t="shared" si="5"/>
        <v/>
      </c>
      <c r="BZ594" s="107" t="str">
        <f t="array" ref="BZ594">IF($A594&lt;&gt;"",INDEX(LISTA!$M$2:$N$27,MATCH($BC594,LISTA!$N$2:$N$27,0),1),"")</f>
        <v/>
      </c>
      <c r="CA594" s="67" t="str">
        <f t="shared" si="6"/>
        <v/>
      </c>
      <c r="CB594" s="114" t="str">
        <f t="shared" si="7"/>
        <v/>
      </c>
      <c r="CC594" s="114"/>
    </row>
    <row r="595" ht="15.0" customHeight="1">
      <c r="A595" s="59"/>
      <c r="B595" s="115"/>
      <c r="C595" s="54"/>
      <c r="D595" s="56"/>
      <c r="E595" s="69"/>
      <c r="F595" s="73"/>
      <c r="G595" s="60"/>
      <c r="H595" s="60"/>
      <c r="I595" s="67"/>
      <c r="J595" s="79"/>
      <c r="K595" s="67"/>
      <c r="L595" s="79"/>
      <c r="M595" s="83"/>
      <c r="N595" s="78"/>
      <c r="O595" s="80"/>
      <c r="P595" s="70"/>
      <c r="Q595" s="54"/>
      <c r="R595" s="84"/>
      <c r="S595" s="84"/>
      <c r="T595" s="54"/>
      <c r="U595" s="86"/>
      <c r="V595" s="54"/>
      <c r="W595" s="86"/>
      <c r="X595" s="54"/>
      <c r="Y595" s="78"/>
      <c r="Z595" s="54"/>
      <c r="AA595" s="70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54"/>
      <c r="AR595" s="83"/>
      <c r="AS595" s="83"/>
      <c r="AT595" s="93"/>
      <c r="AU595" s="93"/>
      <c r="AV595" s="93"/>
      <c r="AW595" s="83"/>
      <c r="AX595" s="83"/>
      <c r="AY595" s="83"/>
      <c r="AZ595" s="83"/>
      <c r="BA595" s="83"/>
      <c r="BB595" s="83"/>
      <c r="BC595" s="54"/>
      <c r="BD595" s="54" t="str">
        <f t="shared" si="1"/>
        <v/>
      </c>
      <c r="BE595" s="67"/>
      <c r="BF595" s="67"/>
      <c r="BG595" s="67"/>
      <c r="BH595" s="67"/>
      <c r="BI595" s="67"/>
      <c r="BJ595" s="67"/>
      <c r="BK595" s="67"/>
      <c r="BL595" s="67"/>
      <c r="BM595" s="67"/>
      <c r="BN595" s="100"/>
      <c r="BO595" s="102"/>
      <c r="BP595" s="67"/>
      <c r="BQ595" s="79"/>
      <c r="BR595" s="67"/>
      <c r="BS595" s="102"/>
      <c r="BT595" s="106"/>
      <c r="BU595" s="107"/>
      <c r="BV595" s="108" t="str">
        <f t="shared" si="17"/>
        <v/>
      </c>
      <c r="BW595" s="108" t="str">
        <f t="shared" si="16"/>
        <v/>
      </c>
      <c r="BX595" s="102" t="str">
        <f t="shared" si="15"/>
        <v/>
      </c>
      <c r="BY595" s="107" t="str">
        <f t="shared" si="5"/>
        <v/>
      </c>
      <c r="BZ595" s="107" t="str">
        <f t="array" ref="BZ595">IF($A595&lt;&gt;"",INDEX(LISTA!$M$2:$N$27,MATCH($BC595,LISTA!$N$2:$N$27,0),1),"")</f>
        <v/>
      </c>
      <c r="CA595" s="67" t="str">
        <f t="shared" si="6"/>
        <v/>
      </c>
      <c r="CB595" s="114" t="str">
        <f t="shared" si="7"/>
        <v/>
      </c>
      <c r="CC595" s="114"/>
    </row>
    <row r="596" ht="15.0" customHeight="1">
      <c r="A596" s="59"/>
      <c r="B596" s="115"/>
      <c r="C596" s="54"/>
      <c r="D596" s="56"/>
      <c r="E596" s="69"/>
      <c r="F596" s="73"/>
      <c r="G596" s="60"/>
      <c r="H596" s="60"/>
      <c r="I596" s="67"/>
      <c r="J596" s="79"/>
      <c r="K596" s="67"/>
      <c r="L596" s="79"/>
      <c r="M596" s="83"/>
      <c r="N596" s="78"/>
      <c r="O596" s="80"/>
      <c r="P596" s="70"/>
      <c r="Q596" s="54"/>
      <c r="R596" s="84"/>
      <c r="S596" s="84"/>
      <c r="T596" s="54"/>
      <c r="U596" s="86"/>
      <c r="V596" s="54"/>
      <c r="W596" s="86"/>
      <c r="X596" s="54"/>
      <c r="Y596" s="78"/>
      <c r="Z596" s="54"/>
      <c r="AA596" s="70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54"/>
      <c r="AR596" s="83"/>
      <c r="AS596" s="83"/>
      <c r="AT596" s="93"/>
      <c r="AU596" s="93"/>
      <c r="AV596" s="93"/>
      <c r="AW596" s="83"/>
      <c r="AX596" s="83"/>
      <c r="AY596" s="83"/>
      <c r="AZ596" s="83"/>
      <c r="BA596" s="83"/>
      <c r="BB596" s="83"/>
      <c r="BC596" s="54"/>
      <c r="BD596" s="54" t="str">
        <f t="shared" si="1"/>
        <v/>
      </c>
      <c r="BE596" s="67"/>
      <c r="BF596" s="67"/>
      <c r="BG596" s="67"/>
      <c r="BH596" s="67"/>
      <c r="BI596" s="67"/>
      <c r="BJ596" s="67"/>
      <c r="BK596" s="67"/>
      <c r="BL596" s="67"/>
      <c r="BM596" s="67"/>
      <c r="BN596" s="100"/>
      <c r="BO596" s="102"/>
      <c r="BP596" s="67"/>
      <c r="BQ596" s="79"/>
      <c r="BR596" s="67"/>
      <c r="BS596" s="102"/>
      <c r="BT596" s="106"/>
      <c r="BU596" s="107"/>
      <c r="BV596" s="108" t="str">
        <f t="shared" si="17"/>
        <v/>
      </c>
      <c r="BW596" s="108" t="str">
        <f t="shared" si="16"/>
        <v/>
      </c>
      <c r="BX596" s="102" t="str">
        <f t="shared" si="15"/>
        <v/>
      </c>
      <c r="BY596" s="107" t="str">
        <f t="shared" si="5"/>
        <v/>
      </c>
      <c r="BZ596" s="107" t="str">
        <f t="array" ref="BZ596">IF($A596&lt;&gt;"",INDEX(LISTA!$M$2:$N$27,MATCH($BC596,LISTA!$N$2:$N$27,0),1),"")</f>
        <v/>
      </c>
      <c r="CA596" s="67" t="str">
        <f t="shared" si="6"/>
        <v/>
      </c>
      <c r="CB596" s="114" t="str">
        <f t="shared" si="7"/>
        <v/>
      </c>
      <c r="CC596" s="114"/>
    </row>
    <row r="597" ht="15.0" customHeight="1">
      <c r="A597" s="59"/>
      <c r="B597" s="115"/>
      <c r="C597" s="54"/>
      <c r="D597" s="56"/>
      <c r="E597" s="69"/>
      <c r="F597" s="73"/>
      <c r="G597" s="60"/>
      <c r="H597" s="60"/>
      <c r="I597" s="67"/>
      <c r="J597" s="79"/>
      <c r="K597" s="67"/>
      <c r="L597" s="79"/>
      <c r="M597" s="83"/>
      <c r="N597" s="78"/>
      <c r="O597" s="80"/>
      <c r="P597" s="70"/>
      <c r="Q597" s="54"/>
      <c r="R597" s="84"/>
      <c r="S597" s="84"/>
      <c r="T597" s="54"/>
      <c r="U597" s="86"/>
      <c r="V597" s="54"/>
      <c r="W597" s="86"/>
      <c r="X597" s="54"/>
      <c r="Y597" s="78"/>
      <c r="Z597" s="54"/>
      <c r="AA597" s="70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54"/>
      <c r="AR597" s="83"/>
      <c r="AS597" s="83"/>
      <c r="AT597" s="93"/>
      <c r="AU597" s="93"/>
      <c r="AV597" s="93"/>
      <c r="AW597" s="83"/>
      <c r="AX597" s="83"/>
      <c r="AY597" s="83"/>
      <c r="AZ597" s="83"/>
      <c r="BA597" s="83"/>
      <c r="BB597" s="83"/>
      <c r="BC597" s="54"/>
      <c r="BD597" s="54" t="str">
        <f t="shared" si="1"/>
        <v/>
      </c>
      <c r="BE597" s="67"/>
      <c r="BF597" s="67"/>
      <c r="BG597" s="67"/>
      <c r="BH597" s="67"/>
      <c r="BI597" s="67"/>
      <c r="BJ597" s="67"/>
      <c r="BK597" s="67"/>
      <c r="BL597" s="67"/>
      <c r="BM597" s="67"/>
      <c r="BN597" s="100"/>
      <c r="BO597" s="102"/>
      <c r="BP597" s="67"/>
      <c r="BQ597" s="79"/>
      <c r="BR597" s="67"/>
      <c r="BS597" s="102"/>
      <c r="BT597" s="106"/>
      <c r="BU597" s="107"/>
      <c r="BV597" s="108" t="str">
        <f t="shared" si="17"/>
        <v/>
      </c>
      <c r="BW597" s="108" t="str">
        <f t="shared" si="16"/>
        <v/>
      </c>
      <c r="BX597" s="102" t="str">
        <f t="shared" si="15"/>
        <v/>
      </c>
      <c r="BY597" s="107" t="str">
        <f t="shared" si="5"/>
        <v/>
      </c>
      <c r="BZ597" s="107" t="str">
        <f t="array" ref="BZ597">IF($A597&lt;&gt;"",INDEX(LISTA!$M$2:$N$27,MATCH($BC597,LISTA!$N$2:$N$27,0),1),"")</f>
        <v/>
      </c>
      <c r="CA597" s="67" t="str">
        <f t="shared" si="6"/>
        <v/>
      </c>
      <c r="CB597" s="114" t="str">
        <f t="shared" si="7"/>
        <v/>
      </c>
      <c r="CC597" s="114"/>
    </row>
    <row r="598" ht="15.0" customHeight="1">
      <c r="A598" s="59"/>
      <c r="B598" s="115"/>
      <c r="C598" s="54"/>
      <c r="D598" s="56"/>
      <c r="E598" s="69"/>
      <c r="F598" s="73"/>
      <c r="G598" s="60"/>
      <c r="H598" s="60"/>
      <c r="I598" s="67"/>
      <c r="J598" s="79"/>
      <c r="K598" s="67"/>
      <c r="L598" s="79"/>
      <c r="M598" s="83"/>
      <c r="N598" s="78"/>
      <c r="O598" s="80"/>
      <c r="P598" s="70"/>
      <c r="Q598" s="54"/>
      <c r="R598" s="84"/>
      <c r="S598" s="84"/>
      <c r="T598" s="54"/>
      <c r="U598" s="86"/>
      <c r="V598" s="54"/>
      <c r="W598" s="86"/>
      <c r="X598" s="54"/>
      <c r="Y598" s="78"/>
      <c r="Z598" s="54"/>
      <c r="AA598" s="70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54"/>
      <c r="AR598" s="83"/>
      <c r="AS598" s="83"/>
      <c r="AT598" s="93"/>
      <c r="AU598" s="93"/>
      <c r="AV598" s="93"/>
      <c r="AW598" s="83"/>
      <c r="AX598" s="83"/>
      <c r="AY598" s="83"/>
      <c r="AZ598" s="83"/>
      <c r="BA598" s="83"/>
      <c r="BB598" s="83"/>
      <c r="BC598" s="54"/>
      <c r="BD598" s="54" t="str">
        <f t="shared" si="1"/>
        <v/>
      </c>
      <c r="BE598" s="67"/>
      <c r="BF598" s="67"/>
      <c r="BG598" s="67"/>
      <c r="BH598" s="67"/>
      <c r="BI598" s="67"/>
      <c r="BJ598" s="67"/>
      <c r="BK598" s="67"/>
      <c r="BL598" s="67"/>
      <c r="BM598" s="67"/>
      <c r="BN598" s="100"/>
      <c r="BO598" s="102"/>
      <c r="BP598" s="67"/>
      <c r="BQ598" s="79"/>
      <c r="BR598" s="67"/>
      <c r="BS598" s="102"/>
      <c r="BT598" s="106"/>
      <c r="BU598" s="107"/>
      <c r="BV598" s="108" t="str">
        <f t="shared" si="17"/>
        <v/>
      </c>
      <c r="BW598" s="108" t="str">
        <f t="shared" si="16"/>
        <v/>
      </c>
      <c r="BX598" s="102" t="str">
        <f t="shared" si="15"/>
        <v/>
      </c>
      <c r="BY598" s="107" t="str">
        <f t="shared" si="5"/>
        <v/>
      </c>
      <c r="BZ598" s="107" t="str">
        <f t="array" ref="BZ598">IF($A598&lt;&gt;"",INDEX(LISTA!$M$2:$N$27,MATCH($BC598,LISTA!$N$2:$N$27,0),1),"")</f>
        <v/>
      </c>
      <c r="CA598" s="67" t="str">
        <f t="shared" si="6"/>
        <v/>
      </c>
      <c r="CB598" s="114" t="str">
        <f t="shared" si="7"/>
        <v/>
      </c>
      <c r="CC598" s="114"/>
    </row>
    <row r="599" ht="15.0" customHeight="1">
      <c r="A599" s="59"/>
      <c r="B599" s="115"/>
      <c r="C599" s="54"/>
      <c r="D599" s="56"/>
      <c r="E599" s="69"/>
      <c r="F599" s="73"/>
      <c r="G599" s="60"/>
      <c r="H599" s="60"/>
      <c r="I599" s="67"/>
      <c r="J599" s="79"/>
      <c r="K599" s="67"/>
      <c r="L599" s="79"/>
      <c r="M599" s="83"/>
      <c r="N599" s="78"/>
      <c r="O599" s="80"/>
      <c r="P599" s="70"/>
      <c r="Q599" s="54"/>
      <c r="R599" s="84"/>
      <c r="S599" s="84"/>
      <c r="T599" s="54"/>
      <c r="U599" s="86"/>
      <c r="V599" s="54"/>
      <c r="W599" s="86"/>
      <c r="X599" s="54"/>
      <c r="Y599" s="78"/>
      <c r="Z599" s="54"/>
      <c r="AA599" s="70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54"/>
      <c r="AR599" s="83"/>
      <c r="AS599" s="83"/>
      <c r="AT599" s="93"/>
      <c r="AU599" s="93"/>
      <c r="AV599" s="93"/>
      <c r="AW599" s="83"/>
      <c r="AX599" s="83"/>
      <c r="AY599" s="83"/>
      <c r="AZ599" s="83"/>
      <c r="BA599" s="83"/>
      <c r="BB599" s="83"/>
      <c r="BC599" s="54"/>
      <c r="BD599" s="54" t="str">
        <f t="shared" si="1"/>
        <v/>
      </c>
      <c r="BE599" s="67"/>
      <c r="BF599" s="67"/>
      <c r="BG599" s="67"/>
      <c r="BH599" s="67"/>
      <c r="BI599" s="67"/>
      <c r="BJ599" s="67"/>
      <c r="BK599" s="67"/>
      <c r="BL599" s="67"/>
      <c r="BM599" s="67"/>
      <c r="BN599" s="100"/>
      <c r="BO599" s="102"/>
      <c r="BP599" s="67"/>
      <c r="BQ599" s="79"/>
      <c r="BR599" s="67"/>
      <c r="BS599" s="102"/>
      <c r="BT599" s="106"/>
      <c r="BU599" s="107"/>
      <c r="BV599" s="108" t="str">
        <f t="shared" si="17"/>
        <v/>
      </c>
      <c r="BW599" s="108" t="str">
        <f t="shared" si="16"/>
        <v/>
      </c>
      <c r="BX599" s="102" t="str">
        <f t="shared" si="15"/>
        <v/>
      </c>
      <c r="BY599" s="107" t="str">
        <f t="shared" si="5"/>
        <v/>
      </c>
      <c r="BZ599" s="107" t="str">
        <f t="array" ref="BZ599">IF($A599&lt;&gt;"",INDEX(LISTA!$M$2:$N$27,MATCH($BC599,LISTA!$N$2:$N$27,0),1),"")</f>
        <v/>
      </c>
      <c r="CA599" s="67" t="str">
        <f t="shared" si="6"/>
        <v/>
      </c>
      <c r="CB599" s="114" t="str">
        <f t="shared" si="7"/>
        <v/>
      </c>
      <c r="CC599" s="114"/>
    </row>
    <row r="600" ht="15.0" customHeight="1">
      <c r="A600" s="59"/>
      <c r="B600" s="115"/>
      <c r="C600" s="54"/>
      <c r="D600" s="56"/>
      <c r="E600" s="69"/>
      <c r="F600" s="73"/>
      <c r="G600" s="60"/>
      <c r="H600" s="60"/>
      <c r="I600" s="67"/>
      <c r="J600" s="79"/>
      <c r="K600" s="67"/>
      <c r="L600" s="79"/>
      <c r="M600" s="83"/>
      <c r="N600" s="78"/>
      <c r="O600" s="80"/>
      <c r="P600" s="70"/>
      <c r="Q600" s="54"/>
      <c r="R600" s="84"/>
      <c r="S600" s="84"/>
      <c r="T600" s="54"/>
      <c r="U600" s="86"/>
      <c r="V600" s="54"/>
      <c r="W600" s="86"/>
      <c r="X600" s="54"/>
      <c r="Y600" s="78"/>
      <c r="Z600" s="54"/>
      <c r="AA600" s="70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54"/>
      <c r="AR600" s="83"/>
      <c r="AS600" s="83"/>
      <c r="AT600" s="93"/>
      <c r="AU600" s="93"/>
      <c r="AV600" s="93"/>
      <c r="AW600" s="83"/>
      <c r="AX600" s="83"/>
      <c r="AY600" s="83"/>
      <c r="AZ600" s="83"/>
      <c r="BA600" s="83"/>
      <c r="BB600" s="83"/>
      <c r="BC600" s="54"/>
      <c r="BD600" s="54" t="str">
        <f t="shared" si="1"/>
        <v/>
      </c>
      <c r="BE600" s="67"/>
      <c r="BF600" s="67"/>
      <c r="BG600" s="67"/>
      <c r="BH600" s="67"/>
      <c r="BI600" s="67"/>
      <c r="BJ600" s="67"/>
      <c r="BK600" s="67"/>
      <c r="BL600" s="67"/>
      <c r="BM600" s="67"/>
      <c r="BN600" s="100"/>
      <c r="BO600" s="102"/>
      <c r="BP600" s="67"/>
      <c r="BQ600" s="79"/>
      <c r="BR600" s="67"/>
      <c r="BS600" s="102"/>
      <c r="BT600" s="106"/>
      <c r="BU600" s="107"/>
      <c r="BV600" s="108" t="str">
        <f t="shared" si="17"/>
        <v/>
      </c>
      <c r="BW600" s="108" t="str">
        <f t="shared" si="16"/>
        <v/>
      </c>
      <c r="BX600" s="102" t="str">
        <f t="shared" si="15"/>
        <v/>
      </c>
      <c r="BY600" s="107" t="str">
        <f t="shared" si="5"/>
        <v/>
      </c>
      <c r="BZ600" s="107" t="str">
        <f t="array" ref="BZ600">IF($A600&lt;&gt;"",INDEX(LISTA!$M$2:$N$27,MATCH($BC600,LISTA!$N$2:$N$27,0),1),"")</f>
        <v/>
      </c>
      <c r="CA600" s="67" t="str">
        <f t="shared" si="6"/>
        <v/>
      </c>
      <c r="CB600" s="114" t="str">
        <f t="shared" si="7"/>
        <v/>
      </c>
      <c r="CC600" s="114"/>
    </row>
    <row r="601" ht="15.0" customHeight="1">
      <c r="A601" s="59"/>
      <c r="B601" s="115"/>
      <c r="C601" s="54"/>
      <c r="D601" s="56"/>
      <c r="E601" s="69"/>
      <c r="F601" s="73"/>
      <c r="G601" s="60"/>
      <c r="H601" s="60"/>
      <c r="I601" s="67"/>
      <c r="J601" s="79"/>
      <c r="K601" s="67"/>
      <c r="L601" s="79"/>
      <c r="M601" s="83"/>
      <c r="N601" s="78"/>
      <c r="O601" s="80"/>
      <c r="P601" s="70"/>
      <c r="Q601" s="54"/>
      <c r="R601" s="84"/>
      <c r="S601" s="84"/>
      <c r="T601" s="54"/>
      <c r="U601" s="86"/>
      <c r="V601" s="54"/>
      <c r="W601" s="86"/>
      <c r="X601" s="54"/>
      <c r="Y601" s="78"/>
      <c r="Z601" s="54"/>
      <c r="AA601" s="70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54"/>
      <c r="AR601" s="83"/>
      <c r="AS601" s="83"/>
      <c r="AT601" s="93"/>
      <c r="AU601" s="93"/>
      <c r="AV601" s="93"/>
      <c r="AW601" s="83"/>
      <c r="AX601" s="83"/>
      <c r="AY601" s="83"/>
      <c r="AZ601" s="83"/>
      <c r="BA601" s="83"/>
      <c r="BB601" s="83"/>
      <c r="BC601" s="54"/>
      <c r="BD601" s="54" t="str">
        <f t="shared" si="1"/>
        <v/>
      </c>
      <c r="BE601" s="67"/>
      <c r="BF601" s="67"/>
      <c r="BG601" s="67"/>
      <c r="BH601" s="67"/>
      <c r="BI601" s="67"/>
      <c r="BJ601" s="67"/>
      <c r="BK601" s="67"/>
      <c r="BL601" s="67"/>
      <c r="BM601" s="67"/>
      <c r="BN601" s="100"/>
      <c r="BO601" s="102"/>
      <c r="BP601" s="67"/>
      <c r="BQ601" s="79"/>
      <c r="BR601" s="67"/>
      <c r="BS601" s="102"/>
      <c r="BT601" s="106"/>
      <c r="BU601" s="107"/>
      <c r="BV601" s="108" t="str">
        <f t="shared" si="17"/>
        <v/>
      </c>
      <c r="BW601" s="108" t="str">
        <f t="shared" si="16"/>
        <v/>
      </c>
      <c r="BX601" s="102" t="str">
        <f t="shared" si="15"/>
        <v/>
      </c>
      <c r="BY601" s="107" t="str">
        <f t="shared" si="5"/>
        <v/>
      </c>
      <c r="BZ601" s="107" t="str">
        <f t="array" ref="BZ601">IF($A601&lt;&gt;"",INDEX(LISTA!$M$2:$N$27,MATCH($BC601,LISTA!$N$2:$N$27,0),1),"")</f>
        <v/>
      </c>
      <c r="CA601" s="67" t="str">
        <f t="shared" si="6"/>
        <v/>
      </c>
      <c r="CB601" s="114" t="str">
        <f t="shared" si="7"/>
        <v/>
      </c>
      <c r="CC601" s="114"/>
    </row>
    <row r="602" ht="15.0" customHeight="1">
      <c r="A602" s="59"/>
      <c r="B602" s="115"/>
      <c r="C602" s="54"/>
      <c r="D602" s="56"/>
      <c r="E602" s="69"/>
      <c r="F602" s="73"/>
      <c r="G602" s="60"/>
      <c r="H602" s="60"/>
      <c r="I602" s="67"/>
      <c r="J602" s="79"/>
      <c r="K602" s="67"/>
      <c r="L602" s="79"/>
      <c r="M602" s="83"/>
      <c r="N602" s="78"/>
      <c r="O602" s="80"/>
      <c r="P602" s="70"/>
      <c r="Q602" s="54"/>
      <c r="R602" s="84"/>
      <c r="S602" s="84"/>
      <c r="T602" s="54"/>
      <c r="U602" s="86"/>
      <c r="V602" s="54"/>
      <c r="W602" s="86"/>
      <c r="X602" s="54"/>
      <c r="Y602" s="78"/>
      <c r="Z602" s="54"/>
      <c r="AA602" s="70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54"/>
      <c r="AR602" s="83"/>
      <c r="AS602" s="83"/>
      <c r="AT602" s="93"/>
      <c r="AU602" s="93"/>
      <c r="AV602" s="93"/>
      <c r="AW602" s="83"/>
      <c r="AX602" s="83"/>
      <c r="AY602" s="83"/>
      <c r="AZ602" s="83"/>
      <c r="BA602" s="83"/>
      <c r="BB602" s="83"/>
      <c r="BC602" s="54"/>
      <c r="BD602" s="54" t="str">
        <f t="shared" si="1"/>
        <v/>
      </c>
      <c r="BE602" s="67"/>
      <c r="BF602" s="67"/>
      <c r="BG602" s="67"/>
      <c r="BH602" s="67"/>
      <c r="BI602" s="67"/>
      <c r="BJ602" s="67"/>
      <c r="BK602" s="67"/>
      <c r="BL602" s="67"/>
      <c r="BM602" s="67"/>
      <c r="BN602" s="100"/>
      <c r="BO602" s="102"/>
      <c r="BP602" s="67"/>
      <c r="BQ602" s="79"/>
      <c r="BR602" s="67"/>
      <c r="BS602" s="102"/>
      <c r="BT602" s="106"/>
      <c r="BU602" s="107"/>
      <c r="BV602" s="108" t="str">
        <f t="shared" si="17"/>
        <v/>
      </c>
      <c r="BW602" s="108" t="str">
        <f t="shared" si="16"/>
        <v/>
      </c>
      <c r="BX602" s="102" t="str">
        <f t="shared" si="15"/>
        <v/>
      </c>
      <c r="BY602" s="107" t="str">
        <f t="shared" si="5"/>
        <v/>
      </c>
      <c r="BZ602" s="107" t="str">
        <f t="array" ref="BZ602">IF($A602&lt;&gt;"",INDEX(LISTA!$M$2:$N$27,MATCH($BC602,LISTA!$N$2:$N$27,0),1),"")</f>
        <v/>
      </c>
      <c r="CA602" s="67" t="str">
        <f t="shared" si="6"/>
        <v/>
      </c>
      <c r="CB602" s="114" t="str">
        <f t="shared" si="7"/>
        <v/>
      </c>
      <c r="CC602" s="114"/>
    </row>
    <row r="603" ht="15.0" customHeight="1">
      <c r="A603" s="59"/>
      <c r="B603" s="115"/>
      <c r="C603" s="54"/>
      <c r="D603" s="56"/>
      <c r="E603" s="69"/>
      <c r="F603" s="73"/>
      <c r="G603" s="60"/>
      <c r="H603" s="60"/>
      <c r="I603" s="67"/>
      <c r="J603" s="79"/>
      <c r="K603" s="67"/>
      <c r="L603" s="79"/>
      <c r="M603" s="83"/>
      <c r="N603" s="78"/>
      <c r="O603" s="80"/>
      <c r="P603" s="70"/>
      <c r="Q603" s="54"/>
      <c r="R603" s="84"/>
      <c r="S603" s="84"/>
      <c r="T603" s="54"/>
      <c r="U603" s="86"/>
      <c r="V603" s="54"/>
      <c r="W603" s="86"/>
      <c r="X603" s="54"/>
      <c r="Y603" s="78"/>
      <c r="Z603" s="54"/>
      <c r="AA603" s="70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54"/>
      <c r="AR603" s="83"/>
      <c r="AS603" s="83"/>
      <c r="AT603" s="93"/>
      <c r="AU603" s="93"/>
      <c r="AV603" s="93"/>
      <c r="AW603" s="83"/>
      <c r="AX603" s="83"/>
      <c r="AY603" s="83"/>
      <c r="AZ603" s="83"/>
      <c r="BA603" s="83"/>
      <c r="BB603" s="83"/>
      <c r="BC603" s="54"/>
      <c r="BD603" s="54" t="str">
        <f t="shared" si="1"/>
        <v/>
      </c>
      <c r="BE603" s="67"/>
      <c r="BF603" s="67"/>
      <c r="BG603" s="67"/>
      <c r="BH603" s="67"/>
      <c r="BI603" s="67"/>
      <c r="BJ603" s="67"/>
      <c r="BK603" s="67"/>
      <c r="BL603" s="67"/>
      <c r="BM603" s="67"/>
      <c r="BN603" s="100"/>
      <c r="BO603" s="102"/>
      <c r="BP603" s="67"/>
      <c r="BQ603" s="79"/>
      <c r="BR603" s="67"/>
      <c r="BS603" s="102"/>
      <c r="BT603" s="106"/>
      <c r="BU603" s="107"/>
      <c r="BV603" s="108" t="str">
        <f t="shared" si="17"/>
        <v/>
      </c>
      <c r="BW603" s="108" t="str">
        <f t="shared" si="16"/>
        <v/>
      </c>
      <c r="BX603" s="102" t="str">
        <f t="shared" si="15"/>
        <v/>
      </c>
      <c r="BY603" s="107" t="str">
        <f t="shared" si="5"/>
        <v/>
      </c>
      <c r="BZ603" s="107" t="str">
        <f t="array" ref="BZ603">IF($A603&lt;&gt;"",INDEX(LISTA!$M$2:$N$27,MATCH($BC603,LISTA!$N$2:$N$27,0),1),"")</f>
        <v/>
      </c>
      <c r="CA603" s="67" t="str">
        <f t="shared" si="6"/>
        <v/>
      </c>
      <c r="CB603" s="114" t="str">
        <f t="shared" si="7"/>
        <v/>
      </c>
      <c r="CC603" s="114"/>
    </row>
    <row r="604" ht="15.0" customHeight="1">
      <c r="A604" s="59"/>
      <c r="B604" s="115"/>
      <c r="C604" s="54"/>
      <c r="D604" s="56"/>
      <c r="E604" s="69"/>
      <c r="F604" s="73"/>
      <c r="G604" s="60"/>
      <c r="H604" s="60"/>
      <c r="I604" s="67"/>
      <c r="J604" s="79"/>
      <c r="K604" s="67"/>
      <c r="L604" s="79"/>
      <c r="M604" s="83"/>
      <c r="N604" s="78"/>
      <c r="O604" s="80"/>
      <c r="P604" s="70"/>
      <c r="Q604" s="54"/>
      <c r="R604" s="84"/>
      <c r="S604" s="84"/>
      <c r="T604" s="54"/>
      <c r="U604" s="86"/>
      <c r="V604" s="54"/>
      <c r="W604" s="86"/>
      <c r="X604" s="54"/>
      <c r="Y604" s="78"/>
      <c r="Z604" s="54"/>
      <c r="AA604" s="70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54"/>
      <c r="AR604" s="83"/>
      <c r="AS604" s="83"/>
      <c r="AT604" s="93"/>
      <c r="AU604" s="93"/>
      <c r="AV604" s="93"/>
      <c r="AW604" s="83"/>
      <c r="AX604" s="83"/>
      <c r="AY604" s="83"/>
      <c r="AZ604" s="83"/>
      <c r="BA604" s="83"/>
      <c r="BB604" s="83"/>
      <c r="BC604" s="54"/>
      <c r="BD604" s="54" t="str">
        <f t="shared" si="1"/>
        <v/>
      </c>
      <c r="BE604" s="67"/>
      <c r="BF604" s="67"/>
      <c r="BG604" s="67"/>
      <c r="BH604" s="67"/>
      <c r="BI604" s="67"/>
      <c r="BJ604" s="67"/>
      <c r="BK604" s="67"/>
      <c r="BL604" s="67"/>
      <c r="BM604" s="67"/>
      <c r="BN604" s="100"/>
      <c r="BO604" s="102"/>
      <c r="BP604" s="67"/>
      <c r="BQ604" s="79"/>
      <c r="BR604" s="67"/>
      <c r="BS604" s="102"/>
      <c r="BT604" s="106"/>
      <c r="BU604" s="107"/>
      <c r="BV604" s="108" t="str">
        <f t="shared" si="17"/>
        <v/>
      </c>
      <c r="BW604" s="108" t="str">
        <f t="shared" si="16"/>
        <v/>
      </c>
      <c r="BX604" s="102" t="str">
        <f t="shared" si="15"/>
        <v/>
      </c>
      <c r="BY604" s="107" t="str">
        <f t="shared" si="5"/>
        <v/>
      </c>
      <c r="BZ604" s="107" t="str">
        <f t="array" ref="BZ604">IF($A604&lt;&gt;"",INDEX(LISTA!$M$2:$N$27,MATCH($BC604,LISTA!$N$2:$N$27,0),1),"")</f>
        <v/>
      </c>
      <c r="CA604" s="67" t="str">
        <f t="shared" si="6"/>
        <v/>
      </c>
      <c r="CB604" s="114" t="str">
        <f t="shared" si="7"/>
        <v/>
      </c>
      <c r="CC604" s="114"/>
    </row>
    <row r="605" ht="15.0" customHeight="1">
      <c r="A605" s="59"/>
      <c r="B605" s="115"/>
      <c r="C605" s="54"/>
      <c r="D605" s="56"/>
      <c r="E605" s="69"/>
      <c r="F605" s="73"/>
      <c r="G605" s="60"/>
      <c r="H605" s="60"/>
      <c r="I605" s="67"/>
      <c r="J605" s="79"/>
      <c r="K605" s="67"/>
      <c r="L605" s="79"/>
      <c r="M605" s="83"/>
      <c r="N605" s="78"/>
      <c r="O605" s="80"/>
      <c r="P605" s="70"/>
      <c r="Q605" s="54"/>
      <c r="R605" s="84"/>
      <c r="S605" s="84"/>
      <c r="T605" s="54"/>
      <c r="U605" s="86"/>
      <c r="V605" s="54"/>
      <c r="W605" s="86"/>
      <c r="X605" s="54"/>
      <c r="Y605" s="78"/>
      <c r="Z605" s="54"/>
      <c r="AA605" s="70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54"/>
      <c r="AR605" s="83"/>
      <c r="AS605" s="83"/>
      <c r="AT605" s="93"/>
      <c r="AU605" s="93"/>
      <c r="AV605" s="93"/>
      <c r="AW605" s="83"/>
      <c r="AX605" s="83"/>
      <c r="AY605" s="83"/>
      <c r="AZ605" s="83"/>
      <c r="BA605" s="83"/>
      <c r="BB605" s="83"/>
      <c r="BC605" s="54"/>
      <c r="BD605" s="54" t="str">
        <f t="shared" si="1"/>
        <v/>
      </c>
      <c r="BE605" s="67"/>
      <c r="BF605" s="67"/>
      <c r="BG605" s="67"/>
      <c r="BH605" s="67"/>
      <c r="BI605" s="67"/>
      <c r="BJ605" s="67"/>
      <c r="BK605" s="67"/>
      <c r="BL605" s="67"/>
      <c r="BM605" s="67"/>
      <c r="BN605" s="100"/>
      <c r="BO605" s="102"/>
      <c r="BP605" s="67"/>
      <c r="BQ605" s="79"/>
      <c r="BR605" s="67"/>
      <c r="BS605" s="102"/>
      <c r="BT605" s="106"/>
      <c r="BU605" s="107"/>
      <c r="BV605" s="108" t="str">
        <f t="shared" si="17"/>
        <v/>
      </c>
      <c r="BW605" s="108" t="str">
        <f t="shared" si="16"/>
        <v/>
      </c>
      <c r="BX605" s="102" t="str">
        <f t="shared" si="15"/>
        <v/>
      </c>
      <c r="BY605" s="107" t="str">
        <f t="shared" si="5"/>
        <v/>
      </c>
      <c r="BZ605" s="107" t="str">
        <f t="array" ref="BZ605">IF($A605&lt;&gt;"",INDEX(LISTA!$M$2:$N$27,MATCH($BC605,LISTA!$N$2:$N$27,0),1),"")</f>
        <v/>
      </c>
      <c r="CA605" s="67" t="str">
        <f t="shared" si="6"/>
        <v/>
      </c>
      <c r="CB605" s="114" t="str">
        <f t="shared" si="7"/>
        <v/>
      </c>
      <c r="CC605" s="114"/>
    </row>
    <row r="606" ht="15.0" customHeight="1">
      <c r="A606" s="59"/>
      <c r="B606" s="115"/>
      <c r="C606" s="54"/>
      <c r="D606" s="56"/>
      <c r="E606" s="69"/>
      <c r="F606" s="73"/>
      <c r="G606" s="60"/>
      <c r="H606" s="60"/>
      <c r="I606" s="67"/>
      <c r="J606" s="79"/>
      <c r="K606" s="67"/>
      <c r="L606" s="79"/>
      <c r="M606" s="83"/>
      <c r="N606" s="78"/>
      <c r="O606" s="80"/>
      <c r="P606" s="70"/>
      <c r="Q606" s="54"/>
      <c r="R606" s="84"/>
      <c r="S606" s="84"/>
      <c r="T606" s="54"/>
      <c r="U606" s="86"/>
      <c r="V606" s="54"/>
      <c r="W606" s="86"/>
      <c r="X606" s="54"/>
      <c r="Y606" s="78"/>
      <c r="Z606" s="54"/>
      <c r="AA606" s="70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54"/>
      <c r="AR606" s="83"/>
      <c r="AS606" s="83"/>
      <c r="AT606" s="93"/>
      <c r="AU606" s="93"/>
      <c r="AV606" s="93"/>
      <c r="AW606" s="83"/>
      <c r="AX606" s="83"/>
      <c r="AY606" s="83"/>
      <c r="AZ606" s="83"/>
      <c r="BA606" s="83"/>
      <c r="BB606" s="83"/>
      <c r="BC606" s="54"/>
      <c r="BD606" s="54" t="str">
        <f t="shared" si="1"/>
        <v/>
      </c>
      <c r="BE606" s="67"/>
      <c r="BF606" s="67"/>
      <c r="BG606" s="67"/>
      <c r="BH606" s="67"/>
      <c r="BI606" s="67"/>
      <c r="BJ606" s="67"/>
      <c r="BK606" s="67"/>
      <c r="BL606" s="67"/>
      <c r="BM606" s="67"/>
      <c r="BN606" s="100"/>
      <c r="BO606" s="102"/>
      <c r="BP606" s="67"/>
      <c r="BQ606" s="79"/>
      <c r="BR606" s="67"/>
      <c r="BS606" s="102"/>
      <c r="BT606" s="106"/>
      <c r="BU606" s="107"/>
      <c r="BV606" s="108" t="str">
        <f t="shared" si="17"/>
        <v/>
      </c>
      <c r="BW606" s="108" t="str">
        <f t="shared" si="16"/>
        <v/>
      </c>
      <c r="BX606" s="102" t="str">
        <f t="shared" si="15"/>
        <v/>
      </c>
      <c r="BY606" s="107" t="str">
        <f t="shared" si="5"/>
        <v/>
      </c>
      <c r="BZ606" s="107" t="str">
        <f t="array" ref="BZ606">IF($A606&lt;&gt;"",INDEX(LISTA!$M$2:$N$27,MATCH($BC606,LISTA!$N$2:$N$27,0),1),"")</f>
        <v/>
      </c>
      <c r="CA606" s="67" t="str">
        <f t="shared" si="6"/>
        <v/>
      </c>
      <c r="CB606" s="114" t="str">
        <f t="shared" si="7"/>
        <v/>
      </c>
      <c r="CC606" s="114"/>
    </row>
    <row r="607" ht="15.0" customHeight="1">
      <c r="A607" s="59"/>
      <c r="B607" s="115"/>
      <c r="C607" s="54"/>
      <c r="D607" s="56"/>
      <c r="E607" s="69"/>
      <c r="F607" s="73"/>
      <c r="G607" s="60"/>
      <c r="H607" s="60"/>
      <c r="I607" s="67"/>
      <c r="J607" s="79"/>
      <c r="K607" s="67"/>
      <c r="L607" s="79"/>
      <c r="M607" s="83"/>
      <c r="N607" s="78"/>
      <c r="O607" s="80"/>
      <c r="P607" s="70"/>
      <c r="Q607" s="54"/>
      <c r="R607" s="84"/>
      <c r="S607" s="84"/>
      <c r="T607" s="54"/>
      <c r="U607" s="86"/>
      <c r="V607" s="54"/>
      <c r="W607" s="86"/>
      <c r="X607" s="54"/>
      <c r="Y607" s="78"/>
      <c r="Z607" s="54"/>
      <c r="AA607" s="70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54"/>
      <c r="AR607" s="83"/>
      <c r="AS607" s="83"/>
      <c r="AT607" s="93"/>
      <c r="AU607" s="93"/>
      <c r="AV607" s="93"/>
      <c r="AW607" s="83"/>
      <c r="AX607" s="83"/>
      <c r="AY607" s="83"/>
      <c r="AZ607" s="83"/>
      <c r="BA607" s="83"/>
      <c r="BB607" s="83"/>
      <c r="BC607" s="54"/>
      <c r="BD607" s="54" t="str">
        <f t="shared" si="1"/>
        <v/>
      </c>
      <c r="BE607" s="67"/>
      <c r="BF607" s="67"/>
      <c r="BG607" s="67"/>
      <c r="BH607" s="67"/>
      <c r="BI607" s="67"/>
      <c r="BJ607" s="67"/>
      <c r="BK607" s="67"/>
      <c r="BL607" s="67"/>
      <c r="BM607" s="67"/>
      <c r="BN607" s="100"/>
      <c r="BO607" s="102"/>
      <c r="BP607" s="67"/>
      <c r="BQ607" s="79"/>
      <c r="BR607" s="67"/>
      <c r="BS607" s="102"/>
      <c r="BT607" s="106"/>
      <c r="BU607" s="107"/>
      <c r="BV607" s="108" t="str">
        <f t="shared" si="17"/>
        <v/>
      </c>
      <c r="BW607" s="108" t="str">
        <f t="shared" si="16"/>
        <v/>
      </c>
      <c r="BX607" s="102" t="str">
        <f t="shared" si="15"/>
        <v/>
      </c>
      <c r="BY607" s="107" t="str">
        <f t="shared" si="5"/>
        <v/>
      </c>
      <c r="BZ607" s="107" t="str">
        <f t="array" ref="BZ607">IF($A607&lt;&gt;"",INDEX(LISTA!$M$2:$N$27,MATCH($BC607,LISTA!$N$2:$N$27,0),1),"")</f>
        <v/>
      </c>
      <c r="CA607" s="67" t="str">
        <f t="shared" si="6"/>
        <v/>
      </c>
      <c r="CB607" s="114" t="str">
        <f t="shared" si="7"/>
        <v/>
      </c>
      <c r="CC607" s="114"/>
    </row>
    <row r="608" ht="15.0" customHeight="1">
      <c r="A608" s="59"/>
      <c r="B608" s="115"/>
      <c r="C608" s="54"/>
      <c r="D608" s="56"/>
      <c r="E608" s="69"/>
      <c r="F608" s="73"/>
      <c r="G608" s="60"/>
      <c r="H608" s="60"/>
      <c r="I608" s="67"/>
      <c r="J608" s="79"/>
      <c r="K608" s="67"/>
      <c r="L608" s="79"/>
      <c r="M608" s="83"/>
      <c r="N608" s="78"/>
      <c r="O608" s="80"/>
      <c r="P608" s="70"/>
      <c r="Q608" s="54"/>
      <c r="R608" s="84"/>
      <c r="S608" s="84"/>
      <c r="T608" s="54"/>
      <c r="U608" s="86"/>
      <c r="V608" s="54"/>
      <c r="W608" s="86"/>
      <c r="X608" s="54"/>
      <c r="Y608" s="78"/>
      <c r="Z608" s="54"/>
      <c r="AA608" s="70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54"/>
      <c r="AR608" s="83"/>
      <c r="AS608" s="83"/>
      <c r="AT608" s="93"/>
      <c r="AU608" s="93"/>
      <c r="AV608" s="93"/>
      <c r="AW608" s="83"/>
      <c r="AX608" s="83"/>
      <c r="AY608" s="83"/>
      <c r="AZ608" s="83"/>
      <c r="BA608" s="83"/>
      <c r="BB608" s="83"/>
      <c r="BC608" s="54"/>
      <c r="BD608" s="54" t="str">
        <f t="shared" si="1"/>
        <v/>
      </c>
      <c r="BE608" s="67"/>
      <c r="BF608" s="67"/>
      <c r="BG608" s="67"/>
      <c r="BH608" s="67"/>
      <c r="BI608" s="67"/>
      <c r="BJ608" s="67"/>
      <c r="BK608" s="67"/>
      <c r="BL608" s="67"/>
      <c r="BM608" s="67"/>
      <c r="BN608" s="100"/>
      <c r="BO608" s="102"/>
      <c r="BP608" s="67"/>
      <c r="BQ608" s="79"/>
      <c r="BR608" s="67"/>
      <c r="BS608" s="102"/>
      <c r="BT608" s="106"/>
      <c r="BU608" s="107"/>
      <c r="BV608" s="108" t="str">
        <f t="shared" si="17"/>
        <v/>
      </c>
      <c r="BW608" s="108" t="str">
        <f t="shared" si="16"/>
        <v/>
      </c>
      <c r="BX608" s="102" t="str">
        <f t="shared" si="15"/>
        <v/>
      </c>
      <c r="BY608" s="107" t="str">
        <f t="shared" si="5"/>
        <v/>
      </c>
      <c r="BZ608" s="107" t="str">
        <f t="array" ref="BZ608">IF($A608&lt;&gt;"",INDEX(LISTA!$M$2:$N$27,MATCH($BC608,LISTA!$N$2:$N$27,0),1),"")</f>
        <v/>
      </c>
      <c r="CA608" s="67" t="str">
        <f t="shared" si="6"/>
        <v/>
      </c>
      <c r="CB608" s="114" t="str">
        <f t="shared" si="7"/>
        <v/>
      </c>
      <c r="CC608" s="114"/>
    </row>
    <row r="609" ht="15.0" customHeight="1">
      <c r="A609" s="59"/>
      <c r="B609" s="115"/>
      <c r="C609" s="54"/>
      <c r="D609" s="56"/>
      <c r="E609" s="69"/>
      <c r="F609" s="73"/>
      <c r="G609" s="60"/>
      <c r="H609" s="60"/>
      <c r="I609" s="67"/>
      <c r="J609" s="79"/>
      <c r="K609" s="67"/>
      <c r="L609" s="79"/>
      <c r="M609" s="83"/>
      <c r="N609" s="78"/>
      <c r="O609" s="80"/>
      <c r="P609" s="70"/>
      <c r="Q609" s="54"/>
      <c r="R609" s="84"/>
      <c r="S609" s="84"/>
      <c r="T609" s="54"/>
      <c r="U609" s="86"/>
      <c r="V609" s="54"/>
      <c r="W609" s="86"/>
      <c r="X609" s="54"/>
      <c r="Y609" s="78"/>
      <c r="Z609" s="54"/>
      <c r="AA609" s="70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54"/>
      <c r="AR609" s="83"/>
      <c r="AS609" s="83"/>
      <c r="AT609" s="93"/>
      <c r="AU609" s="93"/>
      <c r="AV609" s="93"/>
      <c r="AW609" s="83"/>
      <c r="AX609" s="83"/>
      <c r="AY609" s="83"/>
      <c r="AZ609" s="83"/>
      <c r="BA609" s="83"/>
      <c r="BB609" s="83"/>
      <c r="BC609" s="54"/>
      <c r="BD609" s="54" t="str">
        <f t="shared" si="1"/>
        <v/>
      </c>
      <c r="BE609" s="67"/>
      <c r="BF609" s="67"/>
      <c r="BG609" s="67"/>
      <c r="BH609" s="67"/>
      <c r="BI609" s="67"/>
      <c r="BJ609" s="67"/>
      <c r="BK609" s="67"/>
      <c r="BL609" s="67"/>
      <c r="BM609" s="67"/>
      <c r="BN609" s="100"/>
      <c r="BO609" s="102"/>
      <c r="BP609" s="67"/>
      <c r="BQ609" s="79"/>
      <c r="BR609" s="67"/>
      <c r="BS609" s="102"/>
      <c r="BT609" s="106"/>
      <c r="BU609" s="107"/>
      <c r="BV609" s="108" t="str">
        <f t="shared" si="17"/>
        <v/>
      </c>
      <c r="BW609" s="108" t="str">
        <f t="shared" si="16"/>
        <v/>
      </c>
      <c r="BX609" s="102" t="str">
        <f t="shared" si="15"/>
        <v/>
      </c>
      <c r="BY609" s="107" t="str">
        <f t="shared" si="5"/>
        <v/>
      </c>
      <c r="BZ609" s="107" t="str">
        <f t="array" ref="BZ609">IF($A609&lt;&gt;"",INDEX(LISTA!$M$2:$N$27,MATCH($BC609,LISTA!$N$2:$N$27,0),1),"")</f>
        <v/>
      </c>
      <c r="CA609" s="67" t="str">
        <f t="shared" si="6"/>
        <v/>
      </c>
      <c r="CB609" s="114" t="str">
        <f t="shared" si="7"/>
        <v/>
      </c>
      <c r="CC609" s="114"/>
    </row>
    <row r="610" ht="15.0" customHeight="1">
      <c r="A610" s="59"/>
      <c r="B610" s="115"/>
      <c r="C610" s="54"/>
      <c r="D610" s="56"/>
      <c r="E610" s="69"/>
      <c r="F610" s="73"/>
      <c r="G610" s="60"/>
      <c r="H610" s="60"/>
      <c r="I610" s="67"/>
      <c r="J610" s="79"/>
      <c r="K610" s="67"/>
      <c r="L610" s="79"/>
      <c r="M610" s="83"/>
      <c r="N610" s="78"/>
      <c r="O610" s="80"/>
      <c r="P610" s="70"/>
      <c r="Q610" s="54"/>
      <c r="R610" s="84"/>
      <c r="S610" s="84"/>
      <c r="T610" s="54"/>
      <c r="U610" s="86"/>
      <c r="V610" s="54"/>
      <c r="W610" s="86"/>
      <c r="X610" s="54"/>
      <c r="Y610" s="78"/>
      <c r="Z610" s="54"/>
      <c r="AA610" s="70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54"/>
      <c r="AR610" s="83"/>
      <c r="AS610" s="83"/>
      <c r="AT610" s="93"/>
      <c r="AU610" s="93"/>
      <c r="AV610" s="93"/>
      <c r="AW610" s="83"/>
      <c r="AX610" s="83"/>
      <c r="AY610" s="83"/>
      <c r="AZ610" s="83"/>
      <c r="BA610" s="83"/>
      <c r="BB610" s="83"/>
      <c r="BC610" s="54"/>
      <c r="BD610" s="54" t="str">
        <f t="shared" si="1"/>
        <v/>
      </c>
      <c r="BE610" s="67"/>
      <c r="BF610" s="67"/>
      <c r="BG610" s="67"/>
      <c r="BH610" s="67"/>
      <c r="BI610" s="67"/>
      <c r="BJ610" s="67"/>
      <c r="BK610" s="67"/>
      <c r="BL610" s="67"/>
      <c r="BM610" s="67"/>
      <c r="BN610" s="100"/>
      <c r="BO610" s="102"/>
      <c r="BP610" s="67"/>
      <c r="BQ610" s="79"/>
      <c r="BR610" s="67"/>
      <c r="BS610" s="102"/>
      <c r="BT610" s="106"/>
      <c r="BU610" s="107"/>
      <c r="BV610" s="108" t="str">
        <f t="shared" si="17"/>
        <v/>
      </c>
      <c r="BW610" s="108" t="str">
        <f t="shared" si="16"/>
        <v/>
      </c>
      <c r="BX610" s="102" t="str">
        <f t="shared" si="15"/>
        <v/>
      </c>
      <c r="BY610" s="107" t="str">
        <f t="shared" si="5"/>
        <v/>
      </c>
      <c r="BZ610" s="107" t="str">
        <f t="array" ref="BZ610">IF($A610&lt;&gt;"",INDEX(LISTA!$M$2:$N$27,MATCH($BC610,LISTA!$N$2:$N$27,0),1),"")</f>
        <v/>
      </c>
      <c r="CA610" s="67" t="str">
        <f t="shared" si="6"/>
        <v/>
      </c>
      <c r="CB610" s="114" t="str">
        <f t="shared" si="7"/>
        <v/>
      </c>
      <c r="CC610" s="114"/>
    </row>
    <row r="611" ht="15.0" customHeight="1">
      <c r="A611" s="59"/>
      <c r="B611" s="115"/>
      <c r="C611" s="54"/>
      <c r="D611" s="56"/>
      <c r="E611" s="69"/>
      <c r="F611" s="73"/>
      <c r="G611" s="60"/>
      <c r="H611" s="60"/>
      <c r="I611" s="67"/>
      <c r="J611" s="79"/>
      <c r="K611" s="67"/>
      <c r="L611" s="79"/>
      <c r="M611" s="83"/>
      <c r="N611" s="78"/>
      <c r="O611" s="80"/>
      <c r="P611" s="70"/>
      <c r="Q611" s="54"/>
      <c r="R611" s="84"/>
      <c r="S611" s="84"/>
      <c r="T611" s="54"/>
      <c r="U611" s="86"/>
      <c r="V611" s="54"/>
      <c r="W611" s="86"/>
      <c r="X611" s="54"/>
      <c r="Y611" s="78"/>
      <c r="Z611" s="54"/>
      <c r="AA611" s="70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54"/>
      <c r="AR611" s="83"/>
      <c r="AS611" s="83"/>
      <c r="AT611" s="93"/>
      <c r="AU611" s="93"/>
      <c r="AV611" s="93"/>
      <c r="AW611" s="83"/>
      <c r="AX611" s="83"/>
      <c r="AY611" s="83"/>
      <c r="AZ611" s="83"/>
      <c r="BA611" s="83"/>
      <c r="BB611" s="83"/>
      <c r="BC611" s="54"/>
      <c r="BD611" s="54" t="str">
        <f t="shared" si="1"/>
        <v/>
      </c>
      <c r="BE611" s="67"/>
      <c r="BF611" s="67"/>
      <c r="BG611" s="67"/>
      <c r="BH611" s="67"/>
      <c r="BI611" s="67"/>
      <c r="BJ611" s="67"/>
      <c r="BK611" s="67"/>
      <c r="BL611" s="67"/>
      <c r="BM611" s="67"/>
      <c r="BN611" s="100"/>
      <c r="BO611" s="102"/>
      <c r="BP611" s="67"/>
      <c r="BQ611" s="79"/>
      <c r="BR611" s="67"/>
      <c r="BS611" s="102"/>
      <c r="BT611" s="106"/>
      <c r="BU611" s="107"/>
      <c r="BV611" s="108" t="str">
        <f t="shared" si="17"/>
        <v/>
      </c>
      <c r="BW611" s="108" t="str">
        <f t="shared" si="16"/>
        <v/>
      </c>
      <c r="BX611" s="102" t="str">
        <f t="shared" si="15"/>
        <v/>
      </c>
      <c r="BY611" s="107" t="str">
        <f t="shared" si="5"/>
        <v/>
      </c>
      <c r="BZ611" s="107" t="str">
        <f t="array" ref="BZ611">IF($A611&lt;&gt;"",INDEX(LISTA!$M$2:$N$27,MATCH($BC611,LISTA!$N$2:$N$27,0),1),"")</f>
        <v/>
      </c>
      <c r="CA611" s="67" t="str">
        <f t="shared" si="6"/>
        <v/>
      </c>
      <c r="CB611" s="114" t="str">
        <f t="shared" si="7"/>
        <v/>
      </c>
      <c r="CC611" s="114"/>
    </row>
    <row r="612" ht="15.0" customHeight="1">
      <c r="A612" s="59"/>
      <c r="B612" s="115"/>
      <c r="C612" s="54"/>
      <c r="D612" s="56"/>
      <c r="E612" s="69"/>
      <c r="F612" s="73"/>
      <c r="G612" s="60"/>
      <c r="H612" s="60"/>
      <c r="I612" s="67"/>
      <c r="J612" s="79"/>
      <c r="K612" s="67"/>
      <c r="L612" s="79"/>
      <c r="M612" s="83"/>
      <c r="N612" s="78"/>
      <c r="O612" s="80"/>
      <c r="P612" s="70"/>
      <c r="Q612" s="54"/>
      <c r="R612" s="84"/>
      <c r="S612" s="84"/>
      <c r="T612" s="54"/>
      <c r="U612" s="86"/>
      <c r="V612" s="54"/>
      <c r="W612" s="86"/>
      <c r="X612" s="54"/>
      <c r="Y612" s="78"/>
      <c r="Z612" s="54"/>
      <c r="AA612" s="70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54"/>
      <c r="AR612" s="83"/>
      <c r="AS612" s="83"/>
      <c r="AT612" s="93"/>
      <c r="AU612" s="93"/>
      <c r="AV612" s="93"/>
      <c r="AW612" s="83"/>
      <c r="AX612" s="83"/>
      <c r="AY612" s="83"/>
      <c r="AZ612" s="83"/>
      <c r="BA612" s="83"/>
      <c r="BB612" s="83"/>
      <c r="BC612" s="54"/>
      <c r="BD612" s="54" t="str">
        <f t="shared" si="1"/>
        <v/>
      </c>
      <c r="BE612" s="67"/>
      <c r="BF612" s="67"/>
      <c r="BG612" s="67"/>
      <c r="BH612" s="67"/>
      <c r="BI612" s="67"/>
      <c r="BJ612" s="67"/>
      <c r="BK612" s="67"/>
      <c r="BL612" s="67"/>
      <c r="BM612" s="67"/>
      <c r="BN612" s="100"/>
      <c r="BO612" s="102"/>
      <c r="BP612" s="67"/>
      <c r="BQ612" s="79"/>
      <c r="BR612" s="67"/>
      <c r="BS612" s="102"/>
      <c r="BT612" s="106"/>
      <c r="BU612" s="107"/>
      <c r="BV612" s="108" t="str">
        <f t="shared" si="17"/>
        <v/>
      </c>
      <c r="BW612" s="108" t="str">
        <f t="shared" si="16"/>
        <v/>
      </c>
      <c r="BX612" s="102" t="str">
        <f t="shared" si="15"/>
        <v/>
      </c>
      <c r="BY612" s="107" t="str">
        <f t="shared" si="5"/>
        <v/>
      </c>
      <c r="BZ612" s="107" t="str">
        <f t="array" ref="BZ612">IF($A612&lt;&gt;"",INDEX(LISTA!$M$2:$N$27,MATCH($BC612,LISTA!$N$2:$N$27,0),1),"")</f>
        <v/>
      </c>
      <c r="CA612" s="67" t="str">
        <f t="shared" si="6"/>
        <v/>
      </c>
      <c r="CB612" s="114" t="str">
        <f t="shared" si="7"/>
        <v/>
      </c>
      <c r="CC612" s="114"/>
    </row>
    <row r="613" ht="15.0" customHeight="1">
      <c r="A613" s="59"/>
      <c r="B613" s="115"/>
      <c r="C613" s="54"/>
      <c r="D613" s="56"/>
      <c r="E613" s="69"/>
      <c r="F613" s="73"/>
      <c r="G613" s="60"/>
      <c r="H613" s="60"/>
      <c r="I613" s="67"/>
      <c r="J613" s="79"/>
      <c r="K613" s="67"/>
      <c r="L613" s="79"/>
      <c r="M613" s="83"/>
      <c r="N613" s="78"/>
      <c r="O613" s="80"/>
      <c r="P613" s="70"/>
      <c r="Q613" s="54"/>
      <c r="R613" s="84"/>
      <c r="S613" s="84"/>
      <c r="T613" s="54"/>
      <c r="U613" s="86"/>
      <c r="V613" s="54"/>
      <c r="W613" s="86"/>
      <c r="X613" s="54"/>
      <c r="Y613" s="78"/>
      <c r="Z613" s="54"/>
      <c r="AA613" s="70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54"/>
      <c r="AR613" s="83"/>
      <c r="AS613" s="83"/>
      <c r="AT613" s="93"/>
      <c r="AU613" s="93"/>
      <c r="AV613" s="93"/>
      <c r="AW613" s="83"/>
      <c r="AX613" s="83"/>
      <c r="AY613" s="83"/>
      <c r="AZ613" s="83"/>
      <c r="BA613" s="83"/>
      <c r="BB613" s="83"/>
      <c r="BC613" s="54"/>
      <c r="BD613" s="54" t="str">
        <f t="shared" si="1"/>
        <v/>
      </c>
      <c r="BE613" s="67"/>
      <c r="BF613" s="67"/>
      <c r="BG613" s="67"/>
      <c r="BH613" s="67"/>
      <c r="BI613" s="67"/>
      <c r="BJ613" s="67"/>
      <c r="BK613" s="67"/>
      <c r="BL613" s="67"/>
      <c r="BM613" s="67"/>
      <c r="BN613" s="100"/>
      <c r="BO613" s="102"/>
      <c r="BP613" s="67"/>
      <c r="BQ613" s="79"/>
      <c r="BR613" s="67"/>
      <c r="BS613" s="102"/>
      <c r="BT613" s="106"/>
      <c r="BU613" s="107"/>
      <c r="BV613" s="108" t="str">
        <f t="shared" si="17"/>
        <v/>
      </c>
      <c r="BW613" s="108" t="str">
        <f t="shared" si="16"/>
        <v/>
      </c>
      <c r="BX613" s="102" t="str">
        <f t="shared" si="15"/>
        <v/>
      </c>
      <c r="BY613" s="107" t="str">
        <f t="shared" si="5"/>
        <v/>
      </c>
      <c r="BZ613" s="107" t="str">
        <f t="array" ref="BZ613">IF($A613&lt;&gt;"",INDEX(LISTA!$M$2:$N$27,MATCH($BC613,LISTA!$N$2:$N$27,0),1),"")</f>
        <v/>
      </c>
      <c r="CA613" s="67" t="str">
        <f t="shared" si="6"/>
        <v/>
      </c>
      <c r="CB613" s="114" t="str">
        <f t="shared" si="7"/>
        <v/>
      </c>
      <c r="CC613" s="114"/>
    </row>
    <row r="614" ht="15.0" customHeight="1">
      <c r="A614" s="59"/>
      <c r="B614" s="115"/>
      <c r="C614" s="54"/>
      <c r="D614" s="56"/>
      <c r="E614" s="69"/>
      <c r="F614" s="73"/>
      <c r="G614" s="60"/>
      <c r="H614" s="60"/>
      <c r="I614" s="67"/>
      <c r="J614" s="79"/>
      <c r="K614" s="67"/>
      <c r="L614" s="79"/>
      <c r="M614" s="83"/>
      <c r="N614" s="78"/>
      <c r="O614" s="80"/>
      <c r="P614" s="70"/>
      <c r="Q614" s="54"/>
      <c r="R614" s="84"/>
      <c r="S614" s="84"/>
      <c r="T614" s="54"/>
      <c r="U614" s="86"/>
      <c r="V614" s="54"/>
      <c r="W614" s="86"/>
      <c r="X614" s="54"/>
      <c r="Y614" s="78"/>
      <c r="Z614" s="54"/>
      <c r="AA614" s="70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54"/>
      <c r="AR614" s="83"/>
      <c r="AS614" s="83"/>
      <c r="AT614" s="93"/>
      <c r="AU614" s="93"/>
      <c r="AV614" s="93"/>
      <c r="AW614" s="83"/>
      <c r="AX614" s="83"/>
      <c r="AY614" s="83"/>
      <c r="AZ614" s="83"/>
      <c r="BA614" s="83"/>
      <c r="BB614" s="83"/>
      <c r="BC614" s="54"/>
      <c r="BD614" s="54" t="str">
        <f t="shared" si="1"/>
        <v/>
      </c>
      <c r="BE614" s="67"/>
      <c r="BF614" s="67"/>
      <c r="BG614" s="67"/>
      <c r="BH614" s="67"/>
      <c r="BI614" s="67"/>
      <c r="BJ614" s="67"/>
      <c r="BK614" s="67"/>
      <c r="BL614" s="67"/>
      <c r="BM614" s="67"/>
      <c r="BN614" s="100"/>
      <c r="BO614" s="102"/>
      <c r="BP614" s="67"/>
      <c r="BQ614" s="79"/>
      <c r="BR614" s="67"/>
      <c r="BS614" s="102"/>
      <c r="BT614" s="106"/>
      <c r="BU614" s="107"/>
      <c r="BV614" s="108" t="str">
        <f t="shared" si="17"/>
        <v/>
      </c>
      <c r="BW614" s="108" t="str">
        <f t="shared" si="16"/>
        <v/>
      </c>
      <c r="BX614" s="102" t="str">
        <f t="shared" si="15"/>
        <v/>
      </c>
      <c r="BY614" s="107" t="str">
        <f t="shared" si="5"/>
        <v/>
      </c>
      <c r="BZ614" s="107" t="str">
        <f t="array" ref="BZ614">IF($A614&lt;&gt;"",INDEX(LISTA!$M$2:$N$27,MATCH($BC614,LISTA!$N$2:$N$27,0),1),"")</f>
        <v/>
      </c>
      <c r="CA614" s="67" t="str">
        <f t="shared" si="6"/>
        <v/>
      </c>
      <c r="CB614" s="114" t="str">
        <f t="shared" si="7"/>
        <v/>
      </c>
      <c r="CC614" s="114"/>
    </row>
    <row r="615" ht="15.0" customHeight="1">
      <c r="A615" s="59"/>
      <c r="B615" s="115"/>
      <c r="C615" s="54"/>
      <c r="D615" s="56"/>
      <c r="E615" s="69"/>
      <c r="F615" s="73"/>
      <c r="G615" s="60"/>
      <c r="H615" s="60"/>
      <c r="I615" s="67"/>
      <c r="J615" s="79"/>
      <c r="K615" s="67"/>
      <c r="L615" s="79"/>
      <c r="M615" s="83"/>
      <c r="N615" s="78"/>
      <c r="O615" s="80"/>
      <c r="P615" s="70"/>
      <c r="Q615" s="54"/>
      <c r="R615" s="84"/>
      <c r="S615" s="84"/>
      <c r="T615" s="54"/>
      <c r="U615" s="86"/>
      <c r="V615" s="54"/>
      <c r="W615" s="86"/>
      <c r="X615" s="54"/>
      <c r="Y615" s="78"/>
      <c r="Z615" s="54"/>
      <c r="AA615" s="70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54"/>
      <c r="AR615" s="83"/>
      <c r="AS615" s="83"/>
      <c r="AT615" s="93"/>
      <c r="AU615" s="93"/>
      <c r="AV615" s="93"/>
      <c r="AW615" s="83"/>
      <c r="AX615" s="83"/>
      <c r="AY615" s="83"/>
      <c r="AZ615" s="83"/>
      <c r="BA615" s="83"/>
      <c r="BB615" s="83"/>
      <c r="BC615" s="54"/>
      <c r="BD615" s="54" t="str">
        <f t="shared" si="1"/>
        <v/>
      </c>
      <c r="BE615" s="67"/>
      <c r="BF615" s="67"/>
      <c r="BG615" s="67"/>
      <c r="BH615" s="67"/>
      <c r="BI615" s="67"/>
      <c r="BJ615" s="67"/>
      <c r="BK615" s="67"/>
      <c r="BL615" s="67"/>
      <c r="BM615" s="67"/>
      <c r="BN615" s="100"/>
      <c r="BO615" s="102"/>
      <c r="BP615" s="67"/>
      <c r="BQ615" s="79"/>
      <c r="BR615" s="67"/>
      <c r="BS615" s="102"/>
      <c r="BT615" s="106"/>
      <c r="BU615" s="107"/>
      <c r="BV615" s="108" t="str">
        <f t="shared" si="17"/>
        <v/>
      </c>
      <c r="BW615" s="108" t="str">
        <f t="shared" si="16"/>
        <v/>
      </c>
      <c r="BX615" s="102" t="str">
        <f t="shared" si="15"/>
        <v/>
      </c>
      <c r="BY615" s="107" t="str">
        <f t="shared" si="5"/>
        <v/>
      </c>
      <c r="BZ615" s="107" t="str">
        <f t="array" ref="BZ615">IF($A615&lt;&gt;"",INDEX(LISTA!$M$2:$N$27,MATCH($BC615,LISTA!$N$2:$N$27,0),1),"")</f>
        <v/>
      </c>
      <c r="CA615" s="67" t="str">
        <f t="shared" si="6"/>
        <v/>
      </c>
      <c r="CB615" s="114" t="str">
        <f t="shared" si="7"/>
        <v/>
      </c>
      <c r="CC615" s="114"/>
    </row>
    <row r="616" ht="15.0" customHeight="1">
      <c r="A616" s="59"/>
      <c r="B616" s="115"/>
      <c r="C616" s="54"/>
      <c r="D616" s="56"/>
      <c r="E616" s="69"/>
      <c r="F616" s="73"/>
      <c r="G616" s="60"/>
      <c r="H616" s="60"/>
      <c r="I616" s="67"/>
      <c r="J616" s="79"/>
      <c r="K616" s="67"/>
      <c r="L616" s="79"/>
      <c r="M616" s="83"/>
      <c r="N616" s="78"/>
      <c r="O616" s="80"/>
      <c r="P616" s="70"/>
      <c r="Q616" s="54"/>
      <c r="R616" s="84"/>
      <c r="S616" s="84"/>
      <c r="T616" s="54"/>
      <c r="U616" s="86"/>
      <c r="V616" s="54"/>
      <c r="W616" s="86"/>
      <c r="X616" s="54"/>
      <c r="Y616" s="78"/>
      <c r="Z616" s="54"/>
      <c r="AA616" s="70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54"/>
      <c r="AR616" s="83"/>
      <c r="AS616" s="83"/>
      <c r="AT616" s="93"/>
      <c r="AU616" s="93"/>
      <c r="AV616" s="93"/>
      <c r="AW616" s="83"/>
      <c r="AX616" s="83"/>
      <c r="AY616" s="83"/>
      <c r="AZ616" s="83"/>
      <c r="BA616" s="83"/>
      <c r="BB616" s="83"/>
      <c r="BC616" s="54"/>
      <c r="BD616" s="54" t="str">
        <f t="shared" si="1"/>
        <v/>
      </c>
      <c r="BE616" s="67"/>
      <c r="BF616" s="67"/>
      <c r="BG616" s="67"/>
      <c r="BH616" s="67"/>
      <c r="BI616" s="67"/>
      <c r="BJ616" s="67"/>
      <c r="BK616" s="67"/>
      <c r="BL616" s="67"/>
      <c r="BM616" s="67"/>
      <c r="BN616" s="100"/>
      <c r="BO616" s="102"/>
      <c r="BP616" s="67"/>
      <c r="BQ616" s="79"/>
      <c r="BR616" s="67"/>
      <c r="BS616" s="102"/>
      <c r="BT616" s="106"/>
      <c r="BU616" s="107"/>
      <c r="BV616" s="108" t="str">
        <f t="shared" si="17"/>
        <v/>
      </c>
      <c r="BW616" s="108" t="str">
        <f t="shared" si="16"/>
        <v/>
      </c>
      <c r="BX616" s="102" t="str">
        <f t="shared" si="15"/>
        <v/>
      </c>
      <c r="BY616" s="107" t="str">
        <f t="shared" si="5"/>
        <v/>
      </c>
      <c r="BZ616" s="107" t="str">
        <f t="array" ref="BZ616">IF($A616&lt;&gt;"",INDEX(LISTA!$M$2:$N$27,MATCH($BC616,LISTA!$N$2:$N$27,0),1),"")</f>
        <v/>
      </c>
      <c r="CA616" s="67" t="str">
        <f t="shared" si="6"/>
        <v/>
      </c>
      <c r="CB616" s="114" t="str">
        <f t="shared" si="7"/>
        <v/>
      </c>
      <c r="CC616" s="114"/>
    </row>
    <row r="617" ht="15.0" customHeight="1">
      <c r="A617" s="59"/>
      <c r="B617" s="115"/>
      <c r="C617" s="54"/>
      <c r="D617" s="56"/>
      <c r="E617" s="69"/>
      <c r="F617" s="73"/>
      <c r="G617" s="60"/>
      <c r="H617" s="60"/>
      <c r="I617" s="67"/>
      <c r="J617" s="79"/>
      <c r="K617" s="67"/>
      <c r="L617" s="79"/>
      <c r="M617" s="83"/>
      <c r="N617" s="78"/>
      <c r="O617" s="80"/>
      <c r="P617" s="70"/>
      <c r="Q617" s="54"/>
      <c r="R617" s="84"/>
      <c r="S617" s="84"/>
      <c r="T617" s="54"/>
      <c r="U617" s="86"/>
      <c r="V617" s="54"/>
      <c r="W617" s="86"/>
      <c r="X617" s="54"/>
      <c r="Y617" s="78"/>
      <c r="Z617" s="54"/>
      <c r="AA617" s="70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54"/>
      <c r="AR617" s="83"/>
      <c r="AS617" s="83"/>
      <c r="AT617" s="93"/>
      <c r="AU617" s="93"/>
      <c r="AV617" s="93"/>
      <c r="AW617" s="83"/>
      <c r="AX617" s="83"/>
      <c r="AY617" s="83"/>
      <c r="AZ617" s="83"/>
      <c r="BA617" s="83"/>
      <c r="BB617" s="83"/>
      <c r="BC617" s="54"/>
      <c r="BD617" s="54" t="str">
        <f t="shared" si="1"/>
        <v/>
      </c>
      <c r="BE617" s="67"/>
      <c r="BF617" s="67"/>
      <c r="BG617" s="67"/>
      <c r="BH617" s="67"/>
      <c r="BI617" s="67"/>
      <c r="BJ617" s="67"/>
      <c r="BK617" s="67"/>
      <c r="BL617" s="67"/>
      <c r="BM617" s="67"/>
      <c r="BN617" s="100"/>
      <c r="BO617" s="102"/>
      <c r="BP617" s="67"/>
      <c r="BQ617" s="79"/>
      <c r="BR617" s="67"/>
      <c r="BS617" s="102"/>
      <c r="BT617" s="106"/>
      <c r="BU617" s="107"/>
      <c r="BV617" s="108" t="str">
        <f t="shared" si="17"/>
        <v/>
      </c>
      <c r="BW617" s="108" t="str">
        <f t="shared" si="16"/>
        <v/>
      </c>
      <c r="BX617" s="102" t="str">
        <f t="shared" si="15"/>
        <v/>
      </c>
      <c r="BY617" s="107" t="str">
        <f t="shared" si="5"/>
        <v/>
      </c>
      <c r="BZ617" s="107" t="str">
        <f t="array" ref="BZ617">IF($A617&lt;&gt;"",INDEX(LISTA!$M$2:$N$27,MATCH($BC617,LISTA!$N$2:$N$27,0),1),"")</f>
        <v/>
      </c>
      <c r="CA617" s="67" t="str">
        <f t="shared" si="6"/>
        <v/>
      </c>
      <c r="CB617" s="114" t="str">
        <f t="shared" si="7"/>
        <v/>
      </c>
      <c r="CC617" s="114"/>
    </row>
    <row r="618" ht="15.0" customHeight="1">
      <c r="A618" s="59"/>
      <c r="B618" s="115"/>
      <c r="C618" s="54"/>
      <c r="D618" s="56"/>
      <c r="E618" s="69"/>
      <c r="F618" s="73"/>
      <c r="G618" s="60"/>
      <c r="H618" s="60"/>
      <c r="I618" s="67"/>
      <c r="J618" s="79"/>
      <c r="K618" s="67"/>
      <c r="L618" s="79"/>
      <c r="M618" s="83"/>
      <c r="N618" s="78"/>
      <c r="O618" s="80"/>
      <c r="P618" s="70"/>
      <c r="Q618" s="54"/>
      <c r="R618" s="84"/>
      <c r="S618" s="84"/>
      <c r="T618" s="54"/>
      <c r="U618" s="86"/>
      <c r="V618" s="54"/>
      <c r="W618" s="86"/>
      <c r="X618" s="54"/>
      <c r="Y618" s="78"/>
      <c r="Z618" s="54"/>
      <c r="AA618" s="70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54"/>
      <c r="AR618" s="83"/>
      <c r="AS618" s="83"/>
      <c r="AT618" s="93"/>
      <c r="AU618" s="93"/>
      <c r="AV618" s="93"/>
      <c r="AW618" s="83"/>
      <c r="AX618" s="83"/>
      <c r="AY618" s="83"/>
      <c r="AZ618" s="83"/>
      <c r="BA618" s="83"/>
      <c r="BB618" s="83"/>
      <c r="BC618" s="54"/>
      <c r="BD618" s="54" t="str">
        <f t="shared" si="1"/>
        <v/>
      </c>
      <c r="BE618" s="67"/>
      <c r="BF618" s="67"/>
      <c r="BG618" s="67"/>
      <c r="BH618" s="67"/>
      <c r="BI618" s="67"/>
      <c r="BJ618" s="67"/>
      <c r="BK618" s="67"/>
      <c r="BL618" s="67"/>
      <c r="BM618" s="67"/>
      <c r="BN618" s="100"/>
      <c r="BO618" s="102"/>
      <c r="BP618" s="67"/>
      <c r="BQ618" s="79"/>
      <c r="BR618" s="67"/>
      <c r="BS618" s="102"/>
      <c r="BT618" s="106"/>
      <c r="BU618" s="107"/>
      <c r="BV618" s="108" t="str">
        <f t="shared" si="17"/>
        <v/>
      </c>
      <c r="BW618" s="108" t="str">
        <f t="shared" si="16"/>
        <v/>
      </c>
      <c r="BX618" s="102" t="str">
        <f t="shared" si="15"/>
        <v/>
      </c>
      <c r="BY618" s="107" t="str">
        <f t="shared" si="5"/>
        <v/>
      </c>
      <c r="BZ618" s="107" t="str">
        <f t="array" ref="BZ618">IF($A618&lt;&gt;"",INDEX(LISTA!$M$2:$N$27,MATCH($BC618,LISTA!$N$2:$N$27,0),1),"")</f>
        <v/>
      </c>
      <c r="CA618" s="67" t="str">
        <f t="shared" si="6"/>
        <v/>
      </c>
      <c r="CB618" s="114" t="str">
        <f t="shared" si="7"/>
        <v/>
      </c>
      <c r="CC618" s="114"/>
    </row>
    <row r="619" ht="15.0" customHeight="1">
      <c r="A619" s="59"/>
      <c r="B619" s="115"/>
      <c r="C619" s="54"/>
      <c r="D619" s="56"/>
      <c r="E619" s="69"/>
      <c r="F619" s="73"/>
      <c r="G619" s="60"/>
      <c r="H619" s="60"/>
      <c r="I619" s="67"/>
      <c r="J619" s="79"/>
      <c r="K619" s="67"/>
      <c r="L619" s="79"/>
      <c r="M619" s="83"/>
      <c r="N619" s="78"/>
      <c r="O619" s="80"/>
      <c r="P619" s="70"/>
      <c r="Q619" s="54"/>
      <c r="R619" s="84"/>
      <c r="S619" s="84"/>
      <c r="T619" s="54"/>
      <c r="U619" s="86"/>
      <c r="V619" s="54"/>
      <c r="W619" s="86"/>
      <c r="X619" s="54"/>
      <c r="Y619" s="78"/>
      <c r="Z619" s="54"/>
      <c r="AA619" s="70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54"/>
      <c r="AR619" s="83"/>
      <c r="AS619" s="83"/>
      <c r="AT619" s="93"/>
      <c r="AU619" s="93"/>
      <c r="AV619" s="93"/>
      <c r="AW619" s="83"/>
      <c r="AX619" s="83"/>
      <c r="AY619" s="83"/>
      <c r="AZ619" s="83"/>
      <c r="BA619" s="83"/>
      <c r="BB619" s="83"/>
      <c r="BC619" s="54"/>
      <c r="BD619" s="54" t="str">
        <f t="shared" si="1"/>
        <v/>
      </c>
      <c r="BE619" s="67"/>
      <c r="BF619" s="67"/>
      <c r="BG619" s="67"/>
      <c r="BH619" s="67"/>
      <c r="BI619" s="67"/>
      <c r="BJ619" s="67"/>
      <c r="BK619" s="67"/>
      <c r="BL619" s="67"/>
      <c r="BM619" s="67"/>
      <c r="BN619" s="100"/>
      <c r="BO619" s="102"/>
      <c r="BP619" s="67"/>
      <c r="BQ619" s="79"/>
      <c r="BR619" s="67"/>
      <c r="BS619" s="102"/>
      <c r="BT619" s="106"/>
      <c r="BU619" s="107"/>
      <c r="BV619" s="108" t="str">
        <f t="shared" si="17"/>
        <v/>
      </c>
      <c r="BW619" s="108" t="str">
        <f t="shared" si="16"/>
        <v/>
      </c>
      <c r="BX619" s="102" t="str">
        <f t="shared" si="15"/>
        <v/>
      </c>
      <c r="BY619" s="107" t="str">
        <f t="shared" si="5"/>
        <v/>
      </c>
      <c r="BZ619" s="107" t="str">
        <f t="array" ref="BZ619">IF($A619&lt;&gt;"",INDEX(LISTA!$M$2:$N$27,MATCH($BC619,LISTA!$N$2:$N$27,0),1),"")</f>
        <v/>
      </c>
      <c r="CA619" s="67" t="str">
        <f t="shared" si="6"/>
        <v/>
      </c>
      <c r="CB619" s="114" t="str">
        <f t="shared" si="7"/>
        <v/>
      </c>
      <c r="CC619" s="114"/>
    </row>
    <row r="620" ht="15.0" customHeight="1">
      <c r="A620" s="59"/>
      <c r="B620" s="115"/>
      <c r="C620" s="54"/>
      <c r="D620" s="56"/>
      <c r="E620" s="69"/>
      <c r="F620" s="73"/>
      <c r="G620" s="60"/>
      <c r="H620" s="60"/>
      <c r="I620" s="67"/>
      <c r="J620" s="79"/>
      <c r="K620" s="67"/>
      <c r="L620" s="79"/>
      <c r="M620" s="83"/>
      <c r="N620" s="78"/>
      <c r="O620" s="80"/>
      <c r="P620" s="70"/>
      <c r="Q620" s="54"/>
      <c r="R620" s="84"/>
      <c r="S620" s="84"/>
      <c r="T620" s="54"/>
      <c r="U620" s="86"/>
      <c r="V620" s="54"/>
      <c r="W620" s="86"/>
      <c r="X620" s="54"/>
      <c r="Y620" s="78"/>
      <c r="Z620" s="54"/>
      <c r="AA620" s="70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54"/>
      <c r="AR620" s="83"/>
      <c r="AS620" s="83"/>
      <c r="AT620" s="93"/>
      <c r="AU620" s="93"/>
      <c r="AV620" s="93"/>
      <c r="AW620" s="83"/>
      <c r="AX620" s="83"/>
      <c r="AY620" s="83"/>
      <c r="AZ620" s="83"/>
      <c r="BA620" s="83"/>
      <c r="BB620" s="83"/>
      <c r="BC620" s="54"/>
      <c r="BD620" s="54" t="str">
        <f t="shared" si="1"/>
        <v/>
      </c>
      <c r="BE620" s="67"/>
      <c r="BF620" s="67"/>
      <c r="BG620" s="67"/>
      <c r="BH620" s="67"/>
      <c r="BI620" s="67"/>
      <c r="BJ620" s="67"/>
      <c r="BK620" s="67"/>
      <c r="BL620" s="67"/>
      <c r="BM620" s="67"/>
      <c r="BN620" s="100"/>
      <c r="BO620" s="102"/>
      <c r="BP620" s="67"/>
      <c r="BQ620" s="79"/>
      <c r="BR620" s="67"/>
      <c r="BS620" s="102"/>
      <c r="BT620" s="106"/>
      <c r="BU620" s="107"/>
      <c r="BV620" s="108" t="str">
        <f t="shared" si="17"/>
        <v/>
      </c>
      <c r="BW620" s="108" t="str">
        <f t="shared" si="16"/>
        <v/>
      </c>
      <c r="BX620" s="102" t="str">
        <f t="shared" si="15"/>
        <v/>
      </c>
      <c r="BY620" s="107" t="str">
        <f t="shared" si="5"/>
        <v/>
      </c>
      <c r="BZ620" s="107" t="str">
        <f t="array" ref="BZ620">IF($A620&lt;&gt;"",INDEX(LISTA!$M$2:$N$27,MATCH($BC620,LISTA!$N$2:$N$27,0),1),"")</f>
        <v/>
      </c>
      <c r="CA620" s="67" t="str">
        <f t="shared" si="6"/>
        <v/>
      </c>
      <c r="CB620" s="114" t="str">
        <f t="shared" si="7"/>
        <v/>
      </c>
      <c r="CC620" s="114"/>
    </row>
    <row r="621" ht="15.0" customHeight="1">
      <c r="A621" s="59"/>
      <c r="B621" s="115"/>
      <c r="C621" s="54"/>
      <c r="D621" s="56"/>
      <c r="E621" s="69"/>
      <c r="F621" s="73"/>
      <c r="G621" s="60"/>
      <c r="H621" s="60"/>
      <c r="I621" s="67"/>
      <c r="J621" s="79"/>
      <c r="K621" s="67"/>
      <c r="L621" s="79"/>
      <c r="M621" s="83"/>
      <c r="N621" s="78"/>
      <c r="O621" s="80"/>
      <c r="P621" s="70"/>
      <c r="Q621" s="54"/>
      <c r="R621" s="84"/>
      <c r="S621" s="84"/>
      <c r="T621" s="54"/>
      <c r="U621" s="86"/>
      <c r="V621" s="54"/>
      <c r="W621" s="86"/>
      <c r="X621" s="54"/>
      <c r="Y621" s="78"/>
      <c r="Z621" s="54"/>
      <c r="AA621" s="70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54"/>
      <c r="AR621" s="83"/>
      <c r="AS621" s="83"/>
      <c r="AT621" s="93"/>
      <c r="AU621" s="93"/>
      <c r="AV621" s="93"/>
      <c r="AW621" s="83"/>
      <c r="AX621" s="83"/>
      <c r="AY621" s="83"/>
      <c r="AZ621" s="83"/>
      <c r="BA621" s="83"/>
      <c r="BB621" s="83"/>
      <c r="BC621" s="54"/>
      <c r="BD621" s="54" t="str">
        <f t="shared" si="1"/>
        <v/>
      </c>
      <c r="BE621" s="67"/>
      <c r="BF621" s="67"/>
      <c r="BG621" s="67"/>
      <c r="BH621" s="67"/>
      <c r="BI621" s="67"/>
      <c r="BJ621" s="67"/>
      <c r="BK621" s="67"/>
      <c r="BL621" s="67"/>
      <c r="BM621" s="67"/>
      <c r="BN621" s="100"/>
      <c r="BO621" s="102"/>
      <c r="BP621" s="67"/>
      <c r="BQ621" s="79"/>
      <c r="BR621" s="67"/>
      <c r="BS621" s="102"/>
      <c r="BT621" s="106"/>
      <c r="BU621" s="107"/>
      <c r="BV621" s="108" t="str">
        <f t="shared" si="17"/>
        <v/>
      </c>
      <c r="BW621" s="108" t="str">
        <f t="shared" si="16"/>
        <v/>
      </c>
      <c r="BX621" s="102" t="str">
        <f t="shared" si="15"/>
        <v/>
      </c>
      <c r="BY621" s="107" t="str">
        <f t="shared" si="5"/>
        <v/>
      </c>
      <c r="BZ621" s="107" t="str">
        <f t="array" ref="BZ621">IF($A621&lt;&gt;"",INDEX(LISTA!$M$2:$N$27,MATCH($BC621,LISTA!$N$2:$N$27,0),1),"")</f>
        <v/>
      </c>
      <c r="CA621" s="67" t="str">
        <f t="shared" si="6"/>
        <v/>
      </c>
      <c r="CB621" s="114" t="str">
        <f t="shared" si="7"/>
        <v/>
      </c>
      <c r="CC621" s="114"/>
    </row>
    <row r="622" ht="15.0" customHeight="1">
      <c r="A622" s="59"/>
      <c r="B622" s="115"/>
      <c r="C622" s="54"/>
      <c r="D622" s="56"/>
      <c r="E622" s="69"/>
      <c r="F622" s="73"/>
      <c r="G622" s="60"/>
      <c r="H622" s="60"/>
      <c r="I622" s="67"/>
      <c r="J622" s="79"/>
      <c r="K622" s="67"/>
      <c r="L622" s="79"/>
      <c r="M622" s="83"/>
      <c r="N622" s="78"/>
      <c r="O622" s="80"/>
      <c r="P622" s="70"/>
      <c r="Q622" s="54"/>
      <c r="R622" s="84"/>
      <c r="S622" s="84"/>
      <c r="T622" s="54"/>
      <c r="U622" s="86"/>
      <c r="V622" s="54"/>
      <c r="W622" s="86"/>
      <c r="X622" s="54"/>
      <c r="Y622" s="78"/>
      <c r="Z622" s="54"/>
      <c r="AA622" s="70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54"/>
      <c r="AR622" s="83"/>
      <c r="AS622" s="83"/>
      <c r="AT622" s="93"/>
      <c r="AU622" s="93"/>
      <c r="AV622" s="93"/>
      <c r="AW622" s="83"/>
      <c r="AX622" s="83"/>
      <c r="AY622" s="83"/>
      <c r="AZ622" s="83"/>
      <c r="BA622" s="83"/>
      <c r="BB622" s="83"/>
      <c r="BC622" s="54"/>
      <c r="BD622" s="54" t="str">
        <f t="shared" si="1"/>
        <v/>
      </c>
      <c r="BE622" s="67"/>
      <c r="BF622" s="67"/>
      <c r="BG622" s="67"/>
      <c r="BH622" s="67"/>
      <c r="BI622" s="67"/>
      <c r="BJ622" s="67"/>
      <c r="BK622" s="67"/>
      <c r="BL622" s="67"/>
      <c r="BM622" s="67"/>
      <c r="BN622" s="100"/>
      <c r="BO622" s="102"/>
      <c r="BP622" s="67"/>
      <c r="BQ622" s="79"/>
      <c r="BR622" s="67"/>
      <c r="BS622" s="102"/>
      <c r="BT622" s="106"/>
      <c r="BU622" s="107"/>
      <c r="BV622" s="108" t="str">
        <f t="shared" si="17"/>
        <v/>
      </c>
      <c r="BW622" s="108" t="str">
        <f t="shared" si="16"/>
        <v/>
      </c>
      <c r="BX622" s="102" t="str">
        <f t="shared" si="15"/>
        <v/>
      </c>
      <c r="BY622" s="107" t="str">
        <f t="shared" si="5"/>
        <v/>
      </c>
      <c r="BZ622" s="107" t="str">
        <f t="array" ref="BZ622">IF($A622&lt;&gt;"",INDEX(LISTA!$M$2:$N$27,MATCH($BC622,LISTA!$N$2:$N$27,0),1),"")</f>
        <v/>
      </c>
      <c r="CA622" s="67" t="str">
        <f t="shared" si="6"/>
        <v/>
      </c>
      <c r="CB622" s="114" t="str">
        <f t="shared" si="7"/>
        <v/>
      </c>
      <c r="CC622" s="114"/>
    </row>
    <row r="623" ht="15.0" customHeight="1">
      <c r="A623" s="59"/>
      <c r="B623" s="115"/>
      <c r="C623" s="54"/>
      <c r="D623" s="56"/>
      <c r="E623" s="69"/>
      <c r="F623" s="73"/>
      <c r="G623" s="60"/>
      <c r="H623" s="60"/>
      <c r="I623" s="67"/>
      <c r="J623" s="79"/>
      <c r="K623" s="67"/>
      <c r="L623" s="79"/>
      <c r="M623" s="83"/>
      <c r="N623" s="78"/>
      <c r="O623" s="80"/>
      <c r="P623" s="70"/>
      <c r="Q623" s="54"/>
      <c r="R623" s="84"/>
      <c r="S623" s="84"/>
      <c r="T623" s="54"/>
      <c r="U623" s="86"/>
      <c r="V623" s="54"/>
      <c r="W623" s="86"/>
      <c r="X623" s="54"/>
      <c r="Y623" s="78"/>
      <c r="Z623" s="54"/>
      <c r="AA623" s="70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54"/>
      <c r="AR623" s="83"/>
      <c r="AS623" s="83"/>
      <c r="AT623" s="93"/>
      <c r="AU623" s="93"/>
      <c r="AV623" s="93"/>
      <c r="AW623" s="83"/>
      <c r="AX623" s="83"/>
      <c r="AY623" s="83"/>
      <c r="AZ623" s="83"/>
      <c r="BA623" s="83"/>
      <c r="BB623" s="83"/>
      <c r="BC623" s="54"/>
      <c r="BD623" s="54" t="str">
        <f t="shared" si="1"/>
        <v/>
      </c>
      <c r="BE623" s="67"/>
      <c r="BF623" s="67"/>
      <c r="BG623" s="67"/>
      <c r="BH623" s="67"/>
      <c r="BI623" s="67"/>
      <c r="BJ623" s="67"/>
      <c r="BK623" s="67"/>
      <c r="BL623" s="67"/>
      <c r="BM623" s="67"/>
      <c r="BN623" s="100"/>
      <c r="BO623" s="102"/>
      <c r="BP623" s="67"/>
      <c r="BQ623" s="79"/>
      <c r="BR623" s="67"/>
      <c r="BS623" s="102"/>
      <c r="BT623" s="106"/>
      <c r="BU623" s="107"/>
      <c r="BV623" s="108" t="str">
        <f t="shared" si="17"/>
        <v/>
      </c>
      <c r="BW623" s="108" t="str">
        <f t="shared" si="16"/>
        <v/>
      </c>
      <c r="BX623" s="102" t="str">
        <f t="shared" si="15"/>
        <v/>
      </c>
      <c r="BY623" s="107" t="str">
        <f t="shared" si="5"/>
        <v/>
      </c>
      <c r="BZ623" s="107" t="str">
        <f t="array" ref="BZ623">IF($A623&lt;&gt;"",INDEX(LISTA!$M$2:$N$27,MATCH($BC623,LISTA!$N$2:$N$27,0),1),"")</f>
        <v/>
      </c>
      <c r="CA623" s="67" t="str">
        <f t="shared" si="6"/>
        <v/>
      </c>
      <c r="CB623" s="114" t="str">
        <f t="shared" si="7"/>
        <v/>
      </c>
      <c r="CC623" s="114"/>
    </row>
    <row r="624" ht="15.0" customHeight="1">
      <c r="A624" s="59"/>
      <c r="B624" s="115"/>
      <c r="C624" s="54"/>
      <c r="D624" s="56"/>
      <c r="E624" s="69"/>
      <c r="F624" s="73"/>
      <c r="G624" s="60"/>
      <c r="H624" s="60"/>
      <c r="I624" s="67"/>
      <c r="J624" s="79"/>
      <c r="K624" s="67"/>
      <c r="L624" s="79"/>
      <c r="M624" s="83"/>
      <c r="N624" s="78"/>
      <c r="O624" s="80"/>
      <c r="P624" s="70"/>
      <c r="Q624" s="54"/>
      <c r="R624" s="84"/>
      <c r="S624" s="84"/>
      <c r="T624" s="54"/>
      <c r="U624" s="86"/>
      <c r="V624" s="54"/>
      <c r="W624" s="86"/>
      <c r="X624" s="54"/>
      <c r="Y624" s="78"/>
      <c r="Z624" s="54"/>
      <c r="AA624" s="70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54"/>
      <c r="AR624" s="83"/>
      <c r="AS624" s="83"/>
      <c r="AT624" s="93"/>
      <c r="AU624" s="93"/>
      <c r="AV624" s="93"/>
      <c r="AW624" s="83"/>
      <c r="AX624" s="83"/>
      <c r="AY624" s="83"/>
      <c r="AZ624" s="83"/>
      <c r="BA624" s="83"/>
      <c r="BB624" s="83"/>
      <c r="BC624" s="54"/>
      <c r="BD624" s="54" t="str">
        <f t="shared" si="1"/>
        <v/>
      </c>
      <c r="BE624" s="67"/>
      <c r="BF624" s="67"/>
      <c r="BG624" s="67"/>
      <c r="BH624" s="67"/>
      <c r="BI624" s="67"/>
      <c r="BJ624" s="67"/>
      <c r="BK624" s="67"/>
      <c r="BL624" s="67"/>
      <c r="BM624" s="67"/>
      <c r="BN624" s="100"/>
      <c r="BO624" s="102"/>
      <c r="BP624" s="67"/>
      <c r="BQ624" s="79"/>
      <c r="BR624" s="67"/>
      <c r="BS624" s="102"/>
      <c r="BT624" s="106"/>
      <c r="BU624" s="107"/>
      <c r="BV624" s="108" t="str">
        <f t="shared" si="17"/>
        <v/>
      </c>
      <c r="BW624" s="108" t="str">
        <f t="shared" si="16"/>
        <v/>
      </c>
      <c r="BX624" s="102" t="str">
        <f t="shared" si="15"/>
        <v/>
      </c>
      <c r="BY624" s="107" t="str">
        <f t="shared" si="5"/>
        <v/>
      </c>
      <c r="BZ624" s="107" t="str">
        <f t="array" ref="BZ624">IF($A624&lt;&gt;"",INDEX(LISTA!$M$2:$N$27,MATCH($BC624,LISTA!$N$2:$N$27,0),1),"")</f>
        <v/>
      </c>
      <c r="CA624" s="67" t="str">
        <f t="shared" si="6"/>
        <v/>
      </c>
      <c r="CB624" s="114" t="str">
        <f t="shared" si="7"/>
        <v/>
      </c>
      <c r="CC624" s="114"/>
    </row>
    <row r="625" ht="15.0" customHeight="1">
      <c r="A625" s="59"/>
      <c r="B625" s="115"/>
      <c r="C625" s="54"/>
      <c r="D625" s="56"/>
      <c r="E625" s="69"/>
      <c r="F625" s="73"/>
      <c r="G625" s="60"/>
      <c r="H625" s="60"/>
      <c r="I625" s="67"/>
      <c r="J625" s="79"/>
      <c r="K625" s="67"/>
      <c r="L625" s="79"/>
      <c r="M625" s="83"/>
      <c r="N625" s="78"/>
      <c r="O625" s="80"/>
      <c r="P625" s="70"/>
      <c r="Q625" s="54"/>
      <c r="R625" s="84"/>
      <c r="S625" s="84"/>
      <c r="T625" s="54"/>
      <c r="U625" s="86"/>
      <c r="V625" s="54"/>
      <c r="W625" s="86"/>
      <c r="X625" s="54"/>
      <c r="Y625" s="78"/>
      <c r="Z625" s="54"/>
      <c r="AA625" s="70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54"/>
      <c r="AR625" s="83"/>
      <c r="AS625" s="83"/>
      <c r="AT625" s="93"/>
      <c r="AU625" s="93"/>
      <c r="AV625" s="93"/>
      <c r="AW625" s="83"/>
      <c r="AX625" s="83"/>
      <c r="AY625" s="83"/>
      <c r="AZ625" s="83"/>
      <c r="BA625" s="83"/>
      <c r="BB625" s="83"/>
      <c r="BC625" s="54"/>
      <c r="BD625" s="54" t="str">
        <f t="shared" si="1"/>
        <v/>
      </c>
      <c r="BE625" s="67"/>
      <c r="BF625" s="67"/>
      <c r="BG625" s="67"/>
      <c r="BH625" s="67"/>
      <c r="BI625" s="67"/>
      <c r="BJ625" s="67"/>
      <c r="BK625" s="67"/>
      <c r="BL625" s="67"/>
      <c r="BM625" s="67"/>
      <c r="BN625" s="100"/>
      <c r="BO625" s="102"/>
      <c r="BP625" s="67"/>
      <c r="BQ625" s="79"/>
      <c r="BR625" s="67"/>
      <c r="BS625" s="102"/>
      <c r="BT625" s="106"/>
      <c r="BU625" s="107"/>
      <c r="BV625" s="108" t="str">
        <f t="shared" si="17"/>
        <v/>
      </c>
      <c r="BW625" s="108" t="str">
        <f t="shared" si="16"/>
        <v/>
      </c>
      <c r="BX625" s="102" t="str">
        <f t="shared" si="15"/>
        <v/>
      </c>
      <c r="BY625" s="107" t="str">
        <f t="shared" si="5"/>
        <v/>
      </c>
      <c r="BZ625" s="107" t="str">
        <f t="array" ref="BZ625">IF($A625&lt;&gt;"",INDEX(LISTA!$M$2:$N$27,MATCH($BC625,LISTA!$N$2:$N$27,0),1),"")</f>
        <v/>
      </c>
      <c r="CA625" s="67" t="str">
        <f t="shared" si="6"/>
        <v/>
      </c>
      <c r="CB625" s="114" t="str">
        <f t="shared" si="7"/>
        <v/>
      </c>
      <c r="CC625" s="114"/>
    </row>
    <row r="626" ht="15.0" customHeight="1">
      <c r="A626" s="59"/>
      <c r="B626" s="115"/>
      <c r="C626" s="54"/>
      <c r="D626" s="56"/>
      <c r="E626" s="69"/>
      <c r="F626" s="73"/>
      <c r="G626" s="60"/>
      <c r="H626" s="60"/>
      <c r="I626" s="67"/>
      <c r="J626" s="79"/>
      <c r="K626" s="67"/>
      <c r="L626" s="79"/>
      <c r="M626" s="83"/>
      <c r="N626" s="78"/>
      <c r="O626" s="80"/>
      <c r="P626" s="70"/>
      <c r="Q626" s="54"/>
      <c r="R626" s="84"/>
      <c r="S626" s="84"/>
      <c r="T626" s="54"/>
      <c r="U626" s="86"/>
      <c r="V626" s="54"/>
      <c r="W626" s="86"/>
      <c r="X626" s="54"/>
      <c r="Y626" s="78"/>
      <c r="Z626" s="54"/>
      <c r="AA626" s="70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54"/>
      <c r="AR626" s="83"/>
      <c r="AS626" s="83"/>
      <c r="AT626" s="93"/>
      <c r="AU626" s="93"/>
      <c r="AV626" s="93"/>
      <c r="AW626" s="83"/>
      <c r="AX626" s="83"/>
      <c r="AY626" s="83"/>
      <c r="AZ626" s="83"/>
      <c r="BA626" s="83"/>
      <c r="BB626" s="83"/>
      <c r="BC626" s="54"/>
      <c r="BD626" s="54" t="str">
        <f t="shared" si="1"/>
        <v/>
      </c>
      <c r="BE626" s="67"/>
      <c r="BF626" s="67"/>
      <c r="BG626" s="67"/>
      <c r="BH626" s="67"/>
      <c r="BI626" s="67"/>
      <c r="BJ626" s="67"/>
      <c r="BK626" s="67"/>
      <c r="BL626" s="67"/>
      <c r="BM626" s="67"/>
      <c r="BN626" s="100"/>
      <c r="BO626" s="102"/>
      <c r="BP626" s="67"/>
      <c r="BQ626" s="79"/>
      <c r="BR626" s="67"/>
      <c r="BS626" s="102"/>
      <c r="BT626" s="106"/>
      <c r="BU626" s="107"/>
      <c r="BV626" s="108" t="str">
        <f t="shared" si="17"/>
        <v/>
      </c>
      <c r="BW626" s="108" t="str">
        <f t="shared" si="16"/>
        <v/>
      </c>
      <c r="BX626" s="102" t="str">
        <f t="shared" si="15"/>
        <v/>
      </c>
      <c r="BY626" s="107" t="str">
        <f t="shared" si="5"/>
        <v/>
      </c>
      <c r="BZ626" s="107" t="str">
        <f t="array" ref="BZ626">IF($A626&lt;&gt;"",INDEX(LISTA!$M$2:$N$27,MATCH($BC626,LISTA!$N$2:$N$27,0),1),"")</f>
        <v/>
      </c>
      <c r="CA626" s="67" t="str">
        <f t="shared" si="6"/>
        <v/>
      </c>
      <c r="CB626" s="114" t="str">
        <f t="shared" si="7"/>
        <v/>
      </c>
      <c r="CC626" s="114"/>
    </row>
    <row r="627" ht="15.0" customHeight="1">
      <c r="A627" s="59"/>
      <c r="B627" s="115"/>
      <c r="C627" s="54"/>
      <c r="D627" s="56"/>
      <c r="E627" s="69"/>
      <c r="F627" s="73"/>
      <c r="G627" s="60"/>
      <c r="H627" s="60"/>
      <c r="I627" s="67"/>
      <c r="J627" s="79"/>
      <c r="K627" s="67"/>
      <c r="L627" s="79"/>
      <c r="M627" s="83"/>
      <c r="N627" s="78"/>
      <c r="O627" s="80"/>
      <c r="P627" s="70"/>
      <c r="Q627" s="54"/>
      <c r="R627" s="84"/>
      <c r="S627" s="84"/>
      <c r="T627" s="54"/>
      <c r="U627" s="86"/>
      <c r="V627" s="54"/>
      <c r="W627" s="86"/>
      <c r="X627" s="54"/>
      <c r="Y627" s="78"/>
      <c r="Z627" s="54"/>
      <c r="AA627" s="70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54"/>
      <c r="AR627" s="83"/>
      <c r="AS627" s="83"/>
      <c r="AT627" s="93"/>
      <c r="AU627" s="93"/>
      <c r="AV627" s="93"/>
      <c r="AW627" s="83"/>
      <c r="AX627" s="83"/>
      <c r="AY627" s="83"/>
      <c r="AZ627" s="83"/>
      <c r="BA627" s="83"/>
      <c r="BB627" s="83"/>
      <c r="BC627" s="54"/>
      <c r="BD627" s="54" t="str">
        <f t="shared" si="1"/>
        <v/>
      </c>
      <c r="BE627" s="67"/>
      <c r="BF627" s="67"/>
      <c r="BG627" s="67"/>
      <c r="BH627" s="67"/>
      <c r="BI627" s="67"/>
      <c r="BJ627" s="67"/>
      <c r="BK627" s="67"/>
      <c r="BL627" s="67"/>
      <c r="BM627" s="67"/>
      <c r="BN627" s="100"/>
      <c r="BO627" s="102"/>
      <c r="BP627" s="67"/>
      <c r="BQ627" s="79"/>
      <c r="BR627" s="67"/>
      <c r="BS627" s="102"/>
      <c r="BT627" s="106"/>
      <c r="BU627" s="107"/>
      <c r="BV627" s="108" t="str">
        <f t="shared" si="17"/>
        <v/>
      </c>
      <c r="BW627" s="108" t="str">
        <f t="shared" si="16"/>
        <v/>
      </c>
      <c r="BX627" s="102" t="str">
        <f t="shared" si="15"/>
        <v/>
      </c>
      <c r="BY627" s="107" t="str">
        <f t="shared" si="5"/>
        <v/>
      </c>
      <c r="BZ627" s="107" t="str">
        <f t="array" ref="BZ627">IF($A627&lt;&gt;"",INDEX(LISTA!$M$2:$N$27,MATCH($BC627,LISTA!$N$2:$N$27,0),1),"")</f>
        <v/>
      </c>
      <c r="CA627" s="67" t="str">
        <f t="shared" si="6"/>
        <v/>
      </c>
      <c r="CB627" s="114" t="str">
        <f t="shared" si="7"/>
        <v/>
      </c>
      <c r="CC627" s="114"/>
    </row>
    <row r="628" ht="15.0" customHeight="1">
      <c r="A628" s="59"/>
      <c r="B628" s="115"/>
      <c r="C628" s="54"/>
      <c r="D628" s="56"/>
      <c r="E628" s="69"/>
      <c r="F628" s="73"/>
      <c r="G628" s="60"/>
      <c r="H628" s="60"/>
      <c r="I628" s="67"/>
      <c r="J628" s="79"/>
      <c r="K628" s="67"/>
      <c r="L628" s="79"/>
      <c r="M628" s="83"/>
      <c r="N628" s="78"/>
      <c r="O628" s="80"/>
      <c r="P628" s="70"/>
      <c r="Q628" s="54"/>
      <c r="R628" s="84"/>
      <c r="S628" s="84"/>
      <c r="T628" s="54"/>
      <c r="U628" s="86"/>
      <c r="V628" s="54"/>
      <c r="W628" s="86"/>
      <c r="X628" s="54"/>
      <c r="Y628" s="78"/>
      <c r="Z628" s="54"/>
      <c r="AA628" s="70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54"/>
      <c r="AR628" s="83"/>
      <c r="AS628" s="83"/>
      <c r="AT628" s="93"/>
      <c r="AU628" s="93"/>
      <c r="AV628" s="93"/>
      <c r="AW628" s="83"/>
      <c r="AX628" s="83"/>
      <c r="AY628" s="83"/>
      <c r="AZ628" s="83"/>
      <c r="BA628" s="83"/>
      <c r="BB628" s="83"/>
      <c r="BC628" s="54"/>
      <c r="BD628" s="54" t="str">
        <f t="shared" si="1"/>
        <v/>
      </c>
      <c r="BE628" s="67"/>
      <c r="BF628" s="67"/>
      <c r="BG628" s="67"/>
      <c r="BH628" s="67"/>
      <c r="BI628" s="67"/>
      <c r="BJ628" s="67"/>
      <c r="BK628" s="67"/>
      <c r="BL628" s="67"/>
      <c r="BM628" s="67"/>
      <c r="BN628" s="100"/>
      <c r="BO628" s="102"/>
      <c r="BP628" s="67"/>
      <c r="BQ628" s="79"/>
      <c r="BR628" s="67"/>
      <c r="BS628" s="102"/>
      <c r="BT628" s="106"/>
      <c r="BU628" s="107"/>
      <c r="BV628" s="108" t="str">
        <f t="shared" si="17"/>
        <v/>
      </c>
      <c r="BW628" s="108" t="str">
        <f t="shared" si="16"/>
        <v/>
      </c>
      <c r="BX628" s="102" t="str">
        <f t="shared" si="15"/>
        <v/>
      </c>
      <c r="BY628" s="107" t="str">
        <f t="shared" si="5"/>
        <v/>
      </c>
      <c r="BZ628" s="107" t="str">
        <f t="array" ref="BZ628">IF($A628&lt;&gt;"",INDEX(LISTA!$M$2:$N$27,MATCH($BC628,LISTA!$N$2:$N$27,0),1),"")</f>
        <v/>
      </c>
      <c r="CA628" s="67" t="str">
        <f t="shared" si="6"/>
        <v/>
      </c>
      <c r="CB628" s="114" t="str">
        <f t="shared" si="7"/>
        <v/>
      </c>
      <c r="CC628" s="114"/>
    </row>
    <row r="629" ht="15.0" customHeight="1">
      <c r="A629" s="59"/>
      <c r="B629" s="115"/>
      <c r="C629" s="54"/>
      <c r="D629" s="56"/>
      <c r="E629" s="69"/>
      <c r="F629" s="73"/>
      <c r="G629" s="60"/>
      <c r="H629" s="60"/>
      <c r="I629" s="67"/>
      <c r="J629" s="79"/>
      <c r="K629" s="67"/>
      <c r="L629" s="79"/>
      <c r="M629" s="83"/>
      <c r="N629" s="78"/>
      <c r="O629" s="80"/>
      <c r="P629" s="70"/>
      <c r="Q629" s="54"/>
      <c r="R629" s="84"/>
      <c r="S629" s="84"/>
      <c r="T629" s="54"/>
      <c r="U629" s="86"/>
      <c r="V629" s="54"/>
      <c r="W629" s="86"/>
      <c r="X629" s="54"/>
      <c r="Y629" s="78"/>
      <c r="Z629" s="54"/>
      <c r="AA629" s="70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54"/>
      <c r="AR629" s="83"/>
      <c r="AS629" s="83"/>
      <c r="AT629" s="93"/>
      <c r="AU629" s="93"/>
      <c r="AV629" s="93"/>
      <c r="AW629" s="83"/>
      <c r="AX629" s="83"/>
      <c r="AY629" s="83"/>
      <c r="AZ629" s="83"/>
      <c r="BA629" s="83"/>
      <c r="BB629" s="83"/>
      <c r="BC629" s="54"/>
      <c r="BD629" s="54" t="str">
        <f t="shared" si="1"/>
        <v/>
      </c>
      <c r="BE629" s="67"/>
      <c r="BF629" s="67"/>
      <c r="BG629" s="67"/>
      <c r="BH629" s="67"/>
      <c r="BI629" s="67"/>
      <c r="BJ629" s="67"/>
      <c r="BK629" s="67"/>
      <c r="BL629" s="67"/>
      <c r="BM629" s="67"/>
      <c r="BN629" s="100"/>
      <c r="BO629" s="102"/>
      <c r="BP629" s="67"/>
      <c r="BQ629" s="79"/>
      <c r="BR629" s="67"/>
      <c r="BS629" s="102"/>
      <c r="BT629" s="106"/>
      <c r="BU629" s="107"/>
      <c r="BV629" s="108" t="str">
        <f t="shared" si="17"/>
        <v/>
      </c>
      <c r="BW629" s="108" t="str">
        <f t="shared" si="16"/>
        <v/>
      </c>
      <c r="BX629" s="102" t="str">
        <f t="shared" si="15"/>
        <v/>
      </c>
      <c r="BY629" s="107" t="str">
        <f t="shared" si="5"/>
        <v/>
      </c>
      <c r="BZ629" s="107" t="str">
        <f t="array" ref="BZ629">IF($A629&lt;&gt;"",INDEX(LISTA!$M$2:$N$27,MATCH($BC629,LISTA!$N$2:$N$27,0),1),"")</f>
        <v/>
      </c>
      <c r="CA629" s="67" t="str">
        <f t="shared" si="6"/>
        <v/>
      </c>
      <c r="CB629" s="114" t="str">
        <f t="shared" si="7"/>
        <v/>
      </c>
      <c r="CC629" s="114"/>
    </row>
    <row r="630" ht="15.0" customHeight="1">
      <c r="A630" s="59"/>
      <c r="B630" s="115"/>
      <c r="C630" s="54"/>
      <c r="D630" s="56"/>
      <c r="E630" s="69"/>
      <c r="F630" s="73"/>
      <c r="G630" s="60"/>
      <c r="H630" s="60"/>
      <c r="I630" s="67"/>
      <c r="J630" s="79"/>
      <c r="K630" s="67"/>
      <c r="L630" s="79"/>
      <c r="M630" s="83"/>
      <c r="N630" s="78"/>
      <c r="O630" s="80"/>
      <c r="P630" s="70"/>
      <c r="Q630" s="54"/>
      <c r="R630" s="84"/>
      <c r="S630" s="84"/>
      <c r="T630" s="54"/>
      <c r="U630" s="86"/>
      <c r="V630" s="54"/>
      <c r="W630" s="86"/>
      <c r="X630" s="54"/>
      <c r="Y630" s="78"/>
      <c r="Z630" s="54"/>
      <c r="AA630" s="70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54"/>
      <c r="AR630" s="83"/>
      <c r="AS630" s="83"/>
      <c r="AT630" s="93"/>
      <c r="AU630" s="93"/>
      <c r="AV630" s="93"/>
      <c r="AW630" s="83"/>
      <c r="AX630" s="83"/>
      <c r="AY630" s="83"/>
      <c r="AZ630" s="83"/>
      <c r="BA630" s="83"/>
      <c r="BB630" s="83"/>
      <c r="BC630" s="54"/>
      <c r="BD630" s="54" t="str">
        <f t="shared" si="1"/>
        <v/>
      </c>
      <c r="BE630" s="67"/>
      <c r="BF630" s="67"/>
      <c r="BG630" s="67"/>
      <c r="BH630" s="67"/>
      <c r="BI630" s="67"/>
      <c r="BJ630" s="67"/>
      <c r="BK630" s="67"/>
      <c r="BL630" s="67"/>
      <c r="BM630" s="67"/>
      <c r="BN630" s="100"/>
      <c r="BO630" s="102"/>
      <c r="BP630" s="67"/>
      <c r="BQ630" s="79"/>
      <c r="BR630" s="67"/>
      <c r="BS630" s="102"/>
      <c r="BT630" s="106"/>
      <c r="BU630" s="107"/>
      <c r="BV630" s="108" t="str">
        <f t="shared" si="17"/>
        <v/>
      </c>
      <c r="BW630" s="108" t="str">
        <f t="shared" si="16"/>
        <v/>
      </c>
      <c r="BX630" s="102" t="str">
        <f t="shared" si="15"/>
        <v/>
      </c>
      <c r="BY630" s="107" t="str">
        <f t="shared" si="5"/>
        <v/>
      </c>
      <c r="BZ630" s="107" t="str">
        <f t="array" ref="BZ630">IF($A630&lt;&gt;"",INDEX(LISTA!$M$2:$N$27,MATCH($BC630,LISTA!$N$2:$N$27,0),1),"")</f>
        <v/>
      </c>
      <c r="CA630" s="67" t="str">
        <f t="shared" si="6"/>
        <v/>
      </c>
      <c r="CB630" s="114" t="str">
        <f t="shared" si="7"/>
        <v/>
      </c>
      <c r="CC630" s="114"/>
    </row>
    <row r="631" ht="15.0" customHeight="1">
      <c r="A631" s="59"/>
      <c r="B631" s="115"/>
      <c r="C631" s="54"/>
      <c r="D631" s="56"/>
      <c r="E631" s="69"/>
      <c r="F631" s="73"/>
      <c r="G631" s="60"/>
      <c r="H631" s="60"/>
      <c r="I631" s="67"/>
      <c r="J631" s="79"/>
      <c r="K631" s="67"/>
      <c r="L631" s="79"/>
      <c r="M631" s="83"/>
      <c r="N631" s="78"/>
      <c r="O631" s="80"/>
      <c r="P631" s="70"/>
      <c r="Q631" s="54"/>
      <c r="R631" s="84"/>
      <c r="S631" s="84"/>
      <c r="T631" s="54"/>
      <c r="U631" s="86"/>
      <c r="V631" s="54"/>
      <c r="W631" s="86"/>
      <c r="X631" s="54"/>
      <c r="Y631" s="78"/>
      <c r="Z631" s="54"/>
      <c r="AA631" s="70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54"/>
      <c r="AR631" s="83"/>
      <c r="AS631" s="83"/>
      <c r="AT631" s="93"/>
      <c r="AU631" s="93"/>
      <c r="AV631" s="93"/>
      <c r="AW631" s="83"/>
      <c r="AX631" s="83"/>
      <c r="AY631" s="83"/>
      <c r="AZ631" s="83"/>
      <c r="BA631" s="83"/>
      <c r="BB631" s="83"/>
      <c r="BC631" s="54"/>
      <c r="BD631" s="54" t="str">
        <f t="shared" si="1"/>
        <v/>
      </c>
      <c r="BE631" s="67"/>
      <c r="BF631" s="67"/>
      <c r="BG631" s="67"/>
      <c r="BH631" s="67"/>
      <c r="BI631" s="67"/>
      <c r="BJ631" s="67"/>
      <c r="BK631" s="67"/>
      <c r="BL631" s="67"/>
      <c r="BM631" s="67"/>
      <c r="BN631" s="100"/>
      <c r="BO631" s="102"/>
      <c r="BP631" s="67"/>
      <c r="BQ631" s="79"/>
      <c r="BR631" s="67"/>
      <c r="BS631" s="102"/>
      <c r="BT631" s="106"/>
      <c r="BU631" s="107"/>
      <c r="BV631" s="108" t="str">
        <f t="shared" si="17"/>
        <v/>
      </c>
      <c r="BW631" s="108" t="str">
        <f t="shared" si="16"/>
        <v/>
      </c>
      <c r="BX631" s="102" t="str">
        <f t="shared" si="15"/>
        <v/>
      </c>
      <c r="BY631" s="107" t="str">
        <f t="shared" si="5"/>
        <v/>
      </c>
      <c r="BZ631" s="107" t="str">
        <f t="array" ref="BZ631">IF($A631&lt;&gt;"",INDEX(LISTA!$M$2:$N$27,MATCH($BC631,LISTA!$N$2:$N$27,0),1),"")</f>
        <v/>
      </c>
      <c r="CA631" s="67" t="str">
        <f t="shared" si="6"/>
        <v/>
      </c>
      <c r="CB631" s="114" t="str">
        <f t="shared" si="7"/>
        <v/>
      </c>
      <c r="CC631" s="114"/>
    </row>
    <row r="632" ht="15.0" customHeight="1">
      <c r="A632" s="59"/>
      <c r="B632" s="115"/>
      <c r="C632" s="54"/>
      <c r="D632" s="56"/>
      <c r="E632" s="69"/>
      <c r="F632" s="73"/>
      <c r="G632" s="60"/>
      <c r="H632" s="60"/>
      <c r="I632" s="67"/>
      <c r="J632" s="79"/>
      <c r="K632" s="67"/>
      <c r="L632" s="79"/>
      <c r="M632" s="83"/>
      <c r="N632" s="78"/>
      <c r="O632" s="80"/>
      <c r="P632" s="70"/>
      <c r="Q632" s="54"/>
      <c r="R632" s="84"/>
      <c r="S632" s="84"/>
      <c r="T632" s="54"/>
      <c r="U632" s="86"/>
      <c r="V632" s="54"/>
      <c r="W632" s="86"/>
      <c r="X632" s="54"/>
      <c r="Y632" s="78"/>
      <c r="Z632" s="54"/>
      <c r="AA632" s="70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54"/>
      <c r="AR632" s="83"/>
      <c r="AS632" s="83"/>
      <c r="AT632" s="93"/>
      <c r="AU632" s="93"/>
      <c r="AV632" s="93"/>
      <c r="AW632" s="83"/>
      <c r="AX632" s="83"/>
      <c r="AY632" s="83"/>
      <c r="AZ632" s="83"/>
      <c r="BA632" s="83"/>
      <c r="BB632" s="83"/>
      <c r="BC632" s="54"/>
      <c r="BD632" s="54" t="str">
        <f t="shared" si="1"/>
        <v/>
      </c>
      <c r="BE632" s="67"/>
      <c r="BF632" s="67"/>
      <c r="BG632" s="67"/>
      <c r="BH632" s="67"/>
      <c r="BI632" s="67"/>
      <c r="BJ632" s="67"/>
      <c r="BK632" s="67"/>
      <c r="BL632" s="67"/>
      <c r="BM632" s="67"/>
      <c r="BN632" s="100"/>
      <c r="BO632" s="102"/>
      <c r="BP632" s="67"/>
      <c r="BQ632" s="79"/>
      <c r="BR632" s="67"/>
      <c r="BS632" s="102"/>
      <c r="BT632" s="106"/>
      <c r="BU632" s="107"/>
      <c r="BV632" s="108" t="str">
        <f t="shared" si="17"/>
        <v/>
      </c>
      <c r="BW632" s="108" t="str">
        <f t="shared" si="16"/>
        <v/>
      </c>
      <c r="BX632" s="102" t="str">
        <f t="shared" si="15"/>
        <v/>
      </c>
      <c r="BY632" s="107" t="str">
        <f t="shared" si="5"/>
        <v/>
      </c>
      <c r="BZ632" s="107" t="str">
        <f t="array" ref="BZ632">IF($A632&lt;&gt;"",INDEX(LISTA!$M$2:$N$27,MATCH($BC632,LISTA!$N$2:$N$27,0),1),"")</f>
        <v/>
      </c>
      <c r="CA632" s="67" t="str">
        <f t="shared" si="6"/>
        <v/>
      </c>
      <c r="CB632" s="114" t="str">
        <f t="shared" si="7"/>
        <v/>
      </c>
      <c r="CC632" s="114"/>
    </row>
    <row r="633" ht="15.0" customHeight="1">
      <c r="A633" s="59"/>
      <c r="B633" s="115"/>
      <c r="C633" s="54"/>
      <c r="D633" s="56"/>
      <c r="E633" s="69"/>
      <c r="F633" s="73"/>
      <c r="G633" s="60"/>
      <c r="H633" s="60"/>
      <c r="I633" s="67"/>
      <c r="J633" s="79"/>
      <c r="K633" s="67"/>
      <c r="L633" s="79"/>
      <c r="M633" s="83"/>
      <c r="N633" s="78"/>
      <c r="O633" s="80"/>
      <c r="P633" s="70"/>
      <c r="Q633" s="54"/>
      <c r="R633" s="84"/>
      <c r="S633" s="84"/>
      <c r="T633" s="54"/>
      <c r="U633" s="86"/>
      <c r="V633" s="54"/>
      <c r="W633" s="86"/>
      <c r="X633" s="54"/>
      <c r="Y633" s="78"/>
      <c r="Z633" s="54"/>
      <c r="AA633" s="70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54"/>
      <c r="AR633" s="83"/>
      <c r="AS633" s="83"/>
      <c r="AT633" s="93"/>
      <c r="AU633" s="93"/>
      <c r="AV633" s="93"/>
      <c r="AW633" s="83"/>
      <c r="AX633" s="83"/>
      <c r="AY633" s="83"/>
      <c r="AZ633" s="83"/>
      <c r="BA633" s="83"/>
      <c r="BB633" s="83"/>
      <c r="BC633" s="54"/>
      <c r="BD633" s="54" t="str">
        <f t="shared" si="1"/>
        <v/>
      </c>
      <c r="BE633" s="67"/>
      <c r="BF633" s="67"/>
      <c r="BG633" s="67"/>
      <c r="BH633" s="67"/>
      <c r="BI633" s="67"/>
      <c r="BJ633" s="67"/>
      <c r="BK633" s="67"/>
      <c r="BL633" s="67"/>
      <c r="BM633" s="67"/>
      <c r="BN633" s="100"/>
      <c r="BO633" s="102"/>
      <c r="BP633" s="67"/>
      <c r="BQ633" s="79"/>
      <c r="BR633" s="67"/>
      <c r="BS633" s="102"/>
      <c r="BT633" s="106"/>
      <c r="BU633" s="107"/>
      <c r="BV633" s="108" t="str">
        <f t="shared" si="17"/>
        <v/>
      </c>
      <c r="BW633" s="108" t="str">
        <f t="shared" si="16"/>
        <v/>
      </c>
      <c r="BX633" s="102" t="str">
        <f t="shared" si="15"/>
        <v/>
      </c>
      <c r="BY633" s="107" t="str">
        <f t="shared" si="5"/>
        <v/>
      </c>
      <c r="BZ633" s="107" t="str">
        <f t="array" ref="BZ633">IF($A633&lt;&gt;"",INDEX(LISTA!$M$2:$N$27,MATCH($BC633,LISTA!$N$2:$N$27,0),1),"")</f>
        <v/>
      </c>
      <c r="CA633" s="67" t="str">
        <f t="shared" si="6"/>
        <v/>
      </c>
      <c r="CB633" s="114" t="str">
        <f t="shared" si="7"/>
        <v/>
      </c>
      <c r="CC633" s="114"/>
    </row>
    <row r="634" ht="15.0" customHeight="1">
      <c r="A634" s="59"/>
      <c r="B634" s="115"/>
      <c r="C634" s="54"/>
      <c r="D634" s="56"/>
      <c r="E634" s="69"/>
      <c r="F634" s="73"/>
      <c r="G634" s="60"/>
      <c r="H634" s="60"/>
      <c r="I634" s="67"/>
      <c r="J634" s="79"/>
      <c r="K634" s="67"/>
      <c r="L634" s="79"/>
      <c r="M634" s="83"/>
      <c r="N634" s="78"/>
      <c r="O634" s="80"/>
      <c r="P634" s="70"/>
      <c r="Q634" s="54"/>
      <c r="R634" s="84"/>
      <c r="S634" s="84"/>
      <c r="T634" s="54"/>
      <c r="U634" s="86"/>
      <c r="V634" s="54"/>
      <c r="W634" s="86"/>
      <c r="X634" s="54"/>
      <c r="Y634" s="78"/>
      <c r="Z634" s="54"/>
      <c r="AA634" s="70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54"/>
      <c r="AR634" s="83"/>
      <c r="AS634" s="83"/>
      <c r="AT634" s="93"/>
      <c r="AU634" s="93"/>
      <c r="AV634" s="93"/>
      <c r="AW634" s="83"/>
      <c r="AX634" s="83"/>
      <c r="AY634" s="83"/>
      <c r="AZ634" s="83"/>
      <c r="BA634" s="83"/>
      <c r="BB634" s="83"/>
      <c r="BC634" s="54"/>
      <c r="BD634" s="54" t="str">
        <f t="shared" si="1"/>
        <v/>
      </c>
      <c r="BE634" s="67"/>
      <c r="BF634" s="67"/>
      <c r="BG634" s="67"/>
      <c r="BH634" s="67"/>
      <c r="BI634" s="67"/>
      <c r="BJ634" s="67"/>
      <c r="BK634" s="67"/>
      <c r="BL634" s="67"/>
      <c r="BM634" s="67"/>
      <c r="BN634" s="100"/>
      <c r="BO634" s="102"/>
      <c r="BP634" s="67"/>
      <c r="BQ634" s="79"/>
      <c r="BR634" s="67"/>
      <c r="BS634" s="102"/>
      <c r="BT634" s="106"/>
      <c r="BU634" s="107"/>
      <c r="BV634" s="108" t="str">
        <f t="shared" si="17"/>
        <v/>
      </c>
      <c r="BW634" s="108" t="str">
        <f t="shared" si="16"/>
        <v/>
      </c>
      <c r="BX634" s="102" t="str">
        <f t="shared" si="15"/>
        <v/>
      </c>
      <c r="BY634" s="107" t="str">
        <f t="shared" si="5"/>
        <v/>
      </c>
      <c r="BZ634" s="107" t="str">
        <f t="array" ref="BZ634">IF($A634&lt;&gt;"",INDEX(LISTA!$M$2:$N$27,MATCH($BC634,LISTA!$N$2:$N$27,0),1),"")</f>
        <v/>
      </c>
      <c r="CA634" s="67" t="str">
        <f t="shared" si="6"/>
        <v/>
      </c>
      <c r="CB634" s="114" t="str">
        <f t="shared" si="7"/>
        <v/>
      </c>
      <c r="CC634" s="114"/>
    </row>
    <row r="635" ht="15.0" customHeight="1">
      <c r="A635" s="59"/>
      <c r="B635" s="115"/>
      <c r="C635" s="54"/>
      <c r="D635" s="56"/>
      <c r="E635" s="69"/>
      <c r="F635" s="73"/>
      <c r="G635" s="60"/>
      <c r="H635" s="60"/>
      <c r="I635" s="67"/>
      <c r="J635" s="79"/>
      <c r="K635" s="67"/>
      <c r="L635" s="79"/>
      <c r="M635" s="83"/>
      <c r="N635" s="78"/>
      <c r="O635" s="80"/>
      <c r="P635" s="70"/>
      <c r="Q635" s="54"/>
      <c r="R635" s="84"/>
      <c r="S635" s="84"/>
      <c r="T635" s="54"/>
      <c r="U635" s="86"/>
      <c r="V635" s="54"/>
      <c r="W635" s="86"/>
      <c r="X635" s="54"/>
      <c r="Y635" s="78"/>
      <c r="Z635" s="54"/>
      <c r="AA635" s="70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54"/>
      <c r="AR635" s="83"/>
      <c r="AS635" s="83"/>
      <c r="AT635" s="93"/>
      <c r="AU635" s="93"/>
      <c r="AV635" s="93"/>
      <c r="AW635" s="83"/>
      <c r="AX635" s="83"/>
      <c r="AY635" s="83"/>
      <c r="AZ635" s="83"/>
      <c r="BA635" s="83"/>
      <c r="BB635" s="83"/>
      <c r="BC635" s="54"/>
      <c r="BD635" s="54" t="str">
        <f t="shared" si="1"/>
        <v/>
      </c>
      <c r="BE635" s="67"/>
      <c r="BF635" s="67"/>
      <c r="BG635" s="67"/>
      <c r="BH635" s="67"/>
      <c r="BI635" s="67"/>
      <c r="BJ635" s="67"/>
      <c r="BK635" s="67"/>
      <c r="BL635" s="67"/>
      <c r="BM635" s="67"/>
      <c r="BN635" s="100"/>
      <c r="BO635" s="102"/>
      <c r="BP635" s="67"/>
      <c r="BQ635" s="79"/>
      <c r="BR635" s="67"/>
      <c r="BS635" s="102"/>
      <c r="BT635" s="106"/>
      <c r="BU635" s="107"/>
      <c r="BV635" s="108" t="str">
        <f t="shared" si="17"/>
        <v/>
      </c>
      <c r="BW635" s="108" t="str">
        <f t="shared" si="16"/>
        <v/>
      </c>
      <c r="BX635" s="102" t="str">
        <f t="shared" si="15"/>
        <v/>
      </c>
      <c r="BY635" s="107" t="str">
        <f t="shared" si="5"/>
        <v/>
      </c>
      <c r="BZ635" s="107" t="str">
        <f t="array" ref="BZ635">IF($A635&lt;&gt;"",INDEX(LISTA!$M$2:$N$27,MATCH($BC635,LISTA!$N$2:$N$27,0),1),"")</f>
        <v/>
      </c>
      <c r="CA635" s="67" t="str">
        <f t="shared" si="6"/>
        <v/>
      </c>
      <c r="CB635" s="114" t="str">
        <f t="shared" si="7"/>
        <v/>
      </c>
      <c r="CC635" s="114"/>
    </row>
    <row r="636" ht="15.0" customHeight="1">
      <c r="A636" s="59"/>
      <c r="B636" s="115"/>
      <c r="C636" s="54"/>
      <c r="D636" s="56"/>
      <c r="E636" s="69"/>
      <c r="F636" s="73"/>
      <c r="G636" s="60"/>
      <c r="H636" s="60"/>
      <c r="I636" s="67"/>
      <c r="J636" s="79"/>
      <c r="K636" s="67"/>
      <c r="L636" s="79"/>
      <c r="M636" s="83"/>
      <c r="N636" s="78"/>
      <c r="O636" s="80"/>
      <c r="P636" s="70"/>
      <c r="Q636" s="54"/>
      <c r="R636" s="84"/>
      <c r="S636" s="84"/>
      <c r="T636" s="54"/>
      <c r="U636" s="86"/>
      <c r="V636" s="54"/>
      <c r="W636" s="86"/>
      <c r="X636" s="54"/>
      <c r="Y636" s="78"/>
      <c r="Z636" s="54"/>
      <c r="AA636" s="70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54"/>
      <c r="AR636" s="83"/>
      <c r="AS636" s="83"/>
      <c r="AT636" s="93"/>
      <c r="AU636" s="93"/>
      <c r="AV636" s="93"/>
      <c r="AW636" s="83"/>
      <c r="AX636" s="83"/>
      <c r="AY636" s="83"/>
      <c r="AZ636" s="83"/>
      <c r="BA636" s="83"/>
      <c r="BB636" s="83"/>
      <c r="BC636" s="54"/>
      <c r="BD636" s="54" t="str">
        <f t="shared" si="1"/>
        <v/>
      </c>
      <c r="BE636" s="67"/>
      <c r="BF636" s="67"/>
      <c r="BG636" s="67"/>
      <c r="BH636" s="67"/>
      <c r="BI636" s="67"/>
      <c r="BJ636" s="67"/>
      <c r="BK636" s="67"/>
      <c r="BL636" s="67"/>
      <c r="BM636" s="67"/>
      <c r="BN636" s="100"/>
      <c r="BO636" s="102"/>
      <c r="BP636" s="67"/>
      <c r="BQ636" s="79"/>
      <c r="BR636" s="67"/>
      <c r="BS636" s="102"/>
      <c r="BT636" s="106"/>
      <c r="BU636" s="107"/>
      <c r="BV636" s="108" t="str">
        <f t="shared" si="17"/>
        <v/>
      </c>
      <c r="BW636" s="108" t="str">
        <f t="shared" si="16"/>
        <v/>
      </c>
      <c r="BX636" s="102" t="str">
        <f t="shared" si="15"/>
        <v/>
      </c>
      <c r="BY636" s="107" t="str">
        <f t="shared" si="5"/>
        <v/>
      </c>
      <c r="BZ636" s="107" t="str">
        <f t="array" ref="BZ636">IF($A636&lt;&gt;"",INDEX(LISTA!$M$2:$N$27,MATCH($BC636,LISTA!$N$2:$N$27,0),1),"")</f>
        <v/>
      </c>
      <c r="CA636" s="67" t="str">
        <f t="shared" si="6"/>
        <v/>
      </c>
      <c r="CB636" s="114" t="str">
        <f t="shared" si="7"/>
        <v/>
      </c>
      <c r="CC636" s="114"/>
    </row>
    <row r="637" ht="15.0" customHeight="1">
      <c r="A637" s="59"/>
      <c r="B637" s="115"/>
      <c r="C637" s="54"/>
      <c r="D637" s="56"/>
      <c r="E637" s="69"/>
      <c r="F637" s="73"/>
      <c r="G637" s="60"/>
      <c r="H637" s="60"/>
      <c r="I637" s="67"/>
      <c r="J637" s="79"/>
      <c r="K637" s="67"/>
      <c r="L637" s="79"/>
      <c r="M637" s="83"/>
      <c r="N637" s="78"/>
      <c r="O637" s="80"/>
      <c r="P637" s="70"/>
      <c r="Q637" s="54"/>
      <c r="R637" s="84"/>
      <c r="S637" s="84"/>
      <c r="T637" s="54"/>
      <c r="U637" s="86"/>
      <c r="V637" s="54"/>
      <c r="W637" s="86"/>
      <c r="X637" s="54"/>
      <c r="Y637" s="78"/>
      <c r="Z637" s="54"/>
      <c r="AA637" s="70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54"/>
      <c r="AR637" s="83"/>
      <c r="AS637" s="83"/>
      <c r="AT637" s="93"/>
      <c r="AU637" s="93"/>
      <c r="AV637" s="93"/>
      <c r="AW637" s="83"/>
      <c r="AX637" s="83"/>
      <c r="AY637" s="83"/>
      <c r="AZ637" s="83"/>
      <c r="BA637" s="83"/>
      <c r="BB637" s="83"/>
      <c r="BC637" s="54"/>
      <c r="BD637" s="54" t="str">
        <f t="shared" si="1"/>
        <v/>
      </c>
      <c r="BE637" s="67"/>
      <c r="BF637" s="67"/>
      <c r="BG637" s="67"/>
      <c r="BH637" s="67"/>
      <c r="BI637" s="67"/>
      <c r="BJ637" s="67"/>
      <c r="BK637" s="67"/>
      <c r="BL637" s="67"/>
      <c r="BM637" s="67"/>
      <c r="BN637" s="100"/>
      <c r="BO637" s="102"/>
      <c r="BP637" s="67"/>
      <c r="BQ637" s="79"/>
      <c r="BR637" s="67"/>
      <c r="BS637" s="102"/>
      <c r="BT637" s="106"/>
      <c r="BU637" s="107"/>
      <c r="BV637" s="108" t="str">
        <f t="shared" si="17"/>
        <v/>
      </c>
      <c r="BW637" s="108" t="str">
        <f t="shared" si="16"/>
        <v/>
      </c>
      <c r="BX637" s="102" t="str">
        <f t="shared" si="15"/>
        <v/>
      </c>
      <c r="BY637" s="107" t="str">
        <f t="shared" si="5"/>
        <v/>
      </c>
      <c r="BZ637" s="107" t="str">
        <f t="array" ref="BZ637">IF($A637&lt;&gt;"",INDEX(LISTA!$M$2:$N$27,MATCH($BC637,LISTA!$N$2:$N$27,0),1),"")</f>
        <v/>
      </c>
      <c r="CA637" s="67" t="str">
        <f t="shared" si="6"/>
        <v/>
      </c>
      <c r="CB637" s="114" t="str">
        <f t="shared" si="7"/>
        <v/>
      </c>
      <c r="CC637" s="114"/>
    </row>
    <row r="638" ht="15.0" customHeight="1">
      <c r="A638" s="59"/>
      <c r="B638" s="115"/>
      <c r="C638" s="54"/>
      <c r="D638" s="56"/>
      <c r="E638" s="69"/>
      <c r="F638" s="73"/>
      <c r="G638" s="60"/>
      <c r="H638" s="60"/>
      <c r="I638" s="67"/>
      <c r="J638" s="79"/>
      <c r="K638" s="67"/>
      <c r="L638" s="79"/>
      <c r="M638" s="83"/>
      <c r="N638" s="78"/>
      <c r="O638" s="80"/>
      <c r="P638" s="70"/>
      <c r="Q638" s="54"/>
      <c r="R638" s="84"/>
      <c r="S638" s="84"/>
      <c r="T638" s="54"/>
      <c r="U638" s="86"/>
      <c r="V638" s="54"/>
      <c r="W638" s="86"/>
      <c r="X638" s="54"/>
      <c r="Y638" s="78"/>
      <c r="Z638" s="54"/>
      <c r="AA638" s="70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54"/>
      <c r="AR638" s="83"/>
      <c r="AS638" s="83"/>
      <c r="AT638" s="93"/>
      <c r="AU638" s="93"/>
      <c r="AV638" s="93"/>
      <c r="AW638" s="83"/>
      <c r="AX638" s="83"/>
      <c r="AY638" s="83"/>
      <c r="AZ638" s="83"/>
      <c r="BA638" s="83"/>
      <c r="BB638" s="83"/>
      <c r="BC638" s="54"/>
      <c r="BD638" s="54" t="str">
        <f t="shared" si="1"/>
        <v/>
      </c>
      <c r="BE638" s="67"/>
      <c r="BF638" s="67"/>
      <c r="BG638" s="67"/>
      <c r="BH638" s="67"/>
      <c r="BI638" s="67"/>
      <c r="BJ638" s="67"/>
      <c r="BK638" s="67"/>
      <c r="BL638" s="67"/>
      <c r="BM638" s="67"/>
      <c r="BN638" s="100"/>
      <c r="BO638" s="102"/>
      <c r="BP638" s="67"/>
      <c r="BQ638" s="79"/>
      <c r="BR638" s="67"/>
      <c r="BS638" s="102"/>
      <c r="BT638" s="106"/>
      <c r="BU638" s="107"/>
      <c r="BV638" s="108" t="str">
        <f t="shared" si="17"/>
        <v/>
      </c>
      <c r="BW638" s="108" t="str">
        <f t="shared" si="16"/>
        <v/>
      </c>
      <c r="BX638" s="102" t="str">
        <f t="shared" si="15"/>
        <v/>
      </c>
      <c r="BY638" s="107" t="str">
        <f t="shared" si="5"/>
        <v/>
      </c>
      <c r="BZ638" s="107" t="str">
        <f t="array" ref="BZ638">IF($A638&lt;&gt;"",INDEX(LISTA!$M$2:$N$27,MATCH($BC638,LISTA!$N$2:$N$27,0),1),"")</f>
        <v/>
      </c>
      <c r="CA638" s="67" t="str">
        <f t="shared" si="6"/>
        <v/>
      </c>
      <c r="CB638" s="114" t="str">
        <f t="shared" si="7"/>
        <v/>
      </c>
      <c r="CC638" s="114"/>
    </row>
    <row r="639" ht="15.0" customHeight="1">
      <c r="A639" s="59"/>
      <c r="B639" s="115"/>
      <c r="C639" s="54"/>
      <c r="D639" s="56"/>
      <c r="E639" s="69"/>
      <c r="F639" s="73"/>
      <c r="G639" s="60"/>
      <c r="H639" s="60"/>
      <c r="I639" s="67"/>
      <c r="J639" s="79"/>
      <c r="K639" s="67"/>
      <c r="L639" s="79"/>
      <c r="M639" s="83"/>
      <c r="N639" s="78"/>
      <c r="O639" s="80"/>
      <c r="P639" s="70"/>
      <c r="Q639" s="54"/>
      <c r="R639" s="84"/>
      <c r="S639" s="84"/>
      <c r="T639" s="54"/>
      <c r="U639" s="86"/>
      <c r="V639" s="54"/>
      <c r="W639" s="86"/>
      <c r="X639" s="54"/>
      <c r="Y639" s="78"/>
      <c r="Z639" s="54"/>
      <c r="AA639" s="70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54"/>
      <c r="AR639" s="83"/>
      <c r="AS639" s="83"/>
      <c r="AT639" s="93"/>
      <c r="AU639" s="93"/>
      <c r="AV639" s="93"/>
      <c r="AW639" s="83"/>
      <c r="AX639" s="83"/>
      <c r="AY639" s="83"/>
      <c r="AZ639" s="83"/>
      <c r="BA639" s="83"/>
      <c r="BB639" s="83"/>
      <c r="BC639" s="54"/>
      <c r="BD639" s="54" t="str">
        <f t="shared" si="1"/>
        <v/>
      </c>
      <c r="BE639" s="67"/>
      <c r="BF639" s="67"/>
      <c r="BG639" s="67"/>
      <c r="BH639" s="67"/>
      <c r="BI639" s="67"/>
      <c r="BJ639" s="67"/>
      <c r="BK639" s="67"/>
      <c r="BL639" s="67"/>
      <c r="BM639" s="67"/>
      <c r="BN639" s="100"/>
      <c r="BO639" s="102"/>
      <c r="BP639" s="67"/>
      <c r="BQ639" s="79"/>
      <c r="BR639" s="67"/>
      <c r="BS639" s="102"/>
      <c r="BT639" s="106"/>
      <c r="BU639" s="107"/>
      <c r="BV639" s="108" t="str">
        <f t="shared" si="17"/>
        <v/>
      </c>
      <c r="BW639" s="108" t="str">
        <f t="shared" si="16"/>
        <v/>
      </c>
      <c r="BX639" s="102" t="str">
        <f t="shared" si="15"/>
        <v/>
      </c>
      <c r="BY639" s="107" t="str">
        <f t="shared" si="5"/>
        <v/>
      </c>
      <c r="BZ639" s="107" t="str">
        <f t="array" ref="BZ639">IF($A639&lt;&gt;"",INDEX(LISTA!$M$2:$N$27,MATCH($BC639,LISTA!$N$2:$N$27,0),1),"")</f>
        <v/>
      </c>
      <c r="CA639" s="67" t="str">
        <f t="shared" si="6"/>
        <v/>
      </c>
      <c r="CB639" s="114" t="str">
        <f t="shared" si="7"/>
        <v/>
      </c>
      <c r="CC639" s="114"/>
    </row>
    <row r="640" ht="15.0" customHeight="1">
      <c r="A640" s="59"/>
      <c r="B640" s="115"/>
      <c r="C640" s="54"/>
      <c r="D640" s="56"/>
      <c r="E640" s="69"/>
      <c r="F640" s="73"/>
      <c r="G640" s="60"/>
      <c r="H640" s="60"/>
      <c r="I640" s="67"/>
      <c r="J640" s="79"/>
      <c r="K640" s="67"/>
      <c r="L640" s="79"/>
      <c r="M640" s="83"/>
      <c r="N640" s="78"/>
      <c r="O640" s="80"/>
      <c r="P640" s="70"/>
      <c r="Q640" s="54"/>
      <c r="R640" s="84"/>
      <c r="S640" s="84"/>
      <c r="T640" s="54"/>
      <c r="U640" s="86"/>
      <c r="V640" s="54"/>
      <c r="W640" s="86"/>
      <c r="X640" s="54"/>
      <c r="Y640" s="78"/>
      <c r="Z640" s="54"/>
      <c r="AA640" s="70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54"/>
      <c r="AR640" s="83"/>
      <c r="AS640" s="83"/>
      <c r="AT640" s="93"/>
      <c r="AU640" s="93"/>
      <c r="AV640" s="93"/>
      <c r="AW640" s="83"/>
      <c r="AX640" s="83"/>
      <c r="AY640" s="83"/>
      <c r="AZ640" s="83"/>
      <c r="BA640" s="83"/>
      <c r="BB640" s="83"/>
      <c r="BC640" s="54"/>
      <c r="BD640" s="54" t="str">
        <f t="shared" si="1"/>
        <v/>
      </c>
      <c r="BE640" s="67"/>
      <c r="BF640" s="67"/>
      <c r="BG640" s="67"/>
      <c r="BH640" s="67"/>
      <c r="BI640" s="67"/>
      <c r="BJ640" s="67"/>
      <c r="BK640" s="67"/>
      <c r="BL640" s="67"/>
      <c r="BM640" s="67"/>
      <c r="BN640" s="100"/>
      <c r="BO640" s="102"/>
      <c r="BP640" s="67"/>
      <c r="BQ640" s="79"/>
      <c r="BR640" s="67"/>
      <c r="BS640" s="102"/>
      <c r="BT640" s="106"/>
      <c r="BU640" s="107"/>
      <c r="BV640" s="108" t="str">
        <f t="shared" si="17"/>
        <v/>
      </c>
      <c r="BW640" s="108" t="str">
        <f t="shared" si="16"/>
        <v/>
      </c>
      <c r="BX640" s="102" t="str">
        <f t="shared" si="15"/>
        <v/>
      </c>
      <c r="BY640" s="107" t="str">
        <f t="shared" si="5"/>
        <v/>
      </c>
      <c r="BZ640" s="107" t="str">
        <f t="array" ref="BZ640">IF($A640&lt;&gt;"",INDEX(LISTA!$M$2:$N$27,MATCH($BC640,LISTA!$N$2:$N$27,0),1),"")</f>
        <v/>
      </c>
      <c r="CA640" s="67" t="str">
        <f t="shared" si="6"/>
        <v/>
      </c>
      <c r="CB640" s="114" t="str">
        <f t="shared" si="7"/>
        <v/>
      </c>
      <c r="CC640" s="114"/>
    </row>
    <row r="641" ht="15.0" customHeight="1">
      <c r="A641" s="59"/>
      <c r="B641" s="115"/>
      <c r="C641" s="54"/>
      <c r="D641" s="56"/>
      <c r="E641" s="69"/>
      <c r="F641" s="73"/>
      <c r="G641" s="60"/>
      <c r="H641" s="60"/>
      <c r="I641" s="67"/>
      <c r="J641" s="79"/>
      <c r="K641" s="67"/>
      <c r="L641" s="79"/>
      <c r="M641" s="83"/>
      <c r="N641" s="78"/>
      <c r="O641" s="80"/>
      <c r="P641" s="70"/>
      <c r="Q641" s="54"/>
      <c r="R641" s="84"/>
      <c r="S641" s="84"/>
      <c r="T641" s="54"/>
      <c r="U641" s="86"/>
      <c r="V641" s="54"/>
      <c r="W641" s="86"/>
      <c r="X641" s="54"/>
      <c r="Y641" s="78"/>
      <c r="Z641" s="54"/>
      <c r="AA641" s="70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54"/>
      <c r="AR641" s="83"/>
      <c r="AS641" s="83"/>
      <c r="AT641" s="93"/>
      <c r="AU641" s="93"/>
      <c r="AV641" s="93"/>
      <c r="AW641" s="83"/>
      <c r="AX641" s="83"/>
      <c r="AY641" s="83"/>
      <c r="AZ641" s="83"/>
      <c r="BA641" s="83"/>
      <c r="BB641" s="83"/>
      <c r="BC641" s="54"/>
      <c r="BD641" s="54" t="str">
        <f t="shared" si="1"/>
        <v/>
      </c>
      <c r="BE641" s="67"/>
      <c r="BF641" s="67"/>
      <c r="BG641" s="67"/>
      <c r="BH641" s="67"/>
      <c r="BI641" s="67"/>
      <c r="BJ641" s="67"/>
      <c r="BK641" s="67"/>
      <c r="BL641" s="67"/>
      <c r="BM641" s="67"/>
      <c r="BN641" s="100"/>
      <c r="BO641" s="102"/>
      <c r="BP641" s="67"/>
      <c r="BQ641" s="79"/>
      <c r="BR641" s="67"/>
      <c r="BS641" s="102"/>
      <c r="BT641" s="106"/>
      <c r="BU641" s="107"/>
      <c r="BV641" s="108" t="str">
        <f t="shared" si="17"/>
        <v/>
      </c>
      <c r="BW641" s="108" t="str">
        <f t="shared" si="16"/>
        <v/>
      </c>
      <c r="BX641" s="102" t="str">
        <f t="shared" si="15"/>
        <v/>
      </c>
      <c r="BY641" s="107" t="str">
        <f t="shared" si="5"/>
        <v/>
      </c>
      <c r="BZ641" s="107" t="str">
        <f t="array" ref="BZ641">IF($A641&lt;&gt;"",INDEX(LISTA!$M$2:$N$27,MATCH($BC641,LISTA!$N$2:$N$27,0),1),"")</f>
        <v/>
      </c>
      <c r="CA641" s="67" t="str">
        <f t="shared" si="6"/>
        <v/>
      </c>
      <c r="CB641" s="114" t="str">
        <f t="shared" si="7"/>
        <v/>
      </c>
      <c r="CC641" s="114"/>
    </row>
    <row r="642" ht="15.0" customHeight="1">
      <c r="A642" s="59"/>
      <c r="B642" s="115"/>
      <c r="C642" s="54"/>
      <c r="D642" s="56"/>
      <c r="E642" s="69"/>
      <c r="F642" s="73"/>
      <c r="G642" s="60"/>
      <c r="H642" s="60"/>
      <c r="I642" s="67"/>
      <c r="J642" s="79"/>
      <c r="K642" s="67"/>
      <c r="L642" s="79"/>
      <c r="M642" s="83"/>
      <c r="N642" s="78"/>
      <c r="O642" s="80"/>
      <c r="P642" s="70"/>
      <c r="Q642" s="54"/>
      <c r="R642" s="84"/>
      <c r="S642" s="84"/>
      <c r="T642" s="54"/>
      <c r="U642" s="86"/>
      <c r="V642" s="54"/>
      <c r="W642" s="86"/>
      <c r="X642" s="54"/>
      <c r="Y642" s="78"/>
      <c r="Z642" s="54"/>
      <c r="AA642" s="70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54"/>
      <c r="AR642" s="83"/>
      <c r="AS642" s="83"/>
      <c r="AT642" s="93"/>
      <c r="AU642" s="93"/>
      <c r="AV642" s="93"/>
      <c r="AW642" s="83"/>
      <c r="AX642" s="83"/>
      <c r="AY642" s="83"/>
      <c r="AZ642" s="83"/>
      <c r="BA642" s="83"/>
      <c r="BB642" s="83"/>
      <c r="BC642" s="54"/>
      <c r="BD642" s="54" t="str">
        <f t="shared" si="1"/>
        <v/>
      </c>
      <c r="BE642" s="67"/>
      <c r="BF642" s="67"/>
      <c r="BG642" s="67"/>
      <c r="BH642" s="67"/>
      <c r="BI642" s="67"/>
      <c r="BJ642" s="67"/>
      <c r="BK642" s="67"/>
      <c r="BL642" s="67"/>
      <c r="BM642" s="67"/>
      <c r="BN642" s="100"/>
      <c r="BO642" s="102"/>
      <c r="BP642" s="67"/>
      <c r="BQ642" s="79"/>
      <c r="BR642" s="67"/>
      <c r="BS642" s="102"/>
      <c r="BT642" s="106"/>
      <c r="BU642" s="107"/>
      <c r="BV642" s="108" t="str">
        <f t="shared" si="17"/>
        <v/>
      </c>
      <c r="BW642" s="108" t="str">
        <f t="shared" si="16"/>
        <v/>
      </c>
      <c r="BX642" s="102" t="str">
        <f t="shared" si="15"/>
        <v/>
      </c>
      <c r="BY642" s="107" t="str">
        <f t="shared" si="5"/>
        <v/>
      </c>
      <c r="BZ642" s="107" t="str">
        <f t="array" ref="BZ642">IF($A642&lt;&gt;"",INDEX(LISTA!$M$2:$N$27,MATCH($BC642,LISTA!$N$2:$N$27,0),1),"")</f>
        <v/>
      </c>
      <c r="CA642" s="67" t="str">
        <f t="shared" si="6"/>
        <v/>
      </c>
      <c r="CB642" s="114" t="str">
        <f t="shared" si="7"/>
        <v/>
      </c>
      <c r="CC642" s="114"/>
    </row>
    <row r="643" ht="15.0" customHeight="1">
      <c r="A643" s="59"/>
      <c r="B643" s="115"/>
      <c r="C643" s="54"/>
      <c r="D643" s="56"/>
      <c r="E643" s="69"/>
      <c r="F643" s="73"/>
      <c r="G643" s="60"/>
      <c r="H643" s="60"/>
      <c r="I643" s="67"/>
      <c r="J643" s="79"/>
      <c r="K643" s="67"/>
      <c r="L643" s="79"/>
      <c r="M643" s="83"/>
      <c r="N643" s="78"/>
      <c r="O643" s="80"/>
      <c r="P643" s="70"/>
      <c r="Q643" s="54"/>
      <c r="R643" s="84"/>
      <c r="S643" s="84"/>
      <c r="T643" s="54"/>
      <c r="U643" s="86"/>
      <c r="V643" s="54"/>
      <c r="W643" s="86"/>
      <c r="X643" s="54"/>
      <c r="Y643" s="78"/>
      <c r="Z643" s="54"/>
      <c r="AA643" s="70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54"/>
      <c r="AR643" s="83"/>
      <c r="AS643" s="83"/>
      <c r="AT643" s="93"/>
      <c r="AU643" s="93"/>
      <c r="AV643" s="93"/>
      <c r="AW643" s="83"/>
      <c r="AX643" s="83"/>
      <c r="AY643" s="83"/>
      <c r="AZ643" s="83"/>
      <c r="BA643" s="83"/>
      <c r="BB643" s="83"/>
      <c r="BC643" s="54"/>
      <c r="BD643" s="54" t="str">
        <f t="shared" si="1"/>
        <v/>
      </c>
      <c r="BE643" s="67"/>
      <c r="BF643" s="67"/>
      <c r="BG643" s="67"/>
      <c r="BH643" s="67"/>
      <c r="BI643" s="67"/>
      <c r="BJ643" s="67"/>
      <c r="BK643" s="67"/>
      <c r="BL643" s="67"/>
      <c r="BM643" s="67"/>
      <c r="BN643" s="100"/>
      <c r="BO643" s="102"/>
      <c r="BP643" s="67"/>
      <c r="BQ643" s="79"/>
      <c r="BR643" s="67"/>
      <c r="BS643" s="102"/>
      <c r="BT643" s="106"/>
      <c r="BU643" s="107"/>
      <c r="BV643" s="108" t="str">
        <f t="shared" si="17"/>
        <v/>
      </c>
      <c r="BW643" s="108" t="str">
        <f t="shared" si="16"/>
        <v/>
      </c>
      <c r="BX643" s="102" t="str">
        <f t="shared" si="15"/>
        <v/>
      </c>
      <c r="BY643" s="107" t="str">
        <f t="shared" si="5"/>
        <v/>
      </c>
      <c r="BZ643" s="107" t="str">
        <f t="array" ref="BZ643">IF($A643&lt;&gt;"",INDEX(LISTA!$M$2:$N$27,MATCH($BC643,LISTA!$N$2:$N$27,0),1),"")</f>
        <v/>
      </c>
      <c r="CA643" s="67" t="str">
        <f t="shared" si="6"/>
        <v/>
      </c>
      <c r="CB643" s="114" t="str">
        <f t="shared" si="7"/>
        <v/>
      </c>
      <c r="CC643" s="114"/>
    </row>
    <row r="644" ht="15.0" customHeight="1">
      <c r="A644" s="59"/>
      <c r="B644" s="115"/>
      <c r="C644" s="54"/>
      <c r="D644" s="56"/>
      <c r="E644" s="69"/>
      <c r="F644" s="73"/>
      <c r="G644" s="60"/>
      <c r="H644" s="60"/>
      <c r="I644" s="67"/>
      <c r="J644" s="79"/>
      <c r="K644" s="67"/>
      <c r="L644" s="79"/>
      <c r="M644" s="83"/>
      <c r="N644" s="78"/>
      <c r="O644" s="80"/>
      <c r="P644" s="70"/>
      <c r="Q644" s="54"/>
      <c r="R644" s="84"/>
      <c r="S644" s="84"/>
      <c r="T644" s="54"/>
      <c r="U644" s="86"/>
      <c r="V644" s="54"/>
      <c r="W644" s="86"/>
      <c r="X644" s="54"/>
      <c r="Y644" s="78"/>
      <c r="Z644" s="54"/>
      <c r="AA644" s="70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54"/>
      <c r="AR644" s="83"/>
      <c r="AS644" s="83"/>
      <c r="AT644" s="93"/>
      <c r="AU644" s="93"/>
      <c r="AV644" s="93"/>
      <c r="AW644" s="83"/>
      <c r="AX644" s="83"/>
      <c r="AY644" s="83"/>
      <c r="AZ644" s="83"/>
      <c r="BA644" s="83"/>
      <c r="BB644" s="83"/>
      <c r="BC644" s="54"/>
      <c r="BD644" s="54" t="str">
        <f t="shared" si="1"/>
        <v/>
      </c>
      <c r="BE644" s="67"/>
      <c r="BF644" s="67"/>
      <c r="BG644" s="67"/>
      <c r="BH644" s="67"/>
      <c r="BI644" s="67"/>
      <c r="BJ644" s="67"/>
      <c r="BK644" s="67"/>
      <c r="BL644" s="67"/>
      <c r="BM644" s="67"/>
      <c r="BN644" s="100"/>
      <c r="BO644" s="102"/>
      <c r="BP644" s="67"/>
      <c r="BQ644" s="79"/>
      <c r="BR644" s="67"/>
      <c r="BS644" s="102"/>
      <c r="BT644" s="106"/>
      <c r="BU644" s="107"/>
      <c r="BV644" s="108" t="str">
        <f t="shared" si="17"/>
        <v/>
      </c>
      <c r="BW644" s="108" t="str">
        <f t="shared" si="16"/>
        <v/>
      </c>
      <c r="BX644" s="102" t="str">
        <f t="shared" si="15"/>
        <v/>
      </c>
      <c r="BY644" s="107" t="str">
        <f t="shared" si="5"/>
        <v/>
      </c>
      <c r="BZ644" s="107" t="str">
        <f t="array" ref="BZ644">IF($A644&lt;&gt;"",INDEX(LISTA!$M$2:$N$27,MATCH($BC644,LISTA!$N$2:$N$27,0),1),"")</f>
        <v/>
      </c>
      <c r="CA644" s="67" t="str">
        <f t="shared" si="6"/>
        <v/>
      </c>
      <c r="CB644" s="114" t="str">
        <f t="shared" si="7"/>
        <v/>
      </c>
      <c r="CC644" s="114"/>
    </row>
    <row r="645" ht="15.0" customHeight="1">
      <c r="A645" s="59"/>
      <c r="B645" s="115"/>
      <c r="C645" s="54"/>
      <c r="D645" s="56"/>
      <c r="E645" s="69"/>
      <c r="F645" s="73"/>
      <c r="G645" s="60"/>
      <c r="H645" s="60"/>
      <c r="I645" s="67"/>
      <c r="J645" s="79"/>
      <c r="K645" s="67"/>
      <c r="L645" s="79"/>
      <c r="M645" s="83"/>
      <c r="N645" s="78"/>
      <c r="O645" s="80"/>
      <c r="P645" s="70"/>
      <c r="Q645" s="54"/>
      <c r="R645" s="84"/>
      <c r="S645" s="84"/>
      <c r="T645" s="54"/>
      <c r="U645" s="86"/>
      <c r="V645" s="54"/>
      <c r="W645" s="86"/>
      <c r="X645" s="54"/>
      <c r="Y645" s="78"/>
      <c r="Z645" s="54"/>
      <c r="AA645" s="70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54"/>
      <c r="AR645" s="83"/>
      <c r="AS645" s="83"/>
      <c r="AT645" s="93"/>
      <c r="AU645" s="93"/>
      <c r="AV645" s="93"/>
      <c r="AW645" s="83"/>
      <c r="AX645" s="83"/>
      <c r="AY645" s="83"/>
      <c r="AZ645" s="83"/>
      <c r="BA645" s="83"/>
      <c r="BB645" s="83"/>
      <c r="BC645" s="54"/>
      <c r="BD645" s="54" t="str">
        <f t="shared" si="1"/>
        <v/>
      </c>
      <c r="BE645" s="67"/>
      <c r="BF645" s="67"/>
      <c r="BG645" s="67"/>
      <c r="BH645" s="67"/>
      <c r="BI645" s="67"/>
      <c r="BJ645" s="67"/>
      <c r="BK645" s="67"/>
      <c r="BL645" s="67"/>
      <c r="BM645" s="67"/>
      <c r="BN645" s="100"/>
      <c r="BO645" s="102"/>
      <c r="BP645" s="67"/>
      <c r="BQ645" s="79"/>
      <c r="BR645" s="67"/>
      <c r="BS645" s="102"/>
      <c r="BT645" s="106"/>
      <c r="BU645" s="107"/>
      <c r="BV645" s="108" t="str">
        <f t="shared" si="17"/>
        <v/>
      </c>
      <c r="BW645" s="108" t="str">
        <f t="shared" si="16"/>
        <v/>
      </c>
      <c r="BX645" s="102" t="str">
        <f t="shared" si="15"/>
        <v/>
      </c>
      <c r="BY645" s="107" t="str">
        <f t="shared" si="5"/>
        <v/>
      </c>
      <c r="BZ645" s="107" t="str">
        <f t="array" ref="BZ645">IF($A645&lt;&gt;"",INDEX(LISTA!$M$2:$N$27,MATCH($BC645,LISTA!$N$2:$N$27,0),1),"")</f>
        <v/>
      </c>
      <c r="CA645" s="67" t="str">
        <f t="shared" si="6"/>
        <v/>
      </c>
      <c r="CB645" s="114" t="str">
        <f t="shared" si="7"/>
        <v/>
      </c>
      <c r="CC645" s="114"/>
    </row>
    <row r="646" ht="15.0" customHeight="1">
      <c r="A646" s="59"/>
      <c r="B646" s="115"/>
      <c r="C646" s="54"/>
      <c r="D646" s="56"/>
      <c r="E646" s="69"/>
      <c r="F646" s="73"/>
      <c r="G646" s="60"/>
      <c r="H646" s="60"/>
      <c r="I646" s="67"/>
      <c r="J646" s="79"/>
      <c r="K646" s="67"/>
      <c r="L646" s="79"/>
      <c r="M646" s="83"/>
      <c r="N646" s="78"/>
      <c r="O646" s="80"/>
      <c r="P646" s="70"/>
      <c r="Q646" s="54"/>
      <c r="R646" s="84"/>
      <c r="S646" s="84"/>
      <c r="T646" s="54"/>
      <c r="U646" s="86"/>
      <c r="V646" s="54"/>
      <c r="W646" s="86"/>
      <c r="X646" s="54"/>
      <c r="Y646" s="78"/>
      <c r="Z646" s="54"/>
      <c r="AA646" s="70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54"/>
      <c r="AR646" s="83"/>
      <c r="AS646" s="83"/>
      <c r="AT646" s="93"/>
      <c r="AU646" s="93"/>
      <c r="AV646" s="93"/>
      <c r="AW646" s="83"/>
      <c r="AX646" s="83"/>
      <c r="AY646" s="83"/>
      <c r="AZ646" s="83"/>
      <c r="BA646" s="83"/>
      <c r="BB646" s="83"/>
      <c r="BC646" s="54"/>
      <c r="BD646" s="54" t="str">
        <f t="shared" si="1"/>
        <v/>
      </c>
      <c r="BE646" s="67"/>
      <c r="BF646" s="67"/>
      <c r="BG646" s="67"/>
      <c r="BH646" s="67"/>
      <c r="BI646" s="67"/>
      <c r="BJ646" s="67"/>
      <c r="BK646" s="67"/>
      <c r="BL646" s="67"/>
      <c r="BM646" s="67"/>
      <c r="BN646" s="100"/>
      <c r="BO646" s="102"/>
      <c r="BP646" s="67"/>
      <c r="BQ646" s="79"/>
      <c r="BR646" s="67"/>
      <c r="BS646" s="102"/>
      <c r="BT646" s="106"/>
      <c r="BU646" s="107"/>
      <c r="BV646" s="108" t="str">
        <f t="shared" si="17"/>
        <v/>
      </c>
      <c r="BW646" s="108" t="str">
        <f t="shared" si="16"/>
        <v/>
      </c>
      <c r="BX646" s="102" t="str">
        <f t="shared" si="15"/>
        <v/>
      </c>
      <c r="BY646" s="107" t="str">
        <f t="shared" si="5"/>
        <v/>
      </c>
      <c r="BZ646" s="107" t="str">
        <f t="array" ref="BZ646">IF($A646&lt;&gt;"",INDEX(LISTA!$M$2:$N$27,MATCH($BC646,LISTA!$N$2:$N$27,0),1),"")</f>
        <v/>
      </c>
      <c r="CA646" s="67" t="str">
        <f t="shared" si="6"/>
        <v/>
      </c>
      <c r="CB646" s="114" t="str">
        <f t="shared" si="7"/>
        <v/>
      </c>
      <c r="CC646" s="114"/>
    </row>
    <row r="647" ht="15.0" customHeight="1">
      <c r="A647" s="59"/>
      <c r="B647" s="115"/>
      <c r="C647" s="54"/>
      <c r="D647" s="56"/>
      <c r="E647" s="69"/>
      <c r="F647" s="73"/>
      <c r="G647" s="60"/>
      <c r="H647" s="60"/>
      <c r="I647" s="67"/>
      <c r="J647" s="79"/>
      <c r="K647" s="67"/>
      <c r="L647" s="79"/>
      <c r="M647" s="83"/>
      <c r="N647" s="78"/>
      <c r="O647" s="80"/>
      <c r="P647" s="70"/>
      <c r="Q647" s="54"/>
      <c r="R647" s="84"/>
      <c r="S647" s="84"/>
      <c r="T647" s="54"/>
      <c r="U647" s="86"/>
      <c r="V647" s="54"/>
      <c r="W647" s="86"/>
      <c r="X647" s="54"/>
      <c r="Y647" s="78"/>
      <c r="Z647" s="54"/>
      <c r="AA647" s="70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54"/>
      <c r="AR647" s="83"/>
      <c r="AS647" s="83"/>
      <c r="AT647" s="93"/>
      <c r="AU647" s="93"/>
      <c r="AV647" s="93"/>
      <c r="AW647" s="83"/>
      <c r="AX647" s="83"/>
      <c r="AY647" s="83"/>
      <c r="AZ647" s="83"/>
      <c r="BA647" s="83"/>
      <c r="BB647" s="83"/>
      <c r="BC647" s="54"/>
      <c r="BD647" s="54" t="str">
        <f t="shared" si="1"/>
        <v/>
      </c>
      <c r="BE647" s="67"/>
      <c r="BF647" s="67"/>
      <c r="BG647" s="67"/>
      <c r="BH647" s="67"/>
      <c r="BI647" s="67"/>
      <c r="BJ647" s="67"/>
      <c r="BK647" s="67"/>
      <c r="BL647" s="67"/>
      <c r="BM647" s="67"/>
      <c r="BN647" s="100"/>
      <c r="BO647" s="102"/>
      <c r="BP647" s="67"/>
      <c r="BQ647" s="79"/>
      <c r="BR647" s="67"/>
      <c r="BS647" s="102"/>
      <c r="BT647" s="106"/>
      <c r="BU647" s="107"/>
      <c r="BV647" s="108" t="str">
        <f t="shared" si="17"/>
        <v/>
      </c>
      <c r="BW647" s="108" t="str">
        <f t="shared" si="16"/>
        <v/>
      </c>
      <c r="BX647" s="102" t="str">
        <f t="shared" si="15"/>
        <v/>
      </c>
      <c r="BY647" s="107" t="str">
        <f t="shared" si="5"/>
        <v/>
      </c>
      <c r="BZ647" s="107" t="str">
        <f t="array" ref="BZ647">IF($A647&lt;&gt;"",INDEX(LISTA!$M$2:$N$27,MATCH($BC647,LISTA!$N$2:$N$27,0),1),"")</f>
        <v/>
      </c>
      <c r="CA647" s="67" t="str">
        <f t="shared" si="6"/>
        <v/>
      </c>
      <c r="CB647" s="114" t="str">
        <f t="shared" si="7"/>
        <v/>
      </c>
      <c r="CC647" s="114"/>
    </row>
    <row r="648" ht="15.0" customHeight="1">
      <c r="A648" s="59"/>
      <c r="B648" s="115"/>
      <c r="C648" s="54"/>
      <c r="D648" s="56"/>
      <c r="E648" s="69"/>
      <c r="F648" s="73"/>
      <c r="G648" s="60"/>
      <c r="H648" s="60"/>
      <c r="I648" s="67"/>
      <c r="J648" s="79"/>
      <c r="K648" s="67"/>
      <c r="L648" s="79"/>
      <c r="M648" s="83"/>
      <c r="N648" s="78"/>
      <c r="O648" s="80"/>
      <c r="P648" s="70"/>
      <c r="Q648" s="54"/>
      <c r="R648" s="84"/>
      <c r="S648" s="84"/>
      <c r="T648" s="54"/>
      <c r="U648" s="86"/>
      <c r="V648" s="54"/>
      <c r="W648" s="86"/>
      <c r="X648" s="54"/>
      <c r="Y648" s="78"/>
      <c r="Z648" s="54"/>
      <c r="AA648" s="70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54"/>
      <c r="AR648" s="83"/>
      <c r="AS648" s="83"/>
      <c r="AT648" s="93"/>
      <c r="AU648" s="93"/>
      <c r="AV648" s="93"/>
      <c r="AW648" s="83"/>
      <c r="AX648" s="83"/>
      <c r="AY648" s="83"/>
      <c r="AZ648" s="83"/>
      <c r="BA648" s="83"/>
      <c r="BB648" s="83"/>
      <c r="BC648" s="54"/>
      <c r="BD648" s="54" t="str">
        <f t="shared" si="1"/>
        <v/>
      </c>
      <c r="BE648" s="67"/>
      <c r="BF648" s="67"/>
      <c r="BG648" s="67"/>
      <c r="BH648" s="67"/>
      <c r="BI648" s="67"/>
      <c r="BJ648" s="67"/>
      <c r="BK648" s="67"/>
      <c r="BL648" s="67"/>
      <c r="BM648" s="67"/>
      <c r="BN648" s="100"/>
      <c r="BO648" s="102"/>
      <c r="BP648" s="67"/>
      <c r="BQ648" s="79"/>
      <c r="BR648" s="67"/>
      <c r="BS648" s="102"/>
      <c r="BT648" s="106"/>
      <c r="BU648" s="107"/>
      <c r="BV648" s="108" t="str">
        <f t="shared" si="17"/>
        <v/>
      </c>
      <c r="BW648" s="108" t="str">
        <f t="shared" si="16"/>
        <v/>
      </c>
      <c r="BX648" s="102" t="str">
        <f t="shared" si="15"/>
        <v/>
      </c>
      <c r="BY648" s="107" t="str">
        <f t="shared" si="5"/>
        <v/>
      </c>
      <c r="BZ648" s="107" t="str">
        <f t="array" ref="BZ648">IF($A648&lt;&gt;"",INDEX(LISTA!$M$2:$N$27,MATCH($BC648,LISTA!$N$2:$N$27,0),1),"")</f>
        <v/>
      </c>
      <c r="CA648" s="67" t="str">
        <f t="shared" si="6"/>
        <v/>
      </c>
      <c r="CB648" s="114" t="str">
        <f t="shared" si="7"/>
        <v/>
      </c>
      <c r="CC648" s="114"/>
    </row>
    <row r="649" ht="15.0" customHeight="1">
      <c r="A649" s="59"/>
      <c r="B649" s="115"/>
      <c r="C649" s="54"/>
      <c r="D649" s="56"/>
      <c r="E649" s="69"/>
      <c r="F649" s="73"/>
      <c r="G649" s="60"/>
      <c r="H649" s="60"/>
      <c r="I649" s="67"/>
      <c r="J649" s="79"/>
      <c r="K649" s="67"/>
      <c r="L649" s="79"/>
      <c r="M649" s="83"/>
      <c r="N649" s="78"/>
      <c r="O649" s="80"/>
      <c r="P649" s="70"/>
      <c r="Q649" s="54"/>
      <c r="R649" s="84"/>
      <c r="S649" s="84"/>
      <c r="T649" s="54"/>
      <c r="U649" s="86"/>
      <c r="V649" s="54"/>
      <c r="W649" s="86"/>
      <c r="X649" s="54"/>
      <c r="Y649" s="78"/>
      <c r="Z649" s="54"/>
      <c r="AA649" s="70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54"/>
      <c r="AR649" s="83"/>
      <c r="AS649" s="83"/>
      <c r="AT649" s="93"/>
      <c r="AU649" s="93"/>
      <c r="AV649" s="93"/>
      <c r="AW649" s="83"/>
      <c r="AX649" s="83"/>
      <c r="AY649" s="83"/>
      <c r="AZ649" s="83"/>
      <c r="BA649" s="83"/>
      <c r="BB649" s="83"/>
      <c r="BC649" s="54"/>
      <c r="BD649" s="54" t="str">
        <f t="shared" si="1"/>
        <v/>
      </c>
      <c r="BE649" s="67"/>
      <c r="BF649" s="67"/>
      <c r="BG649" s="67"/>
      <c r="BH649" s="67"/>
      <c r="BI649" s="67"/>
      <c r="BJ649" s="67"/>
      <c r="BK649" s="67"/>
      <c r="BL649" s="67"/>
      <c r="BM649" s="67"/>
      <c r="BN649" s="100"/>
      <c r="BO649" s="102"/>
      <c r="BP649" s="67"/>
      <c r="BQ649" s="79"/>
      <c r="BR649" s="67"/>
      <c r="BS649" s="102"/>
      <c r="BT649" s="106"/>
      <c r="BU649" s="107"/>
      <c r="BV649" s="108" t="str">
        <f t="shared" si="17"/>
        <v/>
      </c>
      <c r="BW649" s="108" t="str">
        <f t="shared" si="16"/>
        <v/>
      </c>
      <c r="BX649" s="102" t="str">
        <f t="shared" si="15"/>
        <v/>
      </c>
      <c r="BY649" s="107" t="str">
        <f t="shared" si="5"/>
        <v/>
      </c>
      <c r="BZ649" s="107" t="str">
        <f t="array" ref="BZ649">IF($A649&lt;&gt;"",INDEX(LISTA!$M$2:$N$27,MATCH($BC649,LISTA!$N$2:$N$27,0),1),"")</f>
        <v/>
      </c>
      <c r="CA649" s="67" t="str">
        <f t="shared" si="6"/>
        <v/>
      </c>
      <c r="CB649" s="114" t="str">
        <f t="shared" si="7"/>
        <v/>
      </c>
      <c r="CC649" s="114"/>
    </row>
    <row r="650" ht="22.5" customHeight="1">
      <c r="A650" s="59"/>
      <c r="B650" s="115"/>
      <c r="C650" s="54"/>
      <c r="D650" s="56"/>
      <c r="E650" s="69"/>
      <c r="F650" s="73"/>
      <c r="G650" s="79"/>
      <c r="H650" s="79"/>
      <c r="I650" s="67"/>
      <c r="J650" s="79"/>
      <c r="K650" s="67"/>
      <c r="L650" s="79"/>
      <c r="M650" s="83"/>
      <c r="N650" s="78"/>
      <c r="O650" s="80"/>
      <c r="P650" s="70"/>
      <c r="Q650" s="54"/>
      <c r="R650" s="67"/>
      <c r="S650" s="67"/>
      <c r="T650" s="54"/>
      <c r="U650" s="86"/>
      <c r="V650" s="54"/>
      <c r="W650" s="86"/>
      <c r="X650" s="54"/>
      <c r="Y650" s="78"/>
      <c r="Z650" s="54"/>
      <c r="AA650" s="70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54"/>
      <c r="AR650" s="83"/>
      <c r="AS650" s="83"/>
      <c r="AT650" s="93"/>
      <c r="AU650" s="93"/>
      <c r="AV650" s="93"/>
      <c r="AW650" s="83"/>
      <c r="AX650" s="83"/>
      <c r="AY650" s="83"/>
      <c r="AZ650" s="83"/>
      <c r="BA650" s="83"/>
      <c r="BB650" s="83"/>
      <c r="BC650" s="54"/>
      <c r="BD650" s="54" t="str">
        <f t="shared" si="1"/>
        <v/>
      </c>
      <c r="BE650" s="67"/>
      <c r="BF650" s="67"/>
      <c r="BG650" s="67"/>
      <c r="BH650" s="67"/>
      <c r="BI650" s="67"/>
      <c r="BJ650" s="67"/>
      <c r="BK650" s="67"/>
      <c r="BL650" s="67"/>
      <c r="BM650" s="67"/>
      <c r="BN650" s="100"/>
      <c r="BO650" s="102"/>
      <c r="BP650" s="67"/>
      <c r="BQ650" s="79"/>
      <c r="BR650" s="67"/>
      <c r="BS650" s="102"/>
      <c r="BT650" s="106"/>
      <c r="BU650" s="107"/>
      <c r="BV650" s="108" t="str">
        <f t="shared" si="17"/>
        <v/>
      </c>
      <c r="BW650" s="108" t="str">
        <f t="shared" si="16"/>
        <v/>
      </c>
      <c r="BX650" s="102" t="str">
        <f t="shared" si="15"/>
        <v/>
      </c>
      <c r="BY650" s="107" t="str">
        <f t="shared" si="5"/>
        <v/>
      </c>
      <c r="BZ650" s="107" t="str">
        <f t="array" ref="BZ650">IF($A650&lt;&gt;"",INDEX(LISTA!$M$2:$N$27,MATCH($BC650,LISTA!$N$2:$N$27,0),1),"")</f>
        <v/>
      </c>
      <c r="CA650" s="67" t="str">
        <f t="shared" si="6"/>
        <v/>
      </c>
      <c r="CB650" s="114" t="str">
        <f t="shared" si="7"/>
        <v/>
      </c>
      <c r="CC650" s="114"/>
    </row>
    <row r="651" ht="22.5" customHeight="1">
      <c r="A651" s="59"/>
      <c r="B651" s="115"/>
      <c r="C651" s="54"/>
      <c r="D651" s="56"/>
      <c r="E651" s="69"/>
      <c r="F651" s="73"/>
      <c r="G651" s="79"/>
      <c r="H651" s="79"/>
      <c r="I651" s="67"/>
      <c r="J651" s="79"/>
      <c r="K651" s="67"/>
      <c r="L651" s="79"/>
      <c r="M651" s="83"/>
      <c r="N651" s="78"/>
      <c r="O651" s="80"/>
      <c r="P651" s="70"/>
      <c r="Q651" s="54"/>
      <c r="R651" s="67"/>
      <c r="S651" s="67"/>
      <c r="T651" s="54"/>
      <c r="U651" s="86"/>
      <c r="V651" s="54"/>
      <c r="W651" s="86"/>
      <c r="X651" s="54"/>
      <c r="Y651" s="78"/>
      <c r="Z651" s="54"/>
      <c r="AA651" s="70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54"/>
      <c r="AR651" s="83"/>
      <c r="AS651" s="83"/>
      <c r="AT651" s="93"/>
      <c r="AU651" s="93"/>
      <c r="AV651" s="93"/>
      <c r="AW651" s="83"/>
      <c r="AX651" s="83"/>
      <c r="AY651" s="83"/>
      <c r="AZ651" s="83"/>
      <c r="BA651" s="83"/>
      <c r="BB651" s="83"/>
      <c r="BC651" s="54"/>
      <c r="BD651" s="54" t="str">
        <f t="shared" si="1"/>
        <v/>
      </c>
      <c r="BE651" s="67"/>
      <c r="BF651" s="67"/>
      <c r="BG651" s="67"/>
      <c r="BH651" s="67"/>
      <c r="BI651" s="67"/>
      <c r="BJ651" s="67"/>
      <c r="BK651" s="67"/>
      <c r="BL651" s="67"/>
      <c r="BM651" s="67"/>
      <c r="BN651" s="100"/>
      <c r="BO651" s="102"/>
      <c r="BP651" s="67"/>
      <c r="BQ651" s="79"/>
      <c r="BR651" s="67"/>
      <c r="BS651" s="102"/>
      <c r="BT651" s="106"/>
      <c r="BU651" s="107"/>
      <c r="BV651" s="108" t="str">
        <f t="shared" si="17"/>
        <v/>
      </c>
      <c r="BW651" s="108" t="str">
        <f t="shared" si="16"/>
        <v/>
      </c>
      <c r="BX651" s="102" t="str">
        <f t="shared" si="15"/>
        <v/>
      </c>
      <c r="BY651" s="107" t="str">
        <f t="shared" si="5"/>
        <v/>
      </c>
      <c r="BZ651" s="107" t="str">
        <f t="array" ref="BZ651">IF($A651&lt;&gt;"",INDEX(LISTA!$M$2:$N$27,MATCH($BC651,LISTA!$N$2:$N$27,0),1),"")</f>
        <v/>
      </c>
      <c r="CA651" s="67" t="str">
        <f t="shared" si="6"/>
        <v/>
      </c>
      <c r="CB651" s="114" t="str">
        <f t="shared" si="7"/>
        <v/>
      </c>
      <c r="CC651" s="114"/>
    </row>
    <row r="652" ht="22.5" customHeight="1">
      <c r="A652" s="59"/>
      <c r="B652" s="115"/>
      <c r="C652" s="54"/>
      <c r="D652" s="56"/>
      <c r="E652" s="69"/>
      <c r="F652" s="73"/>
      <c r="G652" s="79"/>
      <c r="H652" s="79"/>
      <c r="I652" s="67"/>
      <c r="J652" s="79"/>
      <c r="K652" s="67"/>
      <c r="L652" s="79"/>
      <c r="M652" s="83"/>
      <c r="N652" s="78"/>
      <c r="O652" s="80"/>
      <c r="P652" s="70"/>
      <c r="Q652" s="54"/>
      <c r="R652" s="67"/>
      <c r="S652" s="67"/>
      <c r="T652" s="54"/>
      <c r="U652" s="86"/>
      <c r="V652" s="54"/>
      <c r="W652" s="86"/>
      <c r="X652" s="54"/>
      <c r="Y652" s="78"/>
      <c r="Z652" s="54"/>
      <c r="AA652" s="70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54"/>
      <c r="AR652" s="83"/>
      <c r="AS652" s="83"/>
      <c r="AT652" s="93"/>
      <c r="AU652" s="93"/>
      <c r="AV652" s="93"/>
      <c r="AW652" s="83"/>
      <c r="AX652" s="83"/>
      <c r="AY652" s="83"/>
      <c r="AZ652" s="83"/>
      <c r="BA652" s="83"/>
      <c r="BB652" s="83"/>
      <c r="BC652" s="54"/>
      <c r="BD652" s="54" t="str">
        <f t="shared" si="1"/>
        <v/>
      </c>
      <c r="BE652" s="67"/>
      <c r="BF652" s="67"/>
      <c r="BG652" s="67"/>
      <c r="BH652" s="67"/>
      <c r="BI652" s="67"/>
      <c r="BJ652" s="67"/>
      <c r="BK652" s="67"/>
      <c r="BL652" s="67"/>
      <c r="BM652" s="67"/>
      <c r="BN652" s="100"/>
      <c r="BO652" s="102"/>
      <c r="BP652" s="67"/>
      <c r="BQ652" s="79"/>
      <c r="BR652" s="67"/>
      <c r="BS652" s="102"/>
      <c r="BT652" s="106"/>
      <c r="BU652" s="107"/>
      <c r="BV652" s="108" t="str">
        <f t="shared" si="17"/>
        <v/>
      </c>
      <c r="BW652" s="108" t="str">
        <f t="shared" si="16"/>
        <v/>
      </c>
      <c r="BX652" s="102" t="str">
        <f t="shared" si="15"/>
        <v/>
      </c>
      <c r="BY652" s="107" t="str">
        <f t="shared" si="5"/>
        <v/>
      </c>
      <c r="BZ652" s="107" t="str">
        <f t="array" ref="BZ652">IF($A652&lt;&gt;"",INDEX(LISTA!$M$2:$N$27,MATCH($BC652,LISTA!$N$2:$N$27,0),1),"")</f>
        <v/>
      </c>
      <c r="CA652" s="67" t="str">
        <f t="shared" si="6"/>
        <v/>
      </c>
      <c r="CB652" s="114" t="str">
        <f t="shared" si="7"/>
        <v/>
      </c>
      <c r="CC652" s="114"/>
    </row>
    <row r="653" ht="22.5" customHeight="1">
      <c r="A653" s="59"/>
      <c r="B653" s="115"/>
      <c r="C653" s="54"/>
      <c r="D653" s="56"/>
      <c r="E653" s="69"/>
      <c r="F653" s="73"/>
      <c r="G653" s="79"/>
      <c r="H653" s="79"/>
      <c r="I653" s="67"/>
      <c r="J653" s="79"/>
      <c r="K653" s="67"/>
      <c r="L653" s="79"/>
      <c r="M653" s="83"/>
      <c r="N653" s="78"/>
      <c r="O653" s="80"/>
      <c r="P653" s="70"/>
      <c r="Q653" s="54"/>
      <c r="R653" s="67"/>
      <c r="S653" s="67"/>
      <c r="T653" s="54"/>
      <c r="U653" s="86"/>
      <c r="V653" s="54"/>
      <c r="W653" s="86"/>
      <c r="X653" s="54"/>
      <c r="Y653" s="78"/>
      <c r="Z653" s="54"/>
      <c r="AA653" s="70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54"/>
      <c r="AR653" s="83"/>
      <c r="AS653" s="83"/>
      <c r="AT653" s="93"/>
      <c r="AU653" s="93"/>
      <c r="AV653" s="93"/>
      <c r="AW653" s="83"/>
      <c r="AX653" s="83"/>
      <c r="AY653" s="83"/>
      <c r="AZ653" s="83"/>
      <c r="BA653" s="83"/>
      <c r="BB653" s="83"/>
      <c r="BC653" s="54"/>
      <c r="BD653" s="54" t="str">
        <f t="shared" si="1"/>
        <v/>
      </c>
      <c r="BE653" s="67"/>
      <c r="BF653" s="67"/>
      <c r="BG653" s="67"/>
      <c r="BH653" s="67"/>
      <c r="BI653" s="67"/>
      <c r="BJ653" s="67"/>
      <c r="BK653" s="67"/>
      <c r="BL653" s="67"/>
      <c r="BM653" s="67"/>
      <c r="BN653" s="100"/>
      <c r="BO653" s="102"/>
      <c r="BP653" s="67"/>
      <c r="BQ653" s="79"/>
      <c r="BR653" s="67"/>
      <c r="BS653" s="102"/>
      <c r="BT653" s="106"/>
      <c r="BU653" s="107"/>
      <c r="BV653" s="108" t="str">
        <f t="shared" si="17"/>
        <v/>
      </c>
      <c r="BW653" s="108" t="str">
        <f t="shared" si="16"/>
        <v/>
      </c>
      <c r="BX653" s="102" t="str">
        <f t="shared" si="15"/>
        <v/>
      </c>
      <c r="BY653" s="107" t="str">
        <f t="shared" si="5"/>
        <v/>
      </c>
      <c r="BZ653" s="107" t="str">
        <f t="array" ref="BZ653">IF($A653&lt;&gt;"",INDEX(LISTA!$M$2:$N$27,MATCH($BC653,LISTA!$N$2:$N$27,0),1),"")</f>
        <v/>
      </c>
      <c r="CA653" s="67" t="str">
        <f t="shared" si="6"/>
        <v/>
      </c>
      <c r="CB653" s="114" t="str">
        <f t="shared" si="7"/>
        <v/>
      </c>
      <c r="CC653" s="114"/>
    </row>
    <row r="654" ht="22.5" customHeight="1">
      <c r="A654" s="59"/>
      <c r="B654" s="115"/>
      <c r="C654" s="54"/>
      <c r="D654" s="56"/>
      <c r="E654" s="69"/>
      <c r="F654" s="73"/>
      <c r="G654" s="79"/>
      <c r="H654" s="79"/>
      <c r="I654" s="67"/>
      <c r="J654" s="79"/>
      <c r="K654" s="67"/>
      <c r="L654" s="79"/>
      <c r="M654" s="83"/>
      <c r="N654" s="78"/>
      <c r="O654" s="80"/>
      <c r="P654" s="70"/>
      <c r="Q654" s="54"/>
      <c r="R654" s="67"/>
      <c r="S654" s="67"/>
      <c r="T654" s="54"/>
      <c r="U654" s="86"/>
      <c r="V654" s="54"/>
      <c r="W654" s="86"/>
      <c r="X654" s="54"/>
      <c r="Y654" s="78"/>
      <c r="Z654" s="54"/>
      <c r="AA654" s="70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54"/>
      <c r="AR654" s="83"/>
      <c r="AS654" s="83"/>
      <c r="AT654" s="93"/>
      <c r="AU654" s="93"/>
      <c r="AV654" s="93"/>
      <c r="AW654" s="83"/>
      <c r="AX654" s="83"/>
      <c r="AY654" s="83"/>
      <c r="AZ654" s="83"/>
      <c r="BA654" s="83"/>
      <c r="BB654" s="83"/>
      <c r="BC654" s="54"/>
      <c r="BD654" s="54" t="str">
        <f t="shared" si="1"/>
        <v/>
      </c>
      <c r="BE654" s="67"/>
      <c r="BF654" s="67"/>
      <c r="BG654" s="67"/>
      <c r="BH654" s="67"/>
      <c r="BI654" s="67"/>
      <c r="BJ654" s="67"/>
      <c r="BK654" s="67"/>
      <c r="BL654" s="67"/>
      <c r="BM654" s="67"/>
      <c r="BN654" s="100"/>
      <c r="BO654" s="102"/>
      <c r="BP654" s="67"/>
      <c r="BQ654" s="79"/>
      <c r="BR654" s="67"/>
      <c r="BS654" s="102"/>
      <c r="BT654" s="106"/>
      <c r="BU654" s="107"/>
      <c r="BV654" s="108" t="str">
        <f t="shared" si="17"/>
        <v/>
      </c>
      <c r="BW654" s="108" t="str">
        <f t="shared" si="16"/>
        <v/>
      </c>
      <c r="BX654" s="102" t="str">
        <f t="shared" si="15"/>
        <v/>
      </c>
      <c r="BY654" s="107" t="str">
        <f t="shared" si="5"/>
        <v/>
      </c>
      <c r="BZ654" s="107" t="str">
        <f t="array" ref="BZ654">IF($A654&lt;&gt;"",INDEX(LISTA!$M$2:$N$27,MATCH($BC654,LISTA!$N$2:$N$27,0),1),"")</f>
        <v/>
      </c>
      <c r="CA654" s="67" t="str">
        <f t="shared" si="6"/>
        <v/>
      </c>
      <c r="CB654" s="114" t="str">
        <f t="shared" si="7"/>
        <v/>
      </c>
      <c r="CC654" s="114"/>
    </row>
    <row r="655" ht="22.5" customHeight="1">
      <c r="A655" s="59"/>
      <c r="B655" s="115"/>
      <c r="C655" s="54"/>
      <c r="D655" s="56"/>
      <c r="E655" s="69"/>
      <c r="F655" s="73"/>
      <c r="G655" s="79"/>
      <c r="H655" s="79"/>
      <c r="I655" s="67"/>
      <c r="J655" s="79"/>
      <c r="K655" s="67"/>
      <c r="L655" s="79"/>
      <c r="M655" s="83"/>
      <c r="N655" s="78"/>
      <c r="O655" s="80"/>
      <c r="P655" s="70"/>
      <c r="Q655" s="54"/>
      <c r="R655" s="67"/>
      <c r="S655" s="67"/>
      <c r="T655" s="54"/>
      <c r="U655" s="86"/>
      <c r="V655" s="54"/>
      <c r="W655" s="86"/>
      <c r="X655" s="54"/>
      <c r="Y655" s="78"/>
      <c r="Z655" s="54"/>
      <c r="AA655" s="70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54"/>
      <c r="AR655" s="83"/>
      <c r="AS655" s="83"/>
      <c r="AT655" s="93"/>
      <c r="AU655" s="93"/>
      <c r="AV655" s="93"/>
      <c r="AW655" s="83"/>
      <c r="AX655" s="83"/>
      <c r="AY655" s="83"/>
      <c r="AZ655" s="83"/>
      <c r="BA655" s="83"/>
      <c r="BB655" s="83"/>
      <c r="BC655" s="54"/>
      <c r="BD655" s="54" t="str">
        <f t="shared" si="1"/>
        <v/>
      </c>
      <c r="BE655" s="67"/>
      <c r="BF655" s="67"/>
      <c r="BG655" s="67"/>
      <c r="BH655" s="67"/>
      <c r="BI655" s="67"/>
      <c r="BJ655" s="67"/>
      <c r="BK655" s="67"/>
      <c r="BL655" s="67"/>
      <c r="BM655" s="67"/>
      <c r="BN655" s="100"/>
      <c r="BO655" s="102"/>
      <c r="BP655" s="67"/>
      <c r="BQ655" s="79"/>
      <c r="BR655" s="67"/>
      <c r="BS655" s="102"/>
      <c r="BT655" s="106"/>
      <c r="BU655" s="107"/>
      <c r="BV655" s="108" t="str">
        <f t="shared" si="17"/>
        <v/>
      </c>
      <c r="BW655" s="108" t="str">
        <f t="shared" si="16"/>
        <v/>
      </c>
      <c r="BX655" s="102" t="str">
        <f t="shared" si="15"/>
        <v/>
      </c>
      <c r="BY655" s="107" t="str">
        <f t="shared" si="5"/>
        <v/>
      </c>
      <c r="BZ655" s="107" t="str">
        <f t="array" ref="BZ655">IF($A655&lt;&gt;"",INDEX(LISTA!$M$2:$N$27,MATCH($BC655,LISTA!$N$2:$N$27,0),1),"")</f>
        <v/>
      </c>
      <c r="CA655" s="67" t="str">
        <f t="shared" si="6"/>
        <v/>
      </c>
      <c r="CB655" s="114" t="str">
        <f t="shared" si="7"/>
        <v/>
      </c>
      <c r="CC655" s="114"/>
    </row>
    <row r="656" ht="22.5" customHeight="1">
      <c r="A656" s="59"/>
      <c r="B656" s="115"/>
      <c r="C656" s="54"/>
      <c r="D656" s="56"/>
      <c r="E656" s="69"/>
      <c r="F656" s="73"/>
      <c r="G656" s="79"/>
      <c r="H656" s="79"/>
      <c r="I656" s="67"/>
      <c r="J656" s="79"/>
      <c r="K656" s="67"/>
      <c r="L656" s="79"/>
      <c r="M656" s="83"/>
      <c r="N656" s="78"/>
      <c r="O656" s="80"/>
      <c r="P656" s="70"/>
      <c r="Q656" s="54"/>
      <c r="R656" s="67"/>
      <c r="S656" s="67"/>
      <c r="T656" s="54"/>
      <c r="U656" s="86"/>
      <c r="V656" s="54"/>
      <c r="W656" s="86"/>
      <c r="X656" s="54"/>
      <c r="Y656" s="78"/>
      <c r="Z656" s="54"/>
      <c r="AA656" s="70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54"/>
      <c r="AR656" s="83"/>
      <c r="AS656" s="83"/>
      <c r="AT656" s="93"/>
      <c r="AU656" s="93"/>
      <c r="AV656" s="93"/>
      <c r="AW656" s="83"/>
      <c r="AX656" s="83"/>
      <c r="AY656" s="83"/>
      <c r="AZ656" s="83"/>
      <c r="BA656" s="83"/>
      <c r="BB656" s="83"/>
      <c r="BC656" s="54"/>
      <c r="BD656" s="54" t="str">
        <f t="shared" si="1"/>
        <v/>
      </c>
      <c r="BE656" s="67"/>
      <c r="BF656" s="67"/>
      <c r="BG656" s="67"/>
      <c r="BH656" s="67"/>
      <c r="BI656" s="67"/>
      <c r="BJ656" s="67"/>
      <c r="BK656" s="67"/>
      <c r="BL656" s="67"/>
      <c r="BM656" s="67"/>
      <c r="BN656" s="100"/>
      <c r="BO656" s="102"/>
      <c r="BP656" s="67"/>
      <c r="BQ656" s="79"/>
      <c r="BR656" s="67"/>
      <c r="BS656" s="102"/>
      <c r="BT656" s="106"/>
      <c r="BU656" s="107"/>
      <c r="BV656" s="108" t="str">
        <f t="shared" si="17"/>
        <v/>
      </c>
      <c r="BW656" s="108" t="str">
        <f t="shared" si="16"/>
        <v/>
      </c>
      <c r="BX656" s="102" t="str">
        <f t="shared" si="15"/>
        <v/>
      </c>
      <c r="BY656" s="107" t="str">
        <f t="shared" si="5"/>
        <v/>
      </c>
      <c r="BZ656" s="107" t="str">
        <f t="array" ref="BZ656">IF($A656&lt;&gt;"",INDEX(LISTA!$M$2:$N$27,MATCH($BC656,LISTA!$N$2:$N$27,0),1),"")</f>
        <v/>
      </c>
      <c r="CA656" s="67" t="str">
        <f t="shared" si="6"/>
        <v/>
      </c>
      <c r="CB656" s="114" t="str">
        <f t="shared" si="7"/>
        <v/>
      </c>
      <c r="CC656" s="114"/>
    </row>
    <row r="657" ht="22.5" customHeight="1">
      <c r="A657" s="59"/>
      <c r="B657" s="115"/>
      <c r="C657" s="54"/>
      <c r="D657" s="56"/>
      <c r="E657" s="69"/>
      <c r="F657" s="73"/>
      <c r="G657" s="79"/>
      <c r="H657" s="79"/>
      <c r="I657" s="67"/>
      <c r="J657" s="79"/>
      <c r="K657" s="67"/>
      <c r="L657" s="79"/>
      <c r="M657" s="83"/>
      <c r="N657" s="78"/>
      <c r="O657" s="80"/>
      <c r="P657" s="70"/>
      <c r="Q657" s="54"/>
      <c r="R657" s="67"/>
      <c r="S657" s="67"/>
      <c r="T657" s="54"/>
      <c r="U657" s="86"/>
      <c r="V657" s="54"/>
      <c r="W657" s="86"/>
      <c r="X657" s="54"/>
      <c r="Y657" s="78"/>
      <c r="Z657" s="54"/>
      <c r="AA657" s="70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54"/>
      <c r="AR657" s="83"/>
      <c r="AS657" s="83"/>
      <c r="AT657" s="93"/>
      <c r="AU657" s="93"/>
      <c r="AV657" s="93"/>
      <c r="AW657" s="83"/>
      <c r="AX657" s="83"/>
      <c r="AY657" s="83"/>
      <c r="AZ657" s="83"/>
      <c r="BA657" s="83"/>
      <c r="BB657" s="83"/>
      <c r="BC657" s="54"/>
      <c r="BD657" s="54" t="str">
        <f t="shared" si="1"/>
        <v/>
      </c>
      <c r="BE657" s="67"/>
      <c r="BF657" s="67"/>
      <c r="BG657" s="67"/>
      <c r="BH657" s="67"/>
      <c r="BI657" s="67"/>
      <c r="BJ657" s="67"/>
      <c r="BK657" s="67"/>
      <c r="BL657" s="67"/>
      <c r="BM657" s="67"/>
      <c r="BN657" s="100"/>
      <c r="BO657" s="102"/>
      <c r="BP657" s="67"/>
      <c r="BQ657" s="79"/>
      <c r="BR657" s="67"/>
      <c r="BS657" s="102"/>
      <c r="BT657" s="106"/>
      <c r="BU657" s="107"/>
      <c r="BV657" s="108" t="str">
        <f t="shared" si="17"/>
        <v/>
      </c>
      <c r="BW657" s="108" t="str">
        <f t="shared" si="16"/>
        <v/>
      </c>
      <c r="BX657" s="102" t="str">
        <f t="shared" si="15"/>
        <v/>
      </c>
      <c r="BY657" s="107" t="str">
        <f t="shared" si="5"/>
        <v/>
      </c>
      <c r="BZ657" s="107" t="str">
        <f t="array" ref="BZ657">IF($A657&lt;&gt;"",INDEX(LISTA!$M$2:$N$27,MATCH($BC657,LISTA!$N$2:$N$27,0),1),"")</f>
        <v/>
      </c>
      <c r="CA657" s="67" t="str">
        <f t="shared" si="6"/>
        <v/>
      </c>
      <c r="CB657" s="114" t="str">
        <f t="shared" si="7"/>
        <v/>
      </c>
      <c r="CC657" s="114"/>
    </row>
    <row r="658" ht="22.5" customHeight="1">
      <c r="A658" s="59"/>
      <c r="B658" s="115"/>
      <c r="C658" s="54"/>
      <c r="D658" s="56"/>
      <c r="E658" s="69"/>
      <c r="F658" s="73"/>
      <c r="G658" s="79"/>
      <c r="H658" s="79"/>
      <c r="I658" s="67"/>
      <c r="J658" s="79"/>
      <c r="K658" s="67"/>
      <c r="L658" s="79"/>
      <c r="M658" s="83"/>
      <c r="N658" s="78"/>
      <c r="O658" s="80"/>
      <c r="P658" s="70"/>
      <c r="Q658" s="54"/>
      <c r="R658" s="67"/>
      <c r="S658" s="67"/>
      <c r="T658" s="54"/>
      <c r="U658" s="86"/>
      <c r="V658" s="54"/>
      <c r="W658" s="86"/>
      <c r="X658" s="54"/>
      <c r="Y658" s="78"/>
      <c r="Z658" s="54"/>
      <c r="AA658" s="70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54"/>
      <c r="AR658" s="83"/>
      <c r="AS658" s="83"/>
      <c r="AT658" s="93"/>
      <c r="AU658" s="93"/>
      <c r="AV658" s="93"/>
      <c r="AW658" s="83"/>
      <c r="AX658" s="83"/>
      <c r="AY658" s="83"/>
      <c r="AZ658" s="83"/>
      <c r="BA658" s="83"/>
      <c r="BB658" s="83"/>
      <c r="BC658" s="54"/>
      <c r="BD658" s="54" t="str">
        <f t="shared" si="1"/>
        <v/>
      </c>
      <c r="BE658" s="67"/>
      <c r="BF658" s="67"/>
      <c r="BG658" s="67"/>
      <c r="BH658" s="67"/>
      <c r="BI658" s="67"/>
      <c r="BJ658" s="67"/>
      <c r="BK658" s="67"/>
      <c r="BL658" s="67"/>
      <c r="BM658" s="67"/>
      <c r="BN658" s="100"/>
      <c r="BO658" s="102"/>
      <c r="BP658" s="67"/>
      <c r="BQ658" s="79"/>
      <c r="BR658" s="67"/>
      <c r="BS658" s="102"/>
      <c r="BT658" s="106"/>
      <c r="BU658" s="107"/>
      <c r="BV658" s="108" t="str">
        <f t="shared" si="17"/>
        <v/>
      </c>
      <c r="BW658" s="108" t="str">
        <f t="shared" si="16"/>
        <v/>
      </c>
      <c r="BX658" s="102" t="str">
        <f t="shared" si="15"/>
        <v/>
      </c>
      <c r="BY658" s="107" t="str">
        <f t="shared" si="5"/>
        <v/>
      </c>
      <c r="BZ658" s="107" t="str">
        <f t="array" ref="BZ658">IF($A658&lt;&gt;"",INDEX(LISTA!$M$2:$N$27,MATCH($BC658,LISTA!$N$2:$N$27,0),1),"")</f>
        <v/>
      </c>
      <c r="CA658" s="67" t="str">
        <f t="shared" si="6"/>
        <v/>
      </c>
      <c r="CB658" s="114" t="str">
        <f t="shared" si="7"/>
        <v/>
      </c>
      <c r="CC658" s="114"/>
    </row>
    <row r="659" ht="22.5" customHeight="1">
      <c r="A659" s="59"/>
      <c r="B659" s="115"/>
      <c r="C659" s="54"/>
      <c r="D659" s="56"/>
      <c r="E659" s="69"/>
      <c r="F659" s="73"/>
      <c r="G659" s="79"/>
      <c r="H659" s="79"/>
      <c r="I659" s="67"/>
      <c r="J659" s="79"/>
      <c r="K659" s="67"/>
      <c r="L659" s="79"/>
      <c r="M659" s="83"/>
      <c r="N659" s="78"/>
      <c r="O659" s="80"/>
      <c r="P659" s="70"/>
      <c r="Q659" s="54"/>
      <c r="R659" s="67"/>
      <c r="S659" s="67"/>
      <c r="T659" s="54"/>
      <c r="U659" s="86"/>
      <c r="V659" s="54"/>
      <c r="W659" s="86"/>
      <c r="X659" s="54"/>
      <c r="Y659" s="78"/>
      <c r="Z659" s="54"/>
      <c r="AA659" s="70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54"/>
      <c r="AR659" s="83"/>
      <c r="AS659" s="83"/>
      <c r="AT659" s="93"/>
      <c r="AU659" s="93"/>
      <c r="AV659" s="93"/>
      <c r="AW659" s="83"/>
      <c r="AX659" s="83"/>
      <c r="AY659" s="83"/>
      <c r="AZ659" s="83"/>
      <c r="BA659" s="83"/>
      <c r="BB659" s="83"/>
      <c r="BC659" s="54"/>
      <c r="BD659" s="54" t="str">
        <f t="shared" si="1"/>
        <v/>
      </c>
      <c r="BE659" s="67"/>
      <c r="BF659" s="67"/>
      <c r="BG659" s="67"/>
      <c r="BH659" s="67"/>
      <c r="BI659" s="67"/>
      <c r="BJ659" s="67"/>
      <c r="BK659" s="67"/>
      <c r="BL659" s="67"/>
      <c r="BM659" s="67"/>
      <c r="BN659" s="100"/>
      <c r="BO659" s="102"/>
      <c r="BP659" s="67"/>
      <c r="BQ659" s="79"/>
      <c r="BR659" s="67"/>
      <c r="BS659" s="102"/>
      <c r="BT659" s="106"/>
      <c r="BU659" s="107"/>
      <c r="BV659" s="108" t="str">
        <f t="shared" si="17"/>
        <v/>
      </c>
      <c r="BW659" s="108" t="str">
        <f t="shared" si="16"/>
        <v/>
      </c>
      <c r="BX659" s="102" t="str">
        <f t="shared" si="15"/>
        <v/>
      </c>
      <c r="BY659" s="107" t="str">
        <f t="shared" si="5"/>
        <v/>
      </c>
      <c r="BZ659" s="107" t="str">
        <f t="array" ref="BZ659">IF($A659&lt;&gt;"",INDEX(LISTA!$M$2:$N$27,MATCH($BC659,LISTA!$N$2:$N$27,0),1),"")</f>
        <v/>
      </c>
      <c r="CA659" s="67" t="str">
        <f t="shared" si="6"/>
        <v/>
      </c>
      <c r="CB659" s="114" t="str">
        <f t="shared" si="7"/>
        <v/>
      </c>
      <c r="CC659" s="114"/>
    </row>
    <row r="660" ht="22.5" customHeight="1">
      <c r="A660" s="59"/>
      <c r="B660" s="115"/>
      <c r="C660" s="54"/>
      <c r="D660" s="56"/>
      <c r="E660" s="69"/>
      <c r="F660" s="73"/>
      <c r="G660" s="79"/>
      <c r="H660" s="79"/>
      <c r="I660" s="67"/>
      <c r="J660" s="79"/>
      <c r="K660" s="67"/>
      <c r="L660" s="79"/>
      <c r="M660" s="83"/>
      <c r="N660" s="78"/>
      <c r="O660" s="80"/>
      <c r="P660" s="70"/>
      <c r="Q660" s="54"/>
      <c r="R660" s="67"/>
      <c r="S660" s="67"/>
      <c r="T660" s="54"/>
      <c r="U660" s="86"/>
      <c r="V660" s="54"/>
      <c r="W660" s="86"/>
      <c r="X660" s="54"/>
      <c r="Y660" s="78"/>
      <c r="Z660" s="54"/>
      <c r="AA660" s="70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54"/>
      <c r="AR660" s="83"/>
      <c r="AS660" s="83"/>
      <c r="AT660" s="93"/>
      <c r="AU660" s="93"/>
      <c r="AV660" s="93"/>
      <c r="AW660" s="83"/>
      <c r="AX660" s="83"/>
      <c r="AY660" s="83"/>
      <c r="AZ660" s="83"/>
      <c r="BA660" s="83"/>
      <c r="BB660" s="83"/>
      <c r="BC660" s="54"/>
      <c r="BD660" s="54" t="str">
        <f t="shared" si="1"/>
        <v/>
      </c>
      <c r="BE660" s="67"/>
      <c r="BF660" s="67"/>
      <c r="BG660" s="67"/>
      <c r="BH660" s="67"/>
      <c r="BI660" s="67"/>
      <c r="BJ660" s="67"/>
      <c r="BK660" s="67"/>
      <c r="BL660" s="67"/>
      <c r="BM660" s="67"/>
      <c r="BN660" s="100"/>
      <c r="BO660" s="102"/>
      <c r="BP660" s="67"/>
      <c r="BQ660" s="79"/>
      <c r="BR660" s="67"/>
      <c r="BS660" s="102"/>
      <c r="BT660" s="106"/>
      <c r="BU660" s="107"/>
      <c r="BV660" s="108" t="str">
        <f t="shared" si="17"/>
        <v/>
      </c>
      <c r="BW660" s="108" t="str">
        <f t="shared" si="16"/>
        <v/>
      </c>
      <c r="BX660" s="102" t="str">
        <f t="shared" si="15"/>
        <v/>
      </c>
      <c r="BY660" s="107" t="str">
        <f t="shared" si="5"/>
        <v/>
      </c>
      <c r="BZ660" s="107" t="str">
        <f t="array" ref="BZ660">IF($A660&lt;&gt;"",INDEX(LISTA!$M$2:$N$27,MATCH($BC660,LISTA!$N$2:$N$27,0),1),"")</f>
        <v/>
      </c>
      <c r="CA660" s="67" t="str">
        <f t="shared" si="6"/>
        <v/>
      </c>
      <c r="CB660" s="114" t="str">
        <f t="shared" si="7"/>
        <v/>
      </c>
      <c r="CC660" s="114"/>
    </row>
    <row r="661" ht="22.5" customHeight="1">
      <c r="A661" s="59"/>
      <c r="B661" s="115"/>
      <c r="C661" s="54"/>
      <c r="D661" s="56"/>
      <c r="E661" s="69"/>
      <c r="F661" s="73"/>
      <c r="G661" s="79"/>
      <c r="H661" s="79"/>
      <c r="I661" s="67"/>
      <c r="J661" s="79"/>
      <c r="K661" s="67"/>
      <c r="L661" s="79"/>
      <c r="M661" s="83"/>
      <c r="N661" s="78"/>
      <c r="O661" s="80"/>
      <c r="P661" s="70"/>
      <c r="Q661" s="54"/>
      <c r="R661" s="67"/>
      <c r="S661" s="67"/>
      <c r="T661" s="54"/>
      <c r="U661" s="86"/>
      <c r="V661" s="54"/>
      <c r="W661" s="86"/>
      <c r="X661" s="54"/>
      <c r="Y661" s="78"/>
      <c r="Z661" s="54"/>
      <c r="AA661" s="70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54"/>
      <c r="AR661" s="83"/>
      <c r="AS661" s="83"/>
      <c r="AT661" s="93"/>
      <c r="AU661" s="93"/>
      <c r="AV661" s="93"/>
      <c r="AW661" s="83"/>
      <c r="AX661" s="83"/>
      <c r="AY661" s="83"/>
      <c r="AZ661" s="83"/>
      <c r="BA661" s="83"/>
      <c r="BB661" s="83"/>
      <c r="BC661" s="54"/>
      <c r="BD661" s="54" t="str">
        <f t="shared" si="1"/>
        <v/>
      </c>
      <c r="BE661" s="67"/>
      <c r="BF661" s="67"/>
      <c r="BG661" s="67"/>
      <c r="BH661" s="67"/>
      <c r="BI661" s="67"/>
      <c r="BJ661" s="67"/>
      <c r="BK661" s="67"/>
      <c r="BL661" s="67"/>
      <c r="BM661" s="67"/>
      <c r="BN661" s="100"/>
      <c r="BO661" s="102"/>
      <c r="BP661" s="67"/>
      <c r="BQ661" s="79"/>
      <c r="BR661" s="67"/>
      <c r="BS661" s="102"/>
      <c r="BT661" s="106"/>
      <c r="BU661" s="107"/>
      <c r="BV661" s="108" t="str">
        <f t="shared" si="17"/>
        <v/>
      </c>
      <c r="BW661" s="108" t="str">
        <f t="shared" si="16"/>
        <v/>
      </c>
      <c r="BX661" s="102" t="str">
        <f t="shared" si="15"/>
        <v/>
      </c>
      <c r="BY661" s="107" t="str">
        <f t="shared" si="5"/>
        <v/>
      </c>
      <c r="BZ661" s="107" t="str">
        <f t="array" ref="BZ661">IF($A661&lt;&gt;"",INDEX(LISTA!$M$2:$N$27,MATCH($BC661,LISTA!$N$2:$N$27,0),1),"")</f>
        <v/>
      </c>
      <c r="CA661" s="67" t="str">
        <f t="shared" si="6"/>
        <v/>
      </c>
      <c r="CB661" s="114" t="str">
        <f t="shared" si="7"/>
        <v/>
      </c>
      <c r="CC661" s="114"/>
    </row>
    <row r="662" ht="22.5" customHeight="1">
      <c r="A662" s="59"/>
      <c r="B662" s="115"/>
      <c r="C662" s="54"/>
      <c r="D662" s="56"/>
      <c r="E662" s="69"/>
      <c r="F662" s="73"/>
      <c r="G662" s="79"/>
      <c r="H662" s="79"/>
      <c r="I662" s="67"/>
      <c r="J662" s="79"/>
      <c r="K662" s="67"/>
      <c r="L662" s="79"/>
      <c r="M662" s="83"/>
      <c r="N662" s="78"/>
      <c r="O662" s="80"/>
      <c r="P662" s="70"/>
      <c r="Q662" s="54"/>
      <c r="R662" s="67"/>
      <c r="S662" s="67"/>
      <c r="T662" s="54"/>
      <c r="U662" s="86"/>
      <c r="V662" s="54"/>
      <c r="W662" s="86"/>
      <c r="X662" s="54"/>
      <c r="Y662" s="78"/>
      <c r="Z662" s="54"/>
      <c r="AA662" s="70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54"/>
      <c r="AR662" s="83"/>
      <c r="AS662" s="83"/>
      <c r="AT662" s="93"/>
      <c r="AU662" s="93"/>
      <c r="AV662" s="93"/>
      <c r="AW662" s="83"/>
      <c r="AX662" s="83"/>
      <c r="AY662" s="83"/>
      <c r="AZ662" s="83"/>
      <c r="BA662" s="83"/>
      <c r="BB662" s="83"/>
      <c r="BC662" s="54"/>
      <c r="BD662" s="54" t="str">
        <f t="shared" si="1"/>
        <v/>
      </c>
      <c r="BE662" s="67"/>
      <c r="BF662" s="67"/>
      <c r="BG662" s="67"/>
      <c r="BH662" s="67"/>
      <c r="BI662" s="67"/>
      <c r="BJ662" s="67"/>
      <c r="BK662" s="67"/>
      <c r="BL662" s="67"/>
      <c r="BM662" s="67"/>
      <c r="BN662" s="100"/>
      <c r="BO662" s="102"/>
      <c r="BP662" s="67"/>
      <c r="BQ662" s="79"/>
      <c r="BR662" s="67"/>
      <c r="BS662" s="102"/>
      <c r="BT662" s="106"/>
      <c r="BU662" s="107"/>
      <c r="BV662" s="108" t="str">
        <f t="shared" si="17"/>
        <v/>
      </c>
      <c r="BW662" s="108" t="str">
        <f t="shared" si="16"/>
        <v/>
      </c>
      <c r="BX662" s="102" t="str">
        <f t="shared" si="15"/>
        <v/>
      </c>
      <c r="BY662" s="107" t="str">
        <f t="shared" si="5"/>
        <v/>
      </c>
      <c r="BZ662" s="107" t="str">
        <f t="array" ref="BZ662">IF($A662&lt;&gt;"",INDEX(LISTA!$M$2:$N$27,MATCH($BC662,LISTA!$N$2:$N$27,0),1),"")</f>
        <v/>
      </c>
      <c r="CA662" s="67" t="str">
        <f t="shared" si="6"/>
        <v/>
      </c>
      <c r="CB662" s="114" t="str">
        <f t="shared" si="7"/>
        <v/>
      </c>
      <c r="CC662" s="114"/>
    </row>
    <row r="663" ht="22.5" customHeight="1">
      <c r="A663" s="59"/>
      <c r="B663" s="115"/>
      <c r="C663" s="54"/>
      <c r="D663" s="56"/>
      <c r="E663" s="69"/>
      <c r="F663" s="73"/>
      <c r="G663" s="79"/>
      <c r="H663" s="79"/>
      <c r="I663" s="67"/>
      <c r="J663" s="79"/>
      <c r="K663" s="67"/>
      <c r="L663" s="79"/>
      <c r="M663" s="83"/>
      <c r="N663" s="78"/>
      <c r="O663" s="80"/>
      <c r="P663" s="70"/>
      <c r="Q663" s="54"/>
      <c r="R663" s="67"/>
      <c r="S663" s="67"/>
      <c r="T663" s="54"/>
      <c r="U663" s="86"/>
      <c r="V663" s="54"/>
      <c r="W663" s="86"/>
      <c r="X663" s="54"/>
      <c r="Y663" s="78"/>
      <c r="Z663" s="54"/>
      <c r="AA663" s="70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54"/>
      <c r="AR663" s="83"/>
      <c r="AS663" s="83"/>
      <c r="AT663" s="93"/>
      <c r="AU663" s="93"/>
      <c r="AV663" s="93"/>
      <c r="AW663" s="83"/>
      <c r="AX663" s="83"/>
      <c r="AY663" s="83"/>
      <c r="AZ663" s="83"/>
      <c r="BA663" s="83"/>
      <c r="BB663" s="83"/>
      <c r="BC663" s="54"/>
      <c r="BD663" s="54" t="str">
        <f t="shared" si="1"/>
        <v/>
      </c>
      <c r="BE663" s="67"/>
      <c r="BF663" s="67"/>
      <c r="BG663" s="67"/>
      <c r="BH663" s="67"/>
      <c r="BI663" s="67"/>
      <c r="BJ663" s="67"/>
      <c r="BK663" s="67"/>
      <c r="BL663" s="67"/>
      <c r="BM663" s="67"/>
      <c r="BN663" s="100"/>
      <c r="BO663" s="102"/>
      <c r="BP663" s="67"/>
      <c r="BQ663" s="79"/>
      <c r="BR663" s="67"/>
      <c r="BS663" s="102"/>
      <c r="BT663" s="106"/>
      <c r="BU663" s="107"/>
      <c r="BV663" s="108" t="str">
        <f t="shared" si="17"/>
        <v/>
      </c>
      <c r="BW663" s="108" t="str">
        <f t="shared" si="16"/>
        <v/>
      </c>
      <c r="BX663" s="102" t="str">
        <f t="shared" si="15"/>
        <v/>
      </c>
      <c r="BY663" s="107" t="str">
        <f t="shared" si="5"/>
        <v/>
      </c>
      <c r="BZ663" s="107" t="str">
        <f t="array" ref="BZ663">IF($A663&lt;&gt;"",INDEX(LISTA!$M$2:$N$27,MATCH($BC663,LISTA!$N$2:$N$27,0),1),"")</f>
        <v/>
      </c>
      <c r="CA663" s="67" t="str">
        <f t="shared" si="6"/>
        <v/>
      </c>
      <c r="CB663" s="114" t="str">
        <f t="shared" si="7"/>
        <v/>
      </c>
      <c r="CC663" s="114"/>
    </row>
    <row r="664" ht="22.5" customHeight="1">
      <c r="A664" s="59"/>
      <c r="B664" s="115"/>
      <c r="C664" s="54"/>
      <c r="D664" s="56"/>
      <c r="E664" s="69"/>
      <c r="F664" s="73"/>
      <c r="G664" s="79"/>
      <c r="H664" s="79"/>
      <c r="I664" s="67"/>
      <c r="J664" s="79"/>
      <c r="K664" s="67"/>
      <c r="L664" s="79"/>
      <c r="M664" s="83"/>
      <c r="N664" s="78"/>
      <c r="O664" s="80"/>
      <c r="P664" s="70"/>
      <c r="Q664" s="54"/>
      <c r="R664" s="67"/>
      <c r="S664" s="67"/>
      <c r="T664" s="54"/>
      <c r="U664" s="86"/>
      <c r="V664" s="54"/>
      <c r="W664" s="86"/>
      <c r="X664" s="54"/>
      <c r="Y664" s="78"/>
      <c r="Z664" s="54"/>
      <c r="AA664" s="70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54"/>
      <c r="AR664" s="83"/>
      <c r="AS664" s="83"/>
      <c r="AT664" s="93"/>
      <c r="AU664" s="93"/>
      <c r="AV664" s="93"/>
      <c r="AW664" s="83"/>
      <c r="AX664" s="83"/>
      <c r="AY664" s="83"/>
      <c r="AZ664" s="83"/>
      <c r="BA664" s="83"/>
      <c r="BB664" s="83"/>
      <c r="BC664" s="54"/>
      <c r="BD664" s="54" t="str">
        <f t="shared" si="1"/>
        <v/>
      </c>
      <c r="BE664" s="67"/>
      <c r="BF664" s="67"/>
      <c r="BG664" s="67"/>
      <c r="BH664" s="67"/>
      <c r="BI664" s="67"/>
      <c r="BJ664" s="67"/>
      <c r="BK664" s="67"/>
      <c r="BL664" s="67"/>
      <c r="BM664" s="67"/>
      <c r="BN664" s="100"/>
      <c r="BO664" s="102"/>
      <c r="BP664" s="67"/>
      <c r="BQ664" s="79"/>
      <c r="BR664" s="67"/>
      <c r="BS664" s="102"/>
      <c r="BT664" s="106"/>
      <c r="BU664" s="107"/>
      <c r="BV664" s="108" t="str">
        <f t="shared" si="17"/>
        <v/>
      </c>
      <c r="BW664" s="108" t="str">
        <f t="shared" si="16"/>
        <v/>
      </c>
      <c r="BX664" s="102" t="str">
        <f t="shared" si="15"/>
        <v/>
      </c>
      <c r="BY664" s="107" t="str">
        <f t="shared" si="5"/>
        <v/>
      </c>
      <c r="BZ664" s="107" t="str">
        <f t="array" ref="BZ664">IF($A664&lt;&gt;"",INDEX(LISTA!$M$2:$N$27,MATCH($BC664,LISTA!$N$2:$N$27,0),1),"")</f>
        <v/>
      </c>
      <c r="CA664" s="67" t="str">
        <f t="shared" si="6"/>
        <v/>
      </c>
      <c r="CB664" s="114" t="str">
        <f t="shared" si="7"/>
        <v/>
      </c>
      <c r="CC664" s="114"/>
    </row>
    <row r="665" ht="22.5" customHeight="1">
      <c r="A665" s="59"/>
      <c r="B665" s="115"/>
      <c r="C665" s="54"/>
      <c r="D665" s="56"/>
      <c r="E665" s="69"/>
      <c r="F665" s="73"/>
      <c r="G665" s="79"/>
      <c r="H665" s="79"/>
      <c r="I665" s="67"/>
      <c r="J665" s="79"/>
      <c r="K665" s="67"/>
      <c r="L665" s="79"/>
      <c r="M665" s="83"/>
      <c r="N665" s="78"/>
      <c r="O665" s="80"/>
      <c r="P665" s="70"/>
      <c r="Q665" s="54"/>
      <c r="R665" s="67"/>
      <c r="S665" s="67"/>
      <c r="T665" s="54"/>
      <c r="U665" s="86"/>
      <c r="V665" s="54"/>
      <c r="W665" s="86"/>
      <c r="X665" s="54"/>
      <c r="Y665" s="78"/>
      <c r="Z665" s="54"/>
      <c r="AA665" s="70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54"/>
      <c r="AR665" s="83"/>
      <c r="AS665" s="83"/>
      <c r="AT665" s="93"/>
      <c r="AU665" s="93"/>
      <c r="AV665" s="93"/>
      <c r="AW665" s="83"/>
      <c r="AX665" s="83"/>
      <c r="AY665" s="83"/>
      <c r="AZ665" s="83"/>
      <c r="BA665" s="83"/>
      <c r="BB665" s="83"/>
      <c r="BC665" s="54"/>
      <c r="BD665" s="54" t="str">
        <f t="shared" si="1"/>
        <v/>
      </c>
      <c r="BE665" s="67"/>
      <c r="BF665" s="67"/>
      <c r="BG665" s="67"/>
      <c r="BH665" s="67"/>
      <c r="BI665" s="67"/>
      <c r="BJ665" s="67"/>
      <c r="BK665" s="67"/>
      <c r="BL665" s="67"/>
      <c r="BM665" s="67"/>
      <c r="BN665" s="100"/>
      <c r="BO665" s="102"/>
      <c r="BP665" s="67"/>
      <c r="BQ665" s="79"/>
      <c r="BR665" s="67"/>
      <c r="BS665" s="102"/>
      <c r="BT665" s="106"/>
      <c r="BU665" s="107"/>
      <c r="BV665" s="108" t="str">
        <f t="shared" si="17"/>
        <v/>
      </c>
      <c r="BW665" s="108" t="str">
        <f t="shared" si="16"/>
        <v/>
      </c>
      <c r="BX665" s="102" t="str">
        <f t="shared" si="15"/>
        <v/>
      </c>
      <c r="BY665" s="107" t="str">
        <f t="shared" si="5"/>
        <v/>
      </c>
      <c r="BZ665" s="107" t="str">
        <f t="array" ref="BZ665">IF($A665&lt;&gt;"",INDEX(LISTA!$M$2:$N$27,MATCH($BC665,LISTA!$N$2:$N$27,0),1),"")</f>
        <v/>
      </c>
      <c r="CA665" s="67" t="str">
        <f t="shared" si="6"/>
        <v/>
      </c>
      <c r="CB665" s="114" t="str">
        <f t="shared" si="7"/>
        <v/>
      </c>
      <c r="CC665" s="114"/>
    </row>
    <row r="666" ht="22.5" customHeight="1">
      <c r="A666" s="59"/>
      <c r="B666" s="115"/>
      <c r="C666" s="54"/>
      <c r="D666" s="56"/>
      <c r="E666" s="69"/>
      <c r="F666" s="73"/>
      <c r="G666" s="79"/>
      <c r="H666" s="79"/>
      <c r="I666" s="67"/>
      <c r="J666" s="79"/>
      <c r="K666" s="67"/>
      <c r="L666" s="79"/>
      <c r="M666" s="83"/>
      <c r="N666" s="78"/>
      <c r="O666" s="80"/>
      <c r="P666" s="70"/>
      <c r="Q666" s="54"/>
      <c r="R666" s="67"/>
      <c r="S666" s="67"/>
      <c r="T666" s="54"/>
      <c r="U666" s="86"/>
      <c r="V666" s="54"/>
      <c r="W666" s="86"/>
      <c r="X666" s="54"/>
      <c r="Y666" s="78"/>
      <c r="Z666" s="54"/>
      <c r="AA666" s="70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54"/>
      <c r="AR666" s="83"/>
      <c r="AS666" s="83"/>
      <c r="AT666" s="93"/>
      <c r="AU666" s="93"/>
      <c r="AV666" s="93"/>
      <c r="AW666" s="83"/>
      <c r="AX666" s="83"/>
      <c r="AY666" s="83"/>
      <c r="AZ666" s="83"/>
      <c r="BA666" s="83"/>
      <c r="BB666" s="83"/>
      <c r="BC666" s="54"/>
      <c r="BD666" s="54" t="str">
        <f t="shared" si="1"/>
        <v/>
      </c>
      <c r="BE666" s="67"/>
      <c r="BF666" s="67"/>
      <c r="BG666" s="67"/>
      <c r="BH666" s="67"/>
      <c r="BI666" s="67"/>
      <c r="BJ666" s="67"/>
      <c r="BK666" s="67"/>
      <c r="BL666" s="67"/>
      <c r="BM666" s="67"/>
      <c r="BN666" s="100"/>
      <c r="BO666" s="102"/>
      <c r="BP666" s="67"/>
      <c r="BQ666" s="79"/>
      <c r="BR666" s="67"/>
      <c r="BS666" s="102"/>
      <c r="BT666" s="106"/>
      <c r="BU666" s="107"/>
      <c r="BV666" s="108" t="str">
        <f t="shared" si="17"/>
        <v/>
      </c>
      <c r="BW666" s="108" t="str">
        <f t="shared" si="16"/>
        <v/>
      </c>
      <c r="BX666" s="102" t="str">
        <f t="shared" si="15"/>
        <v/>
      </c>
      <c r="BY666" s="107" t="str">
        <f t="shared" si="5"/>
        <v/>
      </c>
      <c r="BZ666" s="107" t="str">
        <f t="array" ref="BZ666">IF($A666&lt;&gt;"",INDEX(LISTA!$M$2:$N$27,MATCH($BC666,LISTA!$N$2:$N$27,0),1),"")</f>
        <v/>
      </c>
      <c r="CA666" s="67" t="str">
        <f t="shared" si="6"/>
        <v/>
      </c>
      <c r="CB666" s="114" t="str">
        <f t="shared" si="7"/>
        <v/>
      </c>
      <c r="CC666" s="114"/>
    </row>
    <row r="667" ht="22.5" customHeight="1">
      <c r="A667" s="59"/>
      <c r="B667" s="115"/>
      <c r="C667" s="54"/>
      <c r="D667" s="56"/>
      <c r="E667" s="69"/>
      <c r="F667" s="73"/>
      <c r="G667" s="79"/>
      <c r="H667" s="79"/>
      <c r="I667" s="67"/>
      <c r="J667" s="79"/>
      <c r="K667" s="67"/>
      <c r="L667" s="79"/>
      <c r="M667" s="83"/>
      <c r="N667" s="78"/>
      <c r="O667" s="80"/>
      <c r="P667" s="70"/>
      <c r="Q667" s="54"/>
      <c r="R667" s="67"/>
      <c r="S667" s="67"/>
      <c r="T667" s="54"/>
      <c r="U667" s="86"/>
      <c r="V667" s="54"/>
      <c r="W667" s="86"/>
      <c r="X667" s="54"/>
      <c r="Y667" s="78"/>
      <c r="Z667" s="54"/>
      <c r="AA667" s="70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54"/>
      <c r="AR667" s="83"/>
      <c r="AS667" s="83"/>
      <c r="AT667" s="93"/>
      <c r="AU667" s="93"/>
      <c r="AV667" s="93"/>
      <c r="AW667" s="83"/>
      <c r="AX667" s="83"/>
      <c r="AY667" s="83"/>
      <c r="AZ667" s="83"/>
      <c r="BA667" s="83"/>
      <c r="BB667" s="83"/>
      <c r="BC667" s="54"/>
      <c r="BD667" s="54" t="str">
        <f t="shared" si="1"/>
        <v/>
      </c>
      <c r="BE667" s="67"/>
      <c r="BF667" s="67"/>
      <c r="BG667" s="67"/>
      <c r="BH667" s="67"/>
      <c r="BI667" s="67"/>
      <c r="BJ667" s="67"/>
      <c r="BK667" s="67"/>
      <c r="BL667" s="67"/>
      <c r="BM667" s="67"/>
      <c r="BN667" s="100"/>
      <c r="BO667" s="102"/>
      <c r="BP667" s="67"/>
      <c r="BQ667" s="79"/>
      <c r="BR667" s="67"/>
      <c r="BS667" s="102"/>
      <c r="BT667" s="106"/>
      <c r="BU667" s="107"/>
      <c r="BV667" s="108" t="str">
        <f t="shared" si="17"/>
        <v/>
      </c>
      <c r="BW667" s="108" t="str">
        <f t="shared" si="16"/>
        <v/>
      </c>
      <c r="BX667" s="102" t="str">
        <f t="shared" si="15"/>
        <v/>
      </c>
      <c r="BY667" s="107" t="str">
        <f t="shared" si="5"/>
        <v/>
      </c>
      <c r="BZ667" s="107" t="str">
        <f t="array" ref="BZ667">IF($A667&lt;&gt;"",INDEX(LISTA!$M$2:$N$27,MATCH($BC667,LISTA!$N$2:$N$27,0),1),"")</f>
        <v/>
      </c>
      <c r="CA667" s="67" t="str">
        <f t="shared" si="6"/>
        <v/>
      </c>
      <c r="CB667" s="114" t="str">
        <f t="shared" si="7"/>
        <v/>
      </c>
      <c r="CC667" s="114"/>
    </row>
    <row r="668" ht="22.5" customHeight="1">
      <c r="A668" s="59"/>
      <c r="B668" s="115"/>
      <c r="C668" s="54"/>
      <c r="D668" s="56"/>
      <c r="E668" s="69"/>
      <c r="F668" s="73"/>
      <c r="G668" s="79"/>
      <c r="H668" s="79"/>
      <c r="I668" s="67"/>
      <c r="J668" s="79"/>
      <c r="K668" s="67"/>
      <c r="L668" s="79"/>
      <c r="M668" s="83"/>
      <c r="N668" s="78"/>
      <c r="O668" s="80"/>
      <c r="P668" s="70"/>
      <c r="Q668" s="54"/>
      <c r="R668" s="67"/>
      <c r="S668" s="67"/>
      <c r="T668" s="54"/>
      <c r="U668" s="86"/>
      <c r="V668" s="54"/>
      <c r="W668" s="86"/>
      <c r="X668" s="54"/>
      <c r="Y668" s="78"/>
      <c r="Z668" s="54"/>
      <c r="AA668" s="70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54"/>
      <c r="AR668" s="83"/>
      <c r="AS668" s="83"/>
      <c r="AT668" s="93"/>
      <c r="AU668" s="93"/>
      <c r="AV668" s="93"/>
      <c r="AW668" s="83"/>
      <c r="AX668" s="83"/>
      <c r="AY668" s="83"/>
      <c r="AZ668" s="83"/>
      <c r="BA668" s="83"/>
      <c r="BB668" s="83"/>
      <c r="BC668" s="54"/>
      <c r="BD668" s="54" t="str">
        <f t="shared" si="1"/>
        <v/>
      </c>
      <c r="BE668" s="67"/>
      <c r="BF668" s="67"/>
      <c r="BG668" s="67"/>
      <c r="BH668" s="67"/>
      <c r="BI668" s="67"/>
      <c r="BJ668" s="67"/>
      <c r="BK668" s="67"/>
      <c r="BL668" s="67"/>
      <c r="BM668" s="67"/>
      <c r="BN668" s="100"/>
      <c r="BO668" s="102"/>
      <c r="BP668" s="67"/>
      <c r="BQ668" s="79"/>
      <c r="BR668" s="67"/>
      <c r="BS668" s="102"/>
      <c r="BT668" s="106"/>
      <c r="BU668" s="107"/>
      <c r="BV668" s="108" t="str">
        <f t="shared" si="17"/>
        <v/>
      </c>
      <c r="BW668" s="108" t="str">
        <f t="shared" si="16"/>
        <v/>
      </c>
      <c r="BX668" s="102" t="str">
        <f t="shared" si="15"/>
        <v/>
      </c>
      <c r="BY668" s="107" t="str">
        <f t="shared" si="5"/>
        <v/>
      </c>
      <c r="BZ668" s="107" t="str">
        <f t="array" ref="BZ668">IF($A668&lt;&gt;"",INDEX(LISTA!$M$2:$N$27,MATCH($BC668,LISTA!$N$2:$N$27,0),1),"")</f>
        <v/>
      </c>
      <c r="CA668" s="67" t="str">
        <f t="shared" si="6"/>
        <v/>
      </c>
      <c r="CB668" s="114" t="str">
        <f t="shared" si="7"/>
        <v/>
      </c>
      <c r="CC668" s="114"/>
    </row>
    <row r="669" ht="22.5" customHeight="1">
      <c r="A669" s="59"/>
      <c r="B669" s="115"/>
      <c r="C669" s="54"/>
      <c r="D669" s="56"/>
      <c r="E669" s="69"/>
      <c r="F669" s="73"/>
      <c r="G669" s="79"/>
      <c r="H669" s="79"/>
      <c r="I669" s="67"/>
      <c r="J669" s="79"/>
      <c r="K669" s="67"/>
      <c r="L669" s="79"/>
      <c r="M669" s="83"/>
      <c r="N669" s="78"/>
      <c r="O669" s="80"/>
      <c r="P669" s="70"/>
      <c r="Q669" s="54"/>
      <c r="R669" s="67"/>
      <c r="S669" s="67"/>
      <c r="T669" s="54"/>
      <c r="U669" s="86"/>
      <c r="V669" s="54"/>
      <c r="W669" s="86"/>
      <c r="X669" s="54"/>
      <c r="Y669" s="78"/>
      <c r="Z669" s="54"/>
      <c r="AA669" s="70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54"/>
      <c r="AR669" s="83"/>
      <c r="AS669" s="83"/>
      <c r="AT669" s="93"/>
      <c r="AU669" s="93"/>
      <c r="AV669" s="93"/>
      <c r="AW669" s="83"/>
      <c r="AX669" s="83"/>
      <c r="AY669" s="83"/>
      <c r="AZ669" s="83"/>
      <c r="BA669" s="83"/>
      <c r="BB669" s="83"/>
      <c r="BC669" s="54"/>
      <c r="BD669" s="54" t="str">
        <f t="shared" si="1"/>
        <v/>
      </c>
      <c r="BE669" s="67"/>
      <c r="BF669" s="67"/>
      <c r="BG669" s="67"/>
      <c r="BH669" s="67"/>
      <c r="BI669" s="67"/>
      <c r="BJ669" s="67"/>
      <c r="BK669" s="67"/>
      <c r="BL669" s="67"/>
      <c r="BM669" s="67"/>
      <c r="BN669" s="100"/>
      <c r="BO669" s="102"/>
      <c r="BP669" s="67"/>
      <c r="BQ669" s="79"/>
      <c r="BR669" s="67"/>
      <c r="BS669" s="102"/>
      <c r="BT669" s="106"/>
      <c r="BU669" s="107"/>
      <c r="BV669" s="108" t="str">
        <f t="shared" si="17"/>
        <v/>
      </c>
      <c r="BW669" s="108" t="str">
        <f t="shared" si="16"/>
        <v/>
      </c>
      <c r="BX669" s="102" t="str">
        <f t="shared" si="15"/>
        <v/>
      </c>
      <c r="BY669" s="107" t="str">
        <f t="shared" si="5"/>
        <v/>
      </c>
      <c r="BZ669" s="107" t="str">
        <f t="array" ref="BZ669">IF($A669&lt;&gt;"",INDEX(LISTA!$M$2:$N$27,MATCH($BC669,LISTA!$N$2:$N$27,0),1),"")</f>
        <v/>
      </c>
      <c r="CA669" s="67" t="str">
        <f t="shared" si="6"/>
        <v/>
      </c>
      <c r="CB669" s="114" t="str">
        <f t="shared" si="7"/>
        <v/>
      </c>
      <c r="CC669" s="114"/>
    </row>
    <row r="670" ht="22.5" customHeight="1">
      <c r="A670" s="59"/>
      <c r="B670" s="115"/>
      <c r="C670" s="54"/>
      <c r="D670" s="56"/>
      <c r="E670" s="69"/>
      <c r="F670" s="73"/>
      <c r="G670" s="79"/>
      <c r="H670" s="79"/>
      <c r="I670" s="67"/>
      <c r="J670" s="79"/>
      <c r="K670" s="67"/>
      <c r="L670" s="79"/>
      <c r="M670" s="83"/>
      <c r="N670" s="78"/>
      <c r="O670" s="80"/>
      <c r="P670" s="70"/>
      <c r="Q670" s="54"/>
      <c r="R670" s="67"/>
      <c r="S670" s="67"/>
      <c r="T670" s="54"/>
      <c r="U670" s="86"/>
      <c r="V670" s="54"/>
      <c r="W670" s="86"/>
      <c r="X670" s="54"/>
      <c r="Y670" s="78"/>
      <c r="Z670" s="54"/>
      <c r="AA670" s="70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54"/>
      <c r="AR670" s="83"/>
      <c r="AS670" s="83"/>
      <c r="AT670" s="93"/>
      <c r="AU670" s="93"/>
      <c r="AV670" s="93"/>
      <c r="AW670" s="83"/>
      <c r="AX670" s="83"/>
      <c r="AY670" s="83"/>
      <c r="AZ670" s="83"/>
      <c r="BA670" s="83"/>
      <c r="BB670" s="83"/>
      <c r="BC670" s="54"/>
      <c r="BD670" s="54" t="str">
        <f t="shared" si="1"/>
        <v/>
      </c>
      <c r="BE670" s="67"/>
      <c r="BF670" s="67"/>
      <c r="BG670" s="67"/>
      <c r="BH670" s="67"/>
      <c r="BI670" s="67"/>
      <c r="BJ670" s="67"/>
      <c r="BK670" s="67"/>
      <c r="BL670" s="67"/>
      <c r="BM670" s="67"/>
      <c r="BN670" s="100"/>
      <c r="BO670" s="102"/>
      <c r="BP670" s="67"/>
      <c r="BQ670" s="79"/>
      <c r="BR670" s="67"/>
      <c r="BS670" s="102"/>
      <c r="BT670" s="106"/>
      <c r="BU670" s="107"/>
      <c r="BV670" s="108" t="str">
        <f t="shared" si="17"/>
        <v/>
      </c>
      <c r="BW670" s="108" t="str">
        <f t="shared" si="16"/>
        <v/>
      </c>
      <c r="BX670" s="102" t="str">
        <f t="shared" si="15"/>
        <v/>
      </c>
      <c r="BY670" s="107" t="str">
        <f t="shared" si="5"/>
        <v/>
      </c>
      <c r="BZ670" s="107" t="str">
        <f t="array" ref="BZ670">IF($A670&lt;&gt;"",INDEX(LISTA!$M$2:$N$27,MATCH($BC670,LISTA!$N$2:$N$27,0),1),"")</f>
        <v/>
      </c>
      <c r="CA670" s="67" t="str">
        <f t="shared" si="6"/>
        <v/>
      </c>
      <c r="CB670" s="114" t="str">
        <f t="shared" si="7"/>
        <v/>
      </c>
      <c r="CC670" s="114"/>
    </row>
    <row r="671" ht="22.5" customHeight="1">
      <c r="A671" s="59"/>
      <c r="B671" s="115"/>
      <c r="C671" s="54"/>
      <c r="D671" s="56"/>
      <c r="E671" s="69"/>
      <c r="F671" s="73"/>
      <c r="G671" s="79"/>
      <c r="H671" s="79"/>
      <c r="I671" s="67"/>
      <c r="J671" s="79"/>
      <c r="K671" s="67"/>
      <c r="L671" s="79"/>
      <c r="M671" s="83"/>
      <c r="N671" s="78"/>
      <c r="O671" s="80"/>
      <c r="P671" s="70"/>
      <c r="Q671" s="54"/>
      <c r="R671" s="67"/>
      <c r="S671" s="67"/>
      <c r="T671" s="54"/>
      <c r="U671" s="86"/>
      <c r="V671" s="54"/>
      <c r="W671" s="86"/>
      <c r="X671" s="54"/>
      <c r="Y671" s="78"/>
      <c r="Z671" s="54"/>
      <c r="AA671" s="70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54"/>
      <c r="AR671" s="83"/>
      <c r="AS671" s="83"/>
      <c r="AT671" s="93"/>
      <c r="AU671" s="93"/>
      <c r="AV671" s="93"/>
      <c r="AW671" s="83"/>
      <c r="AX671" s="83"/>
      <c r="AY671" s="83"/>
      <c r="AZ671" s="83"/>
      <c r="BA671" s="83"/>
      <c r="BB671" s="83"/>
      <c r="BC671" s="54"/>
      <c r="BD671" s="54" t="str">
        <f t="shared" si="1"/>
        <v/>
      </c>
      <c r="BE671" s="67"/>
      <c r="BF671" s="67"/>
      <c r="BG671" s="67"/>
      <c r="BH671" s="67"/>
      <c r="BI671" s="67"/>
      <c r="BJ671" s="67"/>
      <c r="BK671" s="67"/>
      <c r="BL671" s="67"/>
      <c r="BM671" s="67"/>
      <c r="BN671" s="100"/>
      <c r="BO671" s="102"/>
      <c r="BP671" s="67"/>
      <c r="BQ671" s="79"/>
      <c r="BR671" s="67"/>
      <c r="BS671" s="102"/>
      <c r="BT671" s="106"/>
      <c r="BU671" s="107"/>
      <c r="BV671" s="108" t="str">
        <f t="shared" si="17"/>
        <v/>
      </c>
      <c r="BW671" s="108" t="str">
        <f t="shared" si="16"/>
        <v/>
      </c>
      <c r="BX671" s="102" t="str">
        <f t="shared" si="15"/>
        <v/>
      </c>
      <c r="BY671" s="107" t="str">
        <f t="shared" si="5"/>
        <v/>
      </c>
      <c r="BZ671" s="107" t="str">
        <f t="array" ref="BZ671">IF($A671&lt;&gt;"",INDEX(LISTA!$M$2:$N$27,MATCH($BC671,LISTA!$N$2:$N$27,0),1),"")</f>
        <v/>
      </c>
      <c r="CA671" s="67" t="str">
        <f t="shared" si="6"/>
        <v/>
      </c>
      <c r="CB671" s="114" t="str">
        <f t="shared" si="7"/>
        <v/>
      </c>
      <c r="CC671" s="114"/>
    </row>
    <row r="672" ht="22.5" customHeight="1">
      <c r="A672" s="59"/>
      <c r="B672" s="115"/>
      <c r="C672" s="54"/>
      <c r="D672" s="56"/>
      <c r="E672" s="69"/>
      <c r="F672" s="73"/>
      <c r="G672" s="79"/>
      <c r="H672" s="79"/>
      <c r="I672" s="67"/>
      <c r="J672" s="79"/>
      <c r="K672" s="67"/>
      <c r="L672" s="79"/>
      <c r="M672" s="83"/>
      <c r="N672" s="78"/>
      <c r="O672" s="80"/>
      <c r="P672" s="70"/>
      <c r="Q672" s="54"/>
      <c r="R672" s="67"/>
      <c r="S672" s="67"/>
      <c r="T672" s="54"/>
      <c r="U672" s="86"/>
      <c r="V672" s="54"/>
      <c r="W672" s="86"/>
      <c r="X672" s="54"/>
      <c r="Y672" s="78"/>
      <c r="Z672" s="54"/>
      <c r="AA672" s="70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54"/>
      <c r="AR672" s="83"/>
      <c r="AS672" s="83"/>
      <c r="AT672" s="93"/>
      <c r="AU672" s="93"/>
      <c r="AV672" s="93"/>
      <c r="AW672" s="83"/>
      <c r="AX672" s="83"/>
      <c r="AY672" s="83"/>
      <c r="AZ672" s="83"/>
      <c r="BA672" s="83"/>
      <c r="BB672" s="83"/>
      <c r="BC672" s="54"/>
      <c r="BD672" s="54" t="str">
        <f t="shared" si="1"/>
        <v/>
      </c>
      <c r="BE672" s="67"/>
      <c r="BF672" s="67"/>
      <c r="BG672" s="67"/>
      <c r="BH672" s="67"/>
      <c r="BI672" s="67"/>
      <c r="BJ672" s="67"/>
      <c r="BK672" s="67"/>
      <c r="BL672" s="67"/>
      <c r="BM672" s="67"/>
      <c r="BN672" s="100"/>
      <c r="BO672" s="102"/>
      <c r="BP672" s="67"/>
      <c r="BQ672" s="79"/>
      <c r="BR672" s="67"/>
      <c r="BS672" s="102"/>
      <c r="BT672" s="106"/>
      <c r="BU672" s="107"/>
      <c r="BV672" s="108" t="str">
        <f t="shared" si="17"/>
        <v/>
      </c>
      <c r="BW672" s="108" t="str">
        <f t="shared" si="16"/>
        <v/>
      </c>
      <c r="BX672" s="102" t="str">
        <f t="shared" si="15"/>
        <v/>
      </c>
      <c r="BY672" s="107" t="str">
        <f t="shared" si="5"/>
        <v/>
      </c>
      <c r="BZ672" s="107" t="str">
        <f t="array" ref="BZ672">IF($A672&lt;&gt;"",INDEX(LISTA!$M$2:$N$27,MATCH($BC672,LISTA!$N$2:$N$27,0),1),"")</f>
        <v/>
      </c>
      <c r="CA672" s="67" t="str">
        <f t="shared" si="6"/>
        <v/>
      </c>
      <c r="CB672" s="114" t="str">
        <f t="shared" si="7"/>
        <v/>
      </c>
      <c r="CC672" s="114"/>
    </row>
    <row r="673" ht="22.5" customHeight="1">
      <c r="A673" s="59"/>
      <c r="B673" s="115"/>
      <c r="C673" s="54"/>
      <c r="D673" s="56"/>
      <c r="E673" s="69"/>
      <c r="F673" s="73"/>
      <c r="G673" s="79"/>
      <c r="H673" s="79"/>
      <c r="I673" s="67"/>
      <c r="J673" s="79"/>
      <c r="K673" s="67"/>
      <c r="L673" s="79"/>
      <c r="M673" s="83"/>
      <c r="N673" s="78"/>
      <c r="O673" s="80"/>
      <c r="P673" s="70"/>
      <c r="Q673" s="54"/>
      <c r="R673" s="67"/>
      <c r="S673" s="67"/>
      <c r="T673" s="54"/>
      <c r="U673" s="86"/>
      <c r="V673" s="54"/>
      <c r="W673" s="86"/>
      <c r="X673" s="54"/>
      <c r="Y673" s="78"/>
      <c r="Z673" s="54"/>
      <c r="AA673" s="70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54"/>
      <c r="AR673" s="83"/>
      <c r="AS673" s="83"/>
      <c r="AT673" s="93"/>
      <c r="AU673" s="93"/>
      <c r="AV673" s="93"/>
      <c r="AW673" s="83"/>
      <c r="AX673" s="83"/>
      <c r="AY673" s="83"/>
      <c r="AZ673" s="83"/>
      <c r="BA673" s="83"/>
      <c r="BB673" s="83"/>
      <c r="BC673" s="54"/>
      <c r="BD673" s="54" t="str">
        <f t="shared" si="1"/>
        <v/>
      </c>
      <c r="BE673" s="67"/>
      <c r="BF673" s="67"/>
      <c r="BG673" s="67"/>
      <c r="BH673" s="67"/>
      <c r="BI673" s="67"/>
      <c r="BJ673" s="67"/>
      <c r="BK673" s="67"/>
      <c r="BL673" s="67"/>
      <c r="BM673" s="67"/>
      <c r="BN673" s="100"/>
      <c r="BO673" s="102"/>
      <c r="BP673" s="67"/>
      <c r="BQ673" s="79"/>
      <c r="BR673" s="67"/>
      <c r="BS673" s="102"/>
      <c r="BT673" s="106"/>
      <c r="BU673" s="107"/>
      <c r="BV673" s="108" t="str">
        <f t="shared" si="17"/>
        <v/>
      </c>
      <c r="BW673" s="108" t="str">
        <f t="shared" si="16"/>
        <v/>
      </c>
      <c r="BX673" s="102" t="str">
        <f t="shared" si="15"/>
        <v/>
      </c>
      <c r="BY673" s="107" t="str">
        <f t="shared" si="5"/>
        <v/>
      </c>
      <c r="BZ673" s="107" t="str">
        <f t="array" ref="BZ673">IF($A673&lt;&gt;"",INDEX(LISTA!$M$2:$N$27,MATCH($BC673,LISTA!$N$2:$N$27,0),1),"")</f>
        <v/>
      </c>
      <c r="CA673" s="67" t="str">
        <f t="shared" si="6"/>
        <v/>
      </c>
      <c r="CB673" s="114" t="str">
        <f t="shared" si="7"/>
        <v/>
      </c>
      <c r="CC673" s="114"/>
    </row>
    <row r="674" ht="22.5" customHeight="1">
      <c r="A674" s="59"/>
      <c r="B674" s="115"/>
      <c r="C674" s="54"/>
      <c r="D674" s="56"/>
      <c r="E674" s="69"/>
      <c r="F674" s="73"/>
      <c r="G674" s="79"/>
      <c r="H674" s="79"/>
      <c r="I674" s="67"/>
      <c r="J674" s="79"/>
      <c r="K674" s="67"/>
      <c r="L674" s="79"/>
      <c r="M674" s="83"/>
      <c r="N674" s="78"/>
      <c r="O674" s="80"/>
      <c r="P674" s="70"/>
      <c r="Q674" s="54"/>
      <c r="R674" s="67"/>
      <c r="S674" s="67"/>
      <c r="T674" s="54"/>
      <c r="U674" s="86"/>
      <c r="V674" s="54"/>
      <c r="W674" s="86"/>
      <c r="X674" s="54"/>
      <c r="Y674" s="78"/>
      <c r="Z674" s="54"/>
      <c r="AA674" s="70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54"/>
      <c r="AR674" s="83"/>
      <c r="AS674" s="83"/>
      <c r="AT674" s="93"/>
      <c r="AU674" s="93"/>
      <c r="AV674" s="93"/>
      <c r="AW674" s="83"/>
      <c r="AX674" s="83"/>
      <c r="AY674" s="83"/>
      <c r="AZ674" s="83"/>
      <c r="BA674" s="83"/>
      <c r="BB674" s="83"/>
      <c r="BC674" s="54"/>
      <c r="BD674" s="54" t="str">
        <f t="shared" si="1"/>
        <v/>
      </c>
      <c r="BE674" s="67"/>
      <c r="BF674" s="67"/>
      <c r="BG674" s="67"/>
      <c r="BH674" s="67"/>
      <c r="BI674" s="67"/>
      <c r="BJ674" s="67"/>
      <c r="BK674" s="67"/>
      <c r="BL674" s="67"/>
      <c r="BM674" s="67"/>
      <c r="BN674" s="100"/>
      <c r="BO674" s="102"/>
      <c r="BP674" s="67"/>
      <c r="BQ674" s="79"/>
      <c r="BR674" s="67"/>
      <c r="BS674" s="102"/>
      <c r="BT674" s="106"/>
      <c r="BU674" s="107"/>
      <c r="BV674" s="108" t="str">
        <f t="shared" si="17"/>
        <v/>
      </c>
      <c r="BW674" s="108" t="str">
        <f t="shared" si="16"/>
        <v/>
      </c>
      <c r="BX674" s="102" t="str">
        <f t="shared" si="15"/>
        <v/>
      </c>
      <c r="BY674" s="107" t="str">
        <f t="shared" si="5"/>
        <v/>
      </c>
      <c r="BZ674" s="107" t="str">
        <f t="array" ref="BZ674">IF($A674&lt;&gt;"",INDEX(LISTA!$M$2:$N$27,MATCH($BC674,LISTA!$N$2:$N$27,0),1),"")</f>
        <v/>
      </c>
      <c r="CA674" s="67" t="str">
        <f t="shared" si="6"/>
        <v/>
      </c>
      <c r="CB674" s="114" t="str">
        <f t="shared" si="7"/>
        <v/>
      </c>
      <c r="CC674" s="114"/>
    </row>
    <row r="675" ht="22.5" customHeight="1">
      <c r="A675" s="59"/>
      <c r="B675" s="115"/>
      <c r="C675" s="54"/>
      <c r="D675" s="56"/>
      <c r="E675" s="69"/>
      <c r="F675" s="73"/>
      <c r="G675" s="79"/>
      <c r="H675" s="79"/>
      <c r="I675" s="67"/>
      <c r="J675" s="79"/>
      <c r="K675" s="67"/>
      <c r="L675" s="79"/>
      <c r="M675" s="83"/>
      <c r="N675" s="78"/>
      <c r="O675" s="80"/>
      <c r="P675" s="70"/>
      <c r="Q675" s="54"/>
      <c r="R675" s="67"/>
      <c r="S675" s="67"/>
      <c r="T675" s="54"/>
      <c r="U675" s="86"/>
      <c r="V675" s="54"/>
      <c r="W675" s="86"/>
      <c r="X675" s="54"/>
      <c r="Y675" s="78"/>
      <c r="Z675" s="54"/>
      <c r="AA675" s="70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54"/>
      <c r="AR675" s="83"/>
      <c r="AS675" s="83"/>
      <c r="AT675" s="93"/>
      <c r="AU675" s="93"/>
      <c r="AV675" s="93"/>
      <c r="AW675" s="83"/>
      <c r="AX675" s="83"/>
      <c r="AY675" s="83"/>
      <c r="AZ675" s="83"/>
      <c r="BA675" s="83"/>
      <c r="BB675" s="83"/>
      <c r="BC675" s="54"/>
      <c r="BD675" s="54" t="str">
        <f t="shared" si="1"/>
        <v/>
      </c>
      <c r="BE675" s="67"/>
      <c r="BF675" s="67"/>
      <c r="BG675" s="67"/>
      <c r="BH675" s="67"/>
      <c r="BI675" s="67"/>
      <c r="BJ675" s="67"/>
      <c r="BK675" s="67"/>
      <c r="BL675" s="67"/>
      <c r="BM675" s="67"/>
      <c r="BN675" s="100"/>
      <c r="BO675" s="102"/>
      <c r="BP675" s="67"/>
      <c r="BQ675" s="79"/>
      <c r="BR675" s="67"/>
      <c r="BS675" s="102"/>
      <c r="BT675" s="106"/>
      <c r="BU675" s="107"/>
      <c r="BV675" s="108" t="str">
        <f t="shared" si="17"/>
        <v/>
      </c>
      <c r="BW675" s="108" t="str">
        <f t="shared" si="16"/>
        <v/>
      </c>
      <c r="BX675" s="102" t="str">
        <f t="shared" si="15"/>
        <v/>
      </c>
      <c r="BY675" s="107" t="str">
        <f t="shared" si="5"/>
        <v/>
      </c>
      <c r="BZ675" s="107" t="str">
        <f t="array" ref="BZ675">IF($A675&lt;&gt;"",INDEX(LISTA!$M$2:$N$27,MATCH($BC675,LISTA!$N$2:$N$27,0),1),"")</f>
        <v/>
      </c>
      <c r="CA675" s="67" t="str">
        <f t="shared" si="6"/>
        <v/>
      </c>
      <c r="CB675" s="114" t="str">
        <f t="shared" si="7"/>
        <v/>
      </c>
      <c r="CC675" s="114"/>
    </row>
    <row r="676" ht="22.5" customHeight="1">
      <c r="A676" s="59"/>
      <c r="B676" s="115"/>
      <c r="C676" s="54"/>
      <c r="D676" s="56"/>
      <c r="E676" s="69"/>
      <c r="F676" s="73"/>
      <c r="G676" s="79"/>
      <c r="H676" s="79"/>
      <c r="I676" s="67"/>
      <c r="J676" s="79"/>
      <c r="K676" s="67"/>
      <c r="L676" s="79"/>
      <c r="M676" s="83"/>
      <c r="N676" s="78"/>
      <c r="O676" s="80"/>
      <c r="P676" s="70"/>
      <c r="Q676" s="54"/>
      <c r="R676" s="67"/>
      <c r="S676" s="67"/>
      <c r="T676" s="54"/>
      <c r="U676" s="86"/>
      <c r="V676" s="54"/>
      <c r="W676" s="86"/>
      <c r="X676" s="54"/>
      <c r="Y676" s="78"/>
      <c r="Z676" s="54"/>
      <c r="AA676" s="70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54"/>
      <c r="AR676" s="83"/>
      <c r="AS676" s="83"/>
      <c r="AT676" s="93"/>
      <c r="AU676" s="93"/>
      <c r="AV676" s="93"/>
      <c r="AW676" s="83"/>
      <c r="AX676" s="83"/>
      <c r="AY676" s="83"/>
      <c r="AZ676" s="83"/>
      <c r="BA676" s="83"/>
      <c r="BB676" s="83"/>
      <c r="BC676" s="54"/>
      <c r="BD676" s="54" t="str">
        <f t="shared" si="1"/>
        <v/>
      </c>
      <c r="BE676" s="67"/>
      <c r="BF676" s="67"/>
      <c r="BG676" s="67"/>
      <c r="BH676" s="67"/>
      <c r="BI676" s="67"/>
      <c r="BJ676" s="67"/>
      <c r="BK676" s="67"/>
      <c r="BL676" s="67"/>
      <c r="BM676" s="67"/>
      <c r="BN676" s="100"/>
      <c r="BO676" s="102"/>
      <c r="BP676" s="67"/>
      <c r="BQ676" s="79"/>
      <c r="BR676" s="67"/>
      <c r="BS676" s="102"/>
      <c r="BT676" s="106"/>
      <c r="BU676" s="107"/>
      <c r="BV676" s="108" t="str">
        <f t="shared" si="17"/>
        <v/>
      </c>
      <c r="BW676" s="108" t="str">
        <f t="shared" si="16"/>
        <v/>
      </c>
      <c r="BX676" s="102" t="str">
        <f t="shared" si="15"/>
        <v/>
      </c>
      <c r="BY676" s="107" t="str">
        <f t="shared" si="5"/>
        <v/>
      </c>
      <c r="BZ676" s="107" t="str">
        <f t="array" ref="BZ676">IF($A676&lt;&gt;"",INDEX(LISTA!$M$2:$N$27,MATCH($BC676,LISTA!$N$2:$N$27,0),1),"")</f>
        <v/>
      </c>
      <c r="CA676" s="67" t="str">
        <f t="shared" si="6"/>
        <v/>
      </c>
      <c r="CB676" s="114" t="str">
        <f t="shared" si="7"/>
        <v/>
      </c>
      <c r="CC676" s="114"/>
    </row>
    <row r="677" ht="22.5" customHeight="1">
      <c r="A677" s="59"/>
      <c r="B677" s="115"/>
      <c r="C677" s="54"/>
      <c r="D677" s="56"/>
      <c r="E677" s="69"/>
      <c r="F677" s="73"/>
      <c r="G677" s="79"/>
      <c r="H677" s="79"/>
      <c r="I677" s="67"/>
      <c r="J677" s="79"/>
      <c r="K677" s="67"/>
      <c r="L677" s="79"/>
      <c r="M677" s="83"/>
      <c r="N677" s="78"/>
      <c r="O677" s="80"/>
      <c r="P677" s="70"/>
      <c r="Q677" s="54"/>
      <c r="R677" s="67"/>
      <c r="S677" s="67"/>
      <c r="T677" s="54"/>
      <c r="U677" s="86"/>
      <c r="V677" s="54"/>
      <c r="W677" s="86"/>
      <c r="X677" s="54"/>
      <c r="Y677" s="78"/>
      <c r="Z677" s="54"/>
      <c r="AA677" s="70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54"/>
      <c r="AR677" s="83"/>
      <c r="AS677" s="83"/>
      <c r="AT677" s="93"/>
      <c r="AU677" s="93"/>
      <c r="AV677" s="93"/>
      <c r="AW677" s="83"/>
      <c r="AX677" s="83"/>
      <c r="AY677" s="83"/>
      <c r="AZ677" s="83"/>
      <c r="BA677" s="83"/>
      <c r="BB677" s="83"/>
      <c r="BC677" s="54"/>
      <c r="BD677" s="54" t="str">
        <f t="shared" si="1"/>
        <v/>
      </c>
      <c r="BE677" s="67"/>
      <c r="BF677" s="67"/>
      <c r="BG677" s="67"/>
      <c r="BH677" s="67"/>
      <c r="BI677" s="67"/>
      <c r="BJ677" s="67"/>
      <c r="BK677" s="67"/>
      <c r="BL677" s="67"/>
      <c r="BM677" s="67"/>
      <c r="BN677" s="100"/>
      <c r="BO677" s="102"/>
      <c r="BP677" s="67"/>
      <c r="BQ677" s="79"/>
      <c r="BR677" s="67"/>
      <c r="BS677" s="102"/>
      <c r="BT677" s="106"/>
      <c r="BU677" s="107"/>
      <c r="BV677" s="108" t="str">
        <f t="shared" si="17"/>
        <v/>
      </c>
      <c r="BW677" s="108" t="str">
        <f t="shared" si="16"/>
        <v/>
      </c>
      <c r="BX677" s="102" t="str">
        <f t="shared" si="15"/>
        <v/>
      </c>
      <c r="BY677" s="107" t="str">
        <f t="shared" si="5"/>
        <v/>
      </c>
      <c r="BZ677" s="107" t="str">
        <f t="array" ref="BZ677">IF($A677&lt;&gt;"",INDEX(LISTA!$M$2:$N$27,MATCH($BC677,LISTA!$N$2:$N$27,0),1),"")</f>
        <v/>
      </c>
      <c r="CA677" s="67" t="str">
        <f t="shared" si="6"/>
        <v/>
      </c>
      <c r="CB677" s="114" t="str">
        <f t="shared" si="7"/>
        <v/>
      </c>
      <c r="CC677" s="114"/>
    </row>
    <row r="678" ht="22.5" customHeight="1">
      <c r="A678" s="59"/>
      <c r="B678" s="115"/>
      <c r="C678" s="54"/>
      <c r="D678" s="56"/>
      <c r="E678" s="69"/>
      <c r="F678" s="73"/>
      <c r="G678" s="79"/>
      <c r="H678" s="79"/>
      <c r="I678" s="67"/>
      <c r="J678" s="79"/>
      <c r="K678" s="67"/>
      <c r="L678" s="79"/>
      <c r="M678" s="83"/>
      <c r="N678" s="78"/>
      <c r="O678" s="80"/>
      <c r="P678" s="70"/>
      <c r="Q678" s="54"/>
      <c r="R678" s="67"/>
      <c r="S678" s="67"/>
      <c r="T678" s="54"/>
      <c r="U678" s="86"/>
      <c r="V678" s="54"/>
      <c r="W678" s="86"/>
      <c r="X678" s="54"/>
      <c r="Y678" s="78"/>
      <c r="Z678" s="54"/>
      <c r="AA678" s="70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54"/>
      <c r="AR678" s="83"/>
      <c r="AS678" s="83"/>
      <c r="AT678" s="93"/>
      <c r="AU678" s="93"/>
      <c r="AV678" s="93"/>
      <c r="AW678" s="83"/>
      <c r="AX678" s="83"/>
      <c r="AY678" s="83"/>
      <c r="AZ678" s="83"/>
      <c r="BA678" s="83"/>
      <c r="BB678" s="83"/>
      <c r="BC678" s="54"/>
      <c r="BD678" s="54" t="str">
        <f t="shared" si="1"/>
        <v/>
      </c>
      <c r="BE678" s="67"/>
      <c r="BF678" s="67"/>
      <c r="BG678" s="67"/>
      <c r="BH678" s="67"/>
      <c r="BI678" s="67"/>
      <c r="BJ678" s="67"/>
      <c r="BK678" s="67"/>
      <c r="BL678" s="67"/>
      <c r="BM678" s="67"/>
      <c r="BN678" s="100"/>
      <c r="BO678" s="102"/>
      <c r="BP678" s="67"/>
      <c r="BQ678" s="79"/>
      <c r="BR678" s="67"/>
      <c r="BS678" s="102"/>
      <c r="BT678" s="106"/>
      <c r="BU678" s="107"/>
      <c r="BV678" s="108" t="str">
        <f t="shared" si="17"/>
        <v/>
      </c>
      <c r="BW678" s="108" t="str">
        <f t="shared" si="16"/>
        <v/>
      </c>
      <c r="BX678" s="102" t="str">
        <f t="shared" si="15"/>
        <v/>
      </c>
      <c r="BY678" s="107" t="str">
        <f t="shared" si="5"/>
        <v/>
      </c>
      <c r="BZ678" s="107" t="str">
        <f t="array" ref="BZ678">IF($A678&lt;&gt;"",INDEX(LISTA!$M$2:$N$27,MATCH($BC678,LISTA!$N$2:$N$27,0),1),"")</f>
        <v/>
      </c>
      <c r="CA678" s="67" t="str">
        <f t="shared" si="6"/>
        <v/>
      </c>
      <c r="CB678" s="114" t="str">
        <f t="shared" si="7"/>
        <v/>
      </c>
      <c r="CC678" s="114"/>
    </row>
    <row r="679" ht="22.5" customHeight="1">
      <c r="A679" s="59"/>
      <c r="B679" s="115"/>
      <c r="C679" s="54"/>
      <c r="D679" s="56"/>
      <c r="E679" s="69"/>
      <c r="F679" s="73"/>
      <c r="G679" s="79"/>
      <c r="H679" s="79"/>
      <c r="I679" s="67"/>
      <c r="J679" s="79"/>
      <c r="K679" s="67"/>
      <c r="L679" s="79"/>
      <c r="M679" s="83"/>
      <c r="N679" s="78"/>
      <c r="O679" s="80"/>
      <c r="P679" s="70"/>
      <c r="Q679" s="54"/>
      <c r="R679" s="67"/>
      <c r="S679" s="67"/>
      <c r="T679" s="54"/>
      <c r="U679" s="86"/>
      <c r="V679" s="54"/>
      <c r="W679" s="86"/>
      <c r="X679" s="54"/>
      <c r="Y679" s="78"/>
      <c r="Z679" s="54"/>
      <c r="AA679" s="70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54"/>
      <c r="AR679" s="83"/>
      <c r="AS679" s="83"/>
      <c r="AT679" s="93"/>
      <c r="AU679" s="93"/>
      <c r="AV679" s="93"/>
      <c r="AW679" s="83"/>
      <c r="AX679" s="83"/>
      <c r="AY679" s="83"/>
      <c r="AZ679" s="83"/>
      <c r="BA679" s="83"/>
      <c r="BB679" s="83"/>
      <c r="BC679" s="54"/>
      <c r="BD679" s="54" t="str">
        <f t="shared" si="1"/>
        <v/>
      </c>
      <c r="BE679" s="67"/>
      <c r="BF679" s="67"/>
      <c r="BG679" s="67"/>
      <c r="BH679" s="67"/>
      <c r="BI679" s="67"/>
      <c r="BJ679" s="67"/>
      <c r="BK679" s="67"/>
      <c r="BL679" s="67"/>
      <c r="BM679" s="67"/>
      <c r="BN679" s="100"/>
      <c r="BO679" s="102"/>
      <c r="BP679" s="67"/>
      <c r="BQ679" s="79"/>
      <c r="BR679" s="67"/>
      <c r="BS679" s="102"/>
      <c r="BT679" s="106"/>
      <c r="BU679" s="107"/>
      <c r="BV679" s="108" t="str">
        <f t="shared" si="17"/>
        <v/>
      </c>
      <c r="BW679" s="108" t="str">
        <f t="shared" si="16"/>
        <v/>
      </c>
      <c r="BX679" s="102" t="str">
        <f t="shared" si="15"/>
        <v/>
      </c>
      <c r="BY679" s="107" t="str">
        <f t="shared" si="5"/>
        <v/>
      </c>
      <c r="BZ679" s="107" t="str">
        <f t="array" ref="BZ679">IF($A679&lt;&gt;"",INDEX(LISTA!$M$2:$N$27,MATCH($BC679,LISTA!$N$2:$N$27,0),1),"")</f>
        <v/>
      </c>
      <c r="CA679" s="67" t="str">
        <f t="shared" si="6"/>
        <v/>
      </c>
      <c r="CB679" s="114" t="str">
        <f t="shared" si="7"/>
        <v/>
      </c>
      <c r="CC679" s="114"/>
    </row>
    <row r="680" ht="22.5" customHeight="1">
      <c r="A680" s="59"/>
      <c r="B680" s="115"/>
      <c r="C680" s="54"/>
      <c r="D680" s="56"/>
      <c r="E680" s="69"/>
      <c r="F680" s="73"/>
      <c r="G680" s="79"/>
      <c r="H680" s="79"/>
      <c r="I680" s="67"/>
      <c r="J680" s="79"/>
      <c r="K680" s="67"/>
      <c r="L680" s="79"/>
      <c r="M680" s="83"/>
      <c r="N680" s="78"/>
      <c r="O680" s="80"/>
      <c r="P680" s="70"/>
      <c r="Q680" s="54"/>
      <c r="R680" s="67"/>
      <c r="S680" s="67"/>
      <c r="T680" s="54"/>
      <c r="U680" s="86"/>
      <c r="V680" s="54"/>
      <c r="W680" s="86"/>
      <c r="X680" s="54"/>
      <c r="Y680" s="78"/>
      <c r="Z680" s="54"/>
      <c r="AA680" s="70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54"/>
      <c r="AR680" s="83"/>
      <c r="AS680" s="83"/>
      <c r="AT680" s="93"/>
      <c r="AU680" s="93"/>
      <c r="AV680" s="93"/>
      <c r="AW680" s="83"/>
      <c r="AX680" s="83"/>
      <c r="AY680" s="83"/>
      <c r="AZ680" s="83"/>
      <c r="BA680" s="83"/>
      <c r="BB680" s="83"/>
      <c r="BC680" s="54"/>
      <c r="BD680" s="54" t="str">
        <f t="shared" si="1"/>
        <v/>
      </c>
      <c r="BE680" s="67"/>
      <c r="BF680" s="67"/>
      <c r="BG680" s="67"/>
      <c r="BH680" s="67"/>
      <c r="BI680" s="67"/>
      <c r="BJ680" s="67"/>
      <c r="BK680" s="67"/>
      <c r="BL680" s="67"/>
      <c r="BM680" s="67"/>
      <c r="BN680" s="100"/>
      <c r="BO680" s="102"/>
      <c r="BP680" s="67"/>
      <c r="BQ680" s="79"/>
      <c r="BR680" s="67"/>
      <c r="BS680" s="102"/>
      <c r="BT680" s="106"/>
      <c r="BU680" s="107"/>
      <c r="BV680" s="108" t="str">
        <f t="shared" si="17"/>
        <v/>
      </c>
      <c r="BW680" s="108" t="str">
        <f t="shared" si="16"/>
        <v/>
      </c>
      <c r="BX680" s="102" t="str">
        <f t="shared" si="15"/>
        <v/>
      </c>
      <c r="BY680" s="107" t="str">
        <f t="shared" si="5"/>
        <v/>
      </c>
      <c r="BZ680" s="107" t="str">
        <f t="array" ref="BZ680">IF($A680&lt;&gt;"",INDEX(LISTA!$M$2:$N$27,MATCH($BC680,LISTA!$N$2:$N$27,0),1),"")</f>
        <v/>
      </c>
      <c r="CA680" s="67" t="str">
        <f t="shared" si="6"/>
        <v/>
      </c>
      <c r="CB680" s="114" t="str">
        <f t="shared" si="7"/>
        <v/>
      </c>
      <c r="CC680" s="114"/>
    </row>
    <row r="681" ht="22.5" customHeight="1">
      <c r="A681" s="59"/>
      <c r="B681" s="115"/>
      <c r="C681" s="54"/>
      <c r="D681" s="56"/>
      <c r="E681" s="69"/>
      <c r="F681" s="73"/>
      <c r="G681" s="79"/>
      <c r="H681" s="79"/>
      <c r="I681" s="67"/>
      <c r="J681" s="79"/>
      <c r="K681" s="67"/>
      <c r="L681" s="79"/>
      <c r="M681" s="83"/>
      <c r="N681" s="78"/>
      <c r="O681" s="80"/>
      <c r="P681" s="70"/>
      <c r="Q681" s="54"/>
      <c r="R681" s="67"/>
      <c r="S681" s="67"/>
      <c r="T681" s="54"/>
      <c r="U681" s="86"/>
      <c r="V681" s="54"/>
      <c r="W681" s="86"/>
      <c r="X681" s="54"/>
      <c r="Y681" s="78"/>
      <c r="Z681" s="54"/>
      <c r="AA681" s="70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54"/>
      <c r="AR681" s="83"/>
      <c r="AS681" s="83"/>
      <c r="AT681" s="93"/>
      <c r="AU681" s="93"/>
      <c r="AV681" s="93"/>
      <c r="AW681" s="83"/>
      <c r="AX681" s="83"/>
      <c r="AY681" s="83"/>
      <c r="AZ681" s="83"/>
      <c r="BA681" s="83"/>
      <c r="BB681" s="83"/>
      <c r="BC681" s="54"/>
      <c r="BD681" s="54" t="str">
        <f t="shared" si="1"/>
        <v/>
      </c>
      <c r="BE681" s="67"/>
      <c r="BF681" s="67"/>
      <c r="BG681" s="67"/>
      <c r="BH681" s="67"/>
      <c r="BI681" s="67"/>
      <c r="BJ681" s="67"/>
      <c r="BK681" s="67"/>
      <c r="BL681" s="67"/>
      <c r="BM681" s="67"/>
      <c r="BN681" s="100"/>
      <c r="BO681" s="102"/>
      <c r="BP681" s="67"/>
      <c r="BQ681" s="79"/>
      <c r="BR681" s="67"/>
      <c r="BS681" s="102"/>
      <c r="BT681" s="106"/>
      <c r="BU681" s="107"/>
      <c r="BV681" s="108" t="str">
        <f t="shared" si="17"/>
        <v/>
      </c>
      <c r="BW681" s="108" t="str">
        <f t="shared" si="16"/>
        <v/>
      </c>
      <c r="BX681" s="102" t="str">
        <f t="shared" si="15"/>
        <v/>
      </c>
      <c r="BY681" s="107" t="str">
        <f t="shared" si="5"/>
        <v/>
      </c>
      <c r="BZ681" s="107" t="str">
        <f t="array" ref="BZ681">IF($A681&lt;&gt;"",INDEX(LISTA!$M$2:$N$27,MATCH($BC681,LISTA!$N$2:$N$27,0),1),"")</f>
        <v/>
      </c>
      <c r="CA681" s="67" t="str">
        <f t="shared" si="6"/>
        <v/>
      </c>
      <c r="CB681" s="114" t="str">
        <f t="shared" si="7"/>
        <v/>
      </c>
      <c r="CC681" s="114"/>
    </row>
    <row r="682" ht="22.5" customHeight="1">
      <c r="A682" s="59"/>
      <c r="B682" s="115"/>
      <c r="C682" s="54"/>
      <c r="D682" s="56"/>
      <c r="E682" s="69"/>
      <c r="F682" s="73"/>
      <c r="G682" s="79"/>
      <c r="H682" s="79"/>
      <c r="I682" s="67"/>
      <c r="J682" s="79"/>
      <c r="K682" s="67"/>
      <c r="L682" s="79"/>
      <c r="M682" s="83"/>
      <c r="N682" s="78"/>
      <c r="O682" s="80"/>
      <c r="P682" s="70"/>
      <c r="Q682" s="54"/>
      <c r="R682" s="67"/>
      <c r="S682" s="67"/>
      <c r="T682" s="54"/>
      <c r="U682" s="86"/>
      <c r="V682" s="54"/>
      <c r="W682" s="86"/>
      <c r="X682" s="54"/>
      <c r="Y682" s="78"/>
      <c r="Z682" s="54"/>
      <c r="AA682" s="70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54"/>
      <c r="AR682" s="83"/>
      <c r="AS682" s="83"/>
      <c r="AT682" s="93"/>
      <c r="AU682" s="93"/>
      <c r="AV682" s="93"/>
      <c r="AW682" s="83"/>
      <c r="AX682" s="83"/>
      <c r="AY682" s="83"/>
      <c r="AZ682" s="83"/>
      <c r="BA682" s="83"/>
      <c r="BB682" s="83"/>
      <c r="BC682" s="54"/>
      <c r="BD682" s="54" t="str">
        <f t="shared" si="1"/>
        <v/>
      </c>
      <c r="BE682" s="67"/>
      <c r="BF682" s="67"/>
      <c r="BG682" s="67"/>
      <c r="BH682" s="67"/>
      <c r="BI682" s="67"/>
      <c r="BJ682" s="67"/>
      <c r="BK682" s="67"/>
      <c r="BL682" s="67"/>
      <c r="BM682" s="67"/>
      <c r="BN682" s="100"/>
      <c r="BO682" s="102"/>
      <c r="BP682" s="67"/>
      <c r="BQ682" s="79"/>
      <c r="BR682" s="67"/>
      <c r="BS682" s="102"/>
      <c r="BT682" s="106"/>
      <c r="BU682" s="107"/>
      <c r="BV682" s="108" t="str">
        <f t="shared" si="17"/>
        <v/>
      </c>
      <c r="BW682" s="108" t="str">
        <f t="shared" si="16"/>
        <v/>
      </c>
      <c r="BX682" s="102" t="str">
        <f t="shared" si="15"/>
        <v/>
      </c>
      <c r="BY682" s="107" t="str">
        <f t="shared" si="5"/>
        <v/>
      </c>
      <c r="BZ682" s="107" t="str">
        <f t="array" ref="BZ682">IF($A682&lt;&gt;"",INDEX(LISTA!$M$2:$N$27,MATCH($BC682,LISTA!$N$2:$N$27,0),1),"")</f>
        <v/>
      </c>
      <c r="CA682" s="67" t="str">
        <f t="shared" si="6"/>
        <v/>
      </c>
      <c r="CB682" s="114" t="str">
        <f t="shared" si="7"/>
        <v/>
      </c>
      <c r="CC682" s="114"/>
    </row>
    <row r="683" ht="22.5" customHeight="1">
      <c r="A683" s="59"/>
      <c r="B683" s="115"/>
      <c r="C683" s="54"/>
      <c r="D683" s="56"/>
      <c r="E683" s="69"/>
      <c r="F683" s="73"/>
      <c r="G683" s="79"/>
      <c r="H683" s="79"/>
      <c r="I683" s="67"/>
      <c r="J683" s="79"/>
      <c r="K683" s="67"/>
      <c r="L683" s="79"/>
      <c r="M683" s="83"/>
      <c r="N683" s="78"/>
      <c r="O683" s="80"/>
      <c r="P683" s="70"/>
      <c r="Q683" s="54"/>
      <c r="R683" s="67"/>
      <c r="S683" s="67"/>
      <c r="T683" s="54"/>
      <c r="U683" s="86"/>
      <c r="V683" s="54"/>
      <c r="W683" s="86"/>
      <c r="X683" s="54"/>
      <c r="Y683" s="78"/>
      <c r="Z683" s="54"/>
      <c r="AA683" s="70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54"/>
      <c r="AR683" s="83"/>
      <c r="AS683" s="83"/>
      <c r="AT683" s="93"/>
      <c r="AU683" s="93"/>
      <c r="AV683" s="93"/>
      <c r="AW683" s="83"/>
      <c r="AX683" s="83"/>
      <c r="AY683" s="83"/>
      <c r="AZ683" s="83"/>
      <c r="BA683" s="83"/>
      <c r="BB683" s="83"/>
      <c r="BC683" s="54"/>
      <c r="BD683" s="54" t="str">
        <f t="shared" si="1"/>
        <v/>
      </c>
      <c r="BE683" s="67"/>
      <c r="BF683" s="67"/>
      <c r="BG683" s="67"/>
      <c r="BH683" s="67"/>
      <c r="BI683" s="67"/>
      <c r="BJ683" s="67"/>
      <c r="BK683" s="67"/>
      <c r="BL683" s="67"/>
      <c r="BM683" s="67"/>
      <c r="BN683" s="100"/>
      <c r="BO683" s="102"/>
      <c r="BP683" s="67"/>
      <c r="BQ683" s="79"/>
      <c r="BR683" s="67"/>
      <c r="BS683" s="102"/>
      <c r="BT683" s="106"/>
      <c r="BU683" s="107"/>
      <c r="BV683" s="108" t="str">
        <f t="shared" si="17"/>
        <v/>
      </c>
      <c r="BW683" s="108" t="str">
        <f t="shared" si="16"/>
        <v/>
      </c>
      <c r="BX683" s="102" t="str">
        <f t="shared" si="15"/>
        <v/>
      </c>
      <c r="BY683" s="107" t="str">
        <f t="shared" si="5"/>
        <v/>
      </c>
      <c r="BZ683" s="107" t="str">
        <f t="array" ref="BZ683">IF($A683&lt;&gt;"",INDEX(LISTA!$M$2:$N$27,MATCH($BC683,LISTA!$N$2:$N$27,0),1),"")</f>
        <v/>
      </c>
      <c r="CA683" s="67" t="str">
        <f t="shared" si="6"/>
        <v/>
      </c>
      <c r="CB683" s="114" t="str">
        <f t="shared" si="7"/>
        <v/>
      </c>
      <c r="CC683" s="114"/>
    </row>
    <row r="684" ht="22.5" customHeight="1">
      <c r="A684" s="59"/>
      <c r="B684" s="115"/>
      <c r="C684" s="54"/>
      <c r="D684" s="56"/>
      <c r="E684" s="69"/>
      <c r="F684" s="73"/>
      <c r="G684" s="79"/>
      <c r="H684" s="79"/>
      <c r="I684" s="67"/>
      <c r="J684" s="79"/>
      <c r="K684" s="67"/>
      <c r="L684" s="79"/>
      <c r="M684" s="83"/>
      <c r="N684" s="78"/>
      <c r="O684" s="80"/>
      <c r="P684" s="70"/>
      <c r="Q684" s="54"/>
      <c r="R684" s="67"/>
      <c r="S684" s="67"/>
      <c r="T684" s="54"/>
      <c r="U684" s="86"/>
      <c r="V684" s="54"/>
      <c r="W684" s="86"/>
      <c r="X684" s="54"/>
      <c r="Y684" s="78"/>
      <c r="Z684" s="54"/>
      <c r="AA684" s="70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54"/>
      <c r="AR684" s="83"/>
      <c r="AS684" s="83"/>
      <c r="AT684" s="93"/>
      <c r="AU684" s="93"/>
      <c r="AV684" s="93"/>
      <c r="AW684" s="83"/>
      <c r="AX684" s="83"/>
      <c r="AY684" s="83"/>
      <c r="AZ684" s="83"/>
      <c r="BA684" s="83"/>
      <c r="BB684" s="83"/>
      <c r="BC684" s="54"/>
      <c r="BD684" s="54" t="str">
        <f t="shared" si="1"/>
        <v/>
      </c>
      <c r="BE684" s="67"/>
      <c r="BF684" s="67"/>
      <c r="BG684" s="67"/>
      <c r="BH684" s="67"/>
      <c r="BI684" s="67"/>
      <c r="BJ684" s="67"/>
      <c r="BK684" s="67"/>
      <c r="BL684" s="67"/>
      <c r="BM684" s="67"/>
      <c r="BN684" s="100"/>
      <c r="BO684" s="102"/>
      <c r="BP684" s="67"/>
      <c r="BQ684" s="79"/>
      <c r="BR684" s="67"/>
      <c r="BS684" s="102"/>
      <c r="BT684" s="106"/>
      <c r="BU684" s="107"/>
      <c r="BV684" s="108" t="str">
        <f t="shared" si="17"/>
        <v/>
      </c>
      <c r="BW684" s="108" t="str">
        <f t="shared" si="16"/>
        <v/>
      </c>
      <c r="BX684" s="102" t="str">
        <f t="shared" si="15"/>
        <v/>
      </c>
      <c r="BY684" s="107" t="str">
        <f t="shared" si="5"/>
        <v/>
      </c>
      <c r="BZ684" s="107" t="str">
        <f t="array" ref="BZ684">IF($A684&lt;&gt;"",INDEX(LISTA!$M$2:$N$27,MATCH($BC684,LISTA!$N$2:$N$27,0),1),"")</f>
        <v/>
      </c>
      <c r="CA684" s="67" t="str">
        <f t="shared" si="6"/>
        <v/>
      </c>
      <c r="CB684" s="114" t="str">
        <f t="shared" si="7"/>
        <v/>
      </c>
      <c r="CC684" s="114"/>
    </row>
    <row r="685" ht="22.5" customHeight="1">
      <c r="A685" s="59"/>
      <c r="B685" s="115"/>
      <c r="C685" s="54"/>
      <c r="D685" s="56"/>
      <c r="E685" s="69"/>
      <c r="F685" s="73"/>
      <c r="G685" s="79"/>
      <c r="H685" s="79"/>
      <c r="I685" s="67"/>
      <c r="J685" s="79"/>
      <c r="K685" s="67"/>
      <c r="L685" s="79"/>
      <c r="M685" s="83"/>
      <c r="N685" s="78"/>
      <c r="O685" s="80"/>
      <c r="P685" s="70"/>
      <c r="Q685" s="54"/>
      <c r="R685" s="67"/>
      <c r="S685" s="67"/>
      <c r="T685" s="54"/>
      <c r="U685" s="86"/>
      <c r="V685" s="54"/>
      <c r="W685" s="86"/>
      <c r="X685" s="54"/>
      <c r="Y685" s="78"/>
      <c r="Z685" s="54"/>
      <c r="AA685" s="70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54"/>
      <c r="AR685" s="83"/>
      <c r="AS685" s="83"/>
      <c r="AT685" s="93"/>
      <c r="AU685" s="93"/>
      <c r="AV685" s="93"/>
      <c r="AW685" s="83"/>
      <c r="AX685" s="83"/>
      <c r="AY685" s="83"/>
      <c r="AZ685" s="83"/>
      <c r="BA685" s="83"/>
      <c r="BB685" s="83"/>
      <c r="BC685" s="54"/>
      <c r="BD685" s="54" t="str">
        <f t="shared" si="1"/>
        <v/>
      </c>
      <c r="BE685" s="67"/>
      <c r="BF685" s="67"/>
      <c r="BG685" s="67"/>
      <c r="BH685" s="67"/>
      <c r="BI685" s="67"/>
      <c r="BJ685" s="67"/>
      <c r="BK685" s="67"/>
      <c r="BL685" s="67"/>
      <c r="BM685" s="67"/>
      <c r="BN685" s="100"/>
      <c r="BO685" s="102"/>
      <c r="BP685" s="67"/>
      <c r="BQ685" s="79"/>
      <c r="BR685" s="67"/>
      <c r="BS685" s="102"/>
      <c r="BT685" s="106"/>
      <c r="BU685" s="107"/>
      <c r="BV685" s="108" t="str">
        <f t="shared" si="17"/>
        <v/>
      </c>
      <c r="BW685" s="108" t="str">
        <f t="shared" si="16"/>
        <v/>
      </c>
      <c r="BX685" s="102" t="str">
        <f t="shared" si="15"/>
        <v/>
      </c>
      <c r="BY685" s="107" t="str">
        <f t="shared" si="5"/>
        <v/>
      </c>
      <c r="BZ685" s="107" t="str">
        <f t="array" ref="BZ685">IF($A685&lt;&gt;"",INDEX(LISTA!$M$2:$N$27,MATCH($BC685,LISTA!$N$2:$N$27,0),1),"")</f>
        <v/>
      </c>
      <c r="CA685" s="67" t="str">
        <f t="shared" si="6"/>
        <v/>
      </c>
      <c r="CB685" s="114" t="str">
        <f t="shared" si="7"/>
        <v/>
      </c>
      <c r="CC685" s="114"/>
    </row>
    <row r="686" ht="22.5" customHeight="1">
      <c r="A686" s="59"/>
      <c r="B686" s="115"/>
      <c r="C686" s="54"/>
      <c r="D686" s="56"/>
      <c r="E686" s="69"/>
      <c r="F686" s="73"/>
      <c r="G686" s="79"/>
      <c r="H686" s="79"/>
      <c r="I686" s="67"/>
      <c r="J686" s="79"/>
      <c r="K686" s="67"/>
      <c r="L686" s="79"/>
      <c r="M686" s="83"/>
      <c r="N686" s="78"/>
      <c r="O686" s="80"/>
      <c r="P686" s="70"/>
      <c r="Q686" s="54"/>
      <c r="R686" s="67"/>
      <c r="S686" s="67"/>
      <c r="T686" s="54"/>
      <c r="U686" s="86"/>
      <c r="V686" s="54"/>
      <c r="W686" s="86"/>
      <c r="X686" s="54"/>
      <c r="Y686" s="78"/>
      <c r="Z686" s="54"/>
      <c r="AA686" s="70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54"/>
      <c r="AR686" s="83"/>
      <c r="AS686" s="83"/>
      <c r="AT686" s="93"/>
      <c r="AU686" s="93"/>
      <c r="AV686" s="93"/>
      <c r="AW686" s="83"/>
      <c r="AX686" s="83"/>
      <c r="AY686" s="83"/>
      <c r="AZ686" s="83"/>
      <c r="BA686" s="83"/>
      <c r="BB686" s="83"/>
      <c r="BC686" s="54"/>
      <c r="BD686" s="54" t="str">
        <f t="shared" si="1"/>
        <v/>
      </c>
      <c r="BE686" s="67"/>
      <c r="BF686" s="67"/>
      <c r="BG686" s="67"/>
      <c r="BH686" s="67"/>
      <c r="BI686" s="67"/>
      <c r="BJ686" s="67"/>
      <c r="BK686" s="67"/>
      <c r="BL686" s="67"/>
      <c r="BM686" s="67"/>
      <c r="BN686" s="100"/>
      <c r="BO686" s="102"/>
      <c r="BP686" s="67"/>
      <c r="BQ686" s="79"/>
      <c r="BR686" s="67"/>
      <c r="BS686" s="102"/>
      <c r="BT686" s="106"/>
      <c r="BU686" s="107"/>
      <c r="BV686" s="108" t="str">
        <f t="shared" si="17"/>
        <v/>
      </c>
      <c r="BW686" s="108" t="str">
        <f t="shared" si="16"/>
        <v/>
      </c>
      <c r="BX686" s="102" t="str">
        <f t="shared" si="15"/>
        <v/>
      </c>
      <c r="BY686" s="107" t="str">
        <f t="shared" si="5"/>
        <v/>
      </c>
      <c r="BZ686" s="107" t="str">
        <f t="array" ref="BZ686">IF($A686&lt;&gt;"",INDEX(LISTA!$M$2:$N$27,MATCH($BC686,LISTA!$N$2:$N$27,0),1),"")</f>
        <v/>
      </c>
      <c r="CA686" s="67" t="str">
        <f t="shared" si="6"/>
        <v/>
      </c>
      <c r="CB686" s="114" t="str">
        <f t="shared" si="7"/>
        <v/>
      </c>
      <c r="CC686" s="114"/>
    </row>
    <row r="687" ht="22.5" customHeight="1">
      <c r="A687" s="59"/>
      <c r="B687" s="115"/>
      <c r="C687" s="54"/>
      <c r="D687" s="56"/>
      <c r="E687" s="69"/>
      <c r="F687" s="73"/>
      <c r="G687" s="79"/>
      <c r="H687" s="79"/>
      <c r="I687" s="67"/>
      <c r="J687" s="79"/>
      <c r="K687" s="67"/>
      <c r="L687" s="79"/>
      <c r="M687" s="83"/>
      <c r="N687" s="78"/>
      <c r="O687" s="80"/>
      <c r="P687" s="70"/>
      <c r="Q687" s="54"/>
      <c r="R687" s="67"/>
      <c r="S687" s="67"/>
      <c r="T687" s="54"/>
      <c r="U687" s="86"/>
      <c r="V687" s="54"/>
      <c r="W687" s="86"/>
      <c r="X687" s="54"/>
      <c r="Y687" s="78"/>
      <c r="Z687" s="54"/>
      <c r="AA687" s="70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54"/>
      <c r="AR687" s="83"/>
      <c r="AS687" s="83"/>
      <c r="AT687" s="93"/>
      <c r="AU687" s="93"/>
      <c r="AV687" s="93"/>
      <c r="AW687" s="83"/>
      <c r="AX687" s="83"/>
      <c r="AY687" s="83"/>
      <c r="AZ687" s="83"/>
      <c r="BA687" s="83"/>
      <c r="BB687" s="83"/>
      <c r="BC687" s="54"/>
      <c r="BD687" s="54" t="str">
        <f t="shared" si="1"/>
        <v/>
      </c>
      <c r="BE687" s="67"/>
      <c r="BF687" s="67"/>
      <c r="BG687" s="67"/>
      <c r="BH687" s="67"/>
      <c r="BI687" s="67"/>
      <c r="BJ687" s="67"/>
      <c r="BK687" s="67"/>
      <c r="BL687" s="67"/>
      <c r="BM687" s="67"/>
      <c r="BN687" s="100"/>
      <c r="BO687" s="102"/>
      <c r="BP687" s="67"/>
      <c r="BQ687" s="79"/>
      <c r="BR687" s="67"/>
      <c r="BS687" s="102"/>
      <c r="BT687" s="106"/>
      <c r="BU687" s="107"/>
      <c r="BV687" s="108" t="str">
        <f t="shared" si="17"/>
        <v/>
      </c>
      <c r="BW687" s="108" t="str">
        <f t="shared" si="16"/>
        <v/>
      </c>
      <c r="BX687" s="102" t="str">
        <f t="shared" si="15"/>
        <v/>
      </c>
      <c r="BY687" s="107" t="str">
        <f t="shared" si="5"/>
        <v/>
      </c>
      <c r="BZ687" s="107" t="str">
        <f t="array" ref="BZ687">IF($A687&lt;&gt;"",INDEX(LISTA!$M$2:$N$27,MATCH($BC687,LISTA!$N$2:$N$27,0),1),"")</f>
        <v/>
      </c>
      <c r="CA687" s="67" t="str">
        <f t="shared" si="6"/>
        <v/>
      </c>
      <c r="CB687" s="114" t="str">
        <f t="shared" si="7"/>
        <v/>
      </c>
      <c r="CC687" s="114"/>
    </row>
    <row r="688" ht="22.5" customHeight="1">
      <c r="A688" s="59"/>
      <c r="B688" s="115"/>
      <c r="C688" s="54"/>
      <c r="D688" s="56"/>
      <c r="E688" s="69"/>
      <c r="F688" s="73"/>
      <c r="G688" s="79"/>
      <c r="H688" s="79"/>
      <c r="I688" s="67"/>
      <c r="J688" s="79"/>
      <c r="K688" s="67"/>
      <c r="L688" s="79"/>
      <c r="M688" s="83"/>
      <c r="N688" s="78"/>
      <c r="O688" s="80"/>
      <c r="P688" s="70"/>
      <c r="Q688" s="54"/>
      <c r="R688" s="67"/>
      <c r="S688" s="67"/>
      <c r="T688" s="54"/>
      <c r="U688" s="86"/>
      <c r="V688" s="54"/>
      <c r="W688" s="86"/>
      <c r="X688" s="54"/>
      <c r="Y688" s="78"/>
      <c r="Z688" s="54"/>
      <c r="AA688" s="70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54"/>
      <c r="AR688" s="83"/>
      <c r="AS688" s="83"/>
      <c r="AT688" s="93"/>
      <c r="AU688" s="93"/>
      <c r="AV688" s="93"/>
      <c r="AW688" s="83"/>
      <c r="AX688" s="83"/>
      <c r="AY688" s="83"/>
      <c r="AZ688" s="83"/>
      <c r="BA688" s="83"/>
      <c r="BB688" s="83"/>
      <c r="BC688" s="54"/>
      <c r="BD688" s="54" t="str">
        <f t="shared" si="1"/>
        <v/>
      </c>
      <c r="BE688" s="67"/>
      <c r="BF688" s="67"/>
      <c r="BG688" s="67"/>
      <c r="BH688" s="67"/>
      <c r="BI688" s="67"/>
      <c r="BJ688" s="67"/>
      <c r="BK688" s="67"/>
      <c r="BL688" s="67"/>
      <c r="BM688" s="67"/>
      <c r="BN688" s="100"/>
      <c r="BO688" s="102"/>
      <c r="BP688" s="67"/>
      <c r="BQ688" s="79"/>
      <c r="BR688" s="67"/>
      <c r="BS688" s="102"/>
      <c r="BT688" s="106"/>
      <c r="BU688" s="107"/>
      <c r="BV688" s="108" t="str">
        <f t="shared" si="17"/>
        <v/>
      </c>
      <c r="BW688" s="108" t="str">
        <f t="shared" si="16"/>
        <v/>
      </c>
      <c r="BX688" s="102" t="str">
        <f t="shared" si="15"/>
        <v/>
      </c>
      <c r="BY688" s="107" t="str">
        <f t="shared" si="5"/>
        <v/>
      </c>
      <c r="BZ688" s="107" t="str">
        <f t="array" ref="BZ688">IF($A688&lt;&gt;"",INDEX(LISTA!$M$2:$N$27,MATCH($BC688,LISTA!$N$2:$N$27,0),1),"")</f>
        <v/>
      </c>
      <c r="CA688" s="67" t="str">
        <f t="shared" si="6"/>
        <v/>
      </c>
      <c r="CB688" s="114" t="str">
        <f t="shared" si="7"/>
        <v/>
      </c>
      <c r="CC688" s="114"/>
    </row>
    <row r="689" ht="22.5" customHeight="1">
      <c r="A689" s="59"/>
      <c r="B689" s="115"/>
      <c r="C689" s="54"/>
      <c r="D689" s="56"/>
      <c r="E689" s="69"/>
      <c r="F689" s="73"/>
      <c r="G689" s="79"/>
      <c r="H689" s="79"/>
      <c r="I689" s="67"/>
      <c r="J689" s="79"/>
      <c r="K689" s="67"/>
      <c r="L689" s="79"/>
      <c r="M689" s="83"/>
      <c r="N689" s="78"/>
      <c r="O689" s="80"/>
      <c r="P689" s="70"/>
      <c r="Q689" s="54"/>
      <c r="R689" s="67"/>
      <c r="S689" s="67"/>
      <c r="T689" s="54"/>
      <c r="U689" s="86"/>
      <c r="V689" s="54"/>
      <c r="W689" s="86"/>
      <c r="X689" s="54"/>
      <c r="Y689" s="78"/>
      <c r="Z689" s="54"/>
      <c r="AA689" s="70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54"/>
      <c r="AR689" s="83"/>
      <c r="AS689" s="83"/>
      <c r="AT689" s="93"/>
      <c r="AU689" s="93"/>
      <c r="AV689" s="93"/>
      <c r="AW689" s="83"/>
      <c r="AX689" s="83"/>
      <c r="AY689" s="83"/>
      <c r="AZ689" s="83"/>
      <c r="BA689" s="83"/>
      <c r="BB689" s="83"/>
      <c r="BC689" s="54"/>
      <c r="BD689" s="54" t="str">
        <f t="shared" si="1"/>
        <v/>
      </c>
      <c r="BE689" s="67"/>
      <c r="BF689" s="67"/>
      <c r="BG689" s="67"/>
      <c r="BH689" s="67"/>
      <c r="BI689" s="67"/>
      <c r="BJ689" s="67"/>
      <c r="BK689" s="67"/>
      <c r="BL689" s="67"/>
      <c r="BM689" s="67"/>
      <c r="BN689" s="100"/>
      <c r="BO689" s="102"/>
      <c r="BP689" s="67"/>
      <c r="BQ689" s="79"/>
      <c r="BR689" s="67"/>
      <c r="BS689" s="102"/>
      <c r="BT689" s="106"/>
      <c r="BU689" s="107"/>
      <c r="BV689" s="108" t="str">
        <f t="shared" si="17"/>
        <v/>
      </c>
      <c r="BW689" s="108" t="str">
        <f t="shared" si="16"/>
        <v/>
      </c>
      <c r="BX689" s="102" t="str">
        <f t="shared" si="15"/>
        <v/>
      </c>
      <c r="BY689" s="107" t="str">
        <f t="shared" si="5"/>
        <v/>
      </c>
      <c r="BZ689" s="107" t="str">
        <f t="array" ref="BZ689">IF($A689&lt;&gt;"",INDEX(LISTA!$M$2:$N$27,MATCH($BC689,LISTA!$N$2:$N$27,0),1),"")</f>
        <v/>
      </c>
      <c r="CA689" s="67" t="str">
        <f t="shared" si="6"/>
        <v/>
      </c>
      <c r="CB689" s="114" t="str">
        <f t="shared" si="7"/>
        <v/>
      </c>
      <c r="CC689" s="114"/>
    </row>
    <row r="690" ht="22.5" customHeight="1">
      <c r="A690" s="59"/>
      <c r="B690" s="115"/>
      <c r="C690" s="54"/>
      <c r="D690" s="56"/>
      <c r="E690" s="69"/>
      <c r="F690" s="73"/>
      <c r="G690" s="79"/>
      <c r="H690" s="79"/>
      <c r="I690" s="67"/>
      <c r="J690" s="79"/>
      <c r="K690" s="67"/>
      <c r="L690" s="79"/>
      <c r="M690" s="83"/>
      <c r="N690" s="78"/>
      <c r="O690" s="80"/>
      <c r="P690" s="70"/>
      <c r="Q690" s="54"/>
      <c r="R690" s="67"/>
      <c r="S690" s="67"/>
      <c r="T690" s="54"/>
      <c r="U690" s="86"/>
      <c r="V690" s="54"/>
      <c r="W690" s="86"/>
      <c r="X690" s="54"/>
      <c r="Y690" s="78"/>
      <c r="Z690" s="54"/>
      <c r="AA690" s="70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54"/>
      <c r="AR690" s="83"/>
      <c r="AS690" s="83"/>
      <c r="AT690" s="93"/>
      <c r="AU690" s="93"/>
      <c r="AV690" s="93"/>
      <c r="AW690" s="83"/>
      <c r="AX690" s="83"/>
      <c r="AY690" s="83"/>
      <c r="AZ690" s="83"/>
      <c r="BA690" s="83"/>
      <c r="BB690" s="83"/>
      <c r="BC690" s="54"/>
      <c r="BD690" s="54" t="str">
        <f t="shared" si="1"/>
        <v/>
      </c>
      <c r="BE690" s="67"/>
      <c r="BF690" s="67"/>
      <c r="BG690" s="67"/>
      <c r="BH690" s="67"/>
      <c r="BI690" s="67"/>
      <c r="BJ690" s="67"/>
      <c r="BK690" s="67"/>
      <c r="BL690" s="67"/>
      <c r="BM690" s="67"/>
      <c r="BN690" s="100"/>
      <c r="BO690" s="102"/>
      <c r="BP690" s="67"/>
      <c r="BQ690" s="79"/>
      <c r="BR690" s="67"/>
      <c r="BS690" s="102"/>
      <c r="BT690" s="106"/>
      <c r="BU690" s="107"/>
      <c r="BV690" s="108" t="str">
        <f t="shared" si="17"/>
        <v/>
      </c>
      <c r="BW690" s="108" t="str">
        <f t="shared" si="16"/>
        <v/>
      </c>
      <c r="BX690" s="102" t="str">
        <f t="shared" si="15"/>
        <v/>
      </c>
      <c r="BY690" s="107" t="str">
        <f t="shared" si="5"/>
        <v/>
      </c>
      <c r="BZ690" s="107" t="str">
        <f t="array" ref="BZ690">IF($A690&lt;&gt;"",INDEX(LISTA!$M$2:$N$27,MATCH($BC690,LISTA!$N$2:$N$27,0),1),"")</f>
        <v/>
      </c>
      <c r="CA690" s="67" t="str">
        <f t="shared" si="6"/>
        <v/>
      </c>
      <c r="CB690" s="114" t="str">
        <f t="shared" si="7"/>
        <v/>
      </c>
      <c r="CC690" s="114"/>
    </row>
    <row r="691" ht="22.5" customHeight="1">
      <c r="A691" s="59"/>
      <c r="B691" s="115"/>
      <c r="C691" s="54"/>
      <c r="D691" s="56"/>
      <c r="E691" s="69"/>
      <c r="F691" s="73"/>
      <c r="G691" s="79"/>
      <c r="H691" s="79"/>
      <c r="I691" s="67"/>
      <c r="J691" s="79"/>
      <c r="K691" s="67"/>
      <c r="L691" s="79"/>
      <c r="M691" s="83"/>
      <c r="N691" s="78"/>
      <c r="O691" s="80"/>
      <c r="P691" s="70"/>
      <c r="Q691" s="54"/>
      <c r="R691" s="67"/>
      <c r="S691" s="67"/>
      <c r="T691" s="54"/>
      <c r="U691" s="86"/>
      <c r="V691" s="54"/>
      <c r="W691" s="86"/>
      <c r="X691" s="54"/>
      <c r="Y691" s="78"/>
      <c r="Z691" s="54"/>
      <c r="AA691" s="70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54"/>
      <c r="AR691" s="83"/>
      <c r="AS691" s="83"/>
      <c r="AT691" s="93"/>
      <c r="AU691" s="93"/>
      <c r="AV691" s="93"/>
      <c r="AW691" s="83"/>
      <c r="AX691" s="83"/>
      <c r="AY691" s="83"/>
      <c r="AZ691" s="83"/>
      <c r="BA691" s="83"/>
      <c r="BB691" s="83"/>
      <c r="BC691" s="54"/>
      <c r="BD691" s="54" t="str">
        <f t="shared" si="1"/>
        <v/>
      </c>
      <c r="BE691" s="67"/>
      <c r="BF691" s="67"/>
      <c r="BG691" s="67"/>
      <c r="BH691" s="67"/>
      <c r="BI691" s="67"/>
      <c r="BJ691" s="67"/>
      <c r="BK691" s="67"/>
      <c r="BL691" s="67"/>
      <c r="BM691" s="67"/>
      <c r="BN691" s="100"/>
      <c r="BO691" s="102"/>
      <c r="BP691" s="67"/>
      <c r="BQ691" s="79"/>
      <c r="BR691" s="67"/>
      <c r="BS691" s="102"/>
      <c r="BT691" s="106"/>
      <c r="BU691" s="107"/>
      <c r="BV691" s="108" t="str">
        <f t="shared" si="17"/>
        <v/>
      </c>
      <c r="BW691" s="108" t="str">
        <f t="shared" si="16"/>
        <v/>
      </c>
      <c r="BX691" s="102" t="str">
        <f t="shared" si="15"/>
        <v/>
      </c>
      <c r="BY691" s="107" t="str">
        <f t="shared" si="5"/>
        <v/>
      </c>
      <c r="BZ691" s="107" t="str">
        <f t="array" ref="BZ691">IF($A691&lt;&gt;"",INDEX(LISTA!$M$2:$N$27,MATCH($BC691,LISTA!$N$2:$N$27,0),1),"")</f>
        <v/>
      </c>
      <c r="CA691" s="67" t="str">
        <f t="shared" si="6"/>
        <v/>
      </c>
      <c r="CB691" s="114" t="str">
        <f t="shared" si="7"/>
        <v/>
      </c>
      <c r="CC691" s="114"/>
    </row>
    <row r="692" ht="22.5" customHeight="1">
      <c r="A692" s="59"/>
      <c r="B692" s="115"/>
      <c r="C692" s="54"/>
      <c r="D692" s="56"/>
      <c r="E692" s="69"/>
      <c r="F692" s="73"/>
      <c r="G692" s="79"/>
      <c r="H692" s="79"/>
      <c r="I692" s="67"/>
      <c r="J692" s="79"/>
      <c r="K692" s="67"/>
      <c r="L692" s="79"/>
      <c r="M692" s="83"/>
      <c r="N692" s="78"/>
      <c r="O692" s="80"/>
      <c r="P692" s="70"/>
      <c r="Q692" s="54"/>
      <c r="R692" s="67"/>
      <c r="S692" s="67"/>
      <c r="T692" s="54"/>
      <c r="U692" s="86"/>
      <c r="V692" s="54"/>
      <c r="W692" s="86"/>
      <c r="X692" s="54"/>
      <c r="Y692" s="78"/>
      <c r="Z692" s="54"/>
      <c r="AA692" s="70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54"/>
      <c r="AR692" s="83"/>
      <c r="AS692" s="83"/>
      <c r="AT692" s="93"/>
      <c r="AU692" s="93"/>
      <c r="AV692" s="93"/>
      <c r="AW692" s="83"/>
      <c r="AX692" s="83"/>
      <c r="AY692" s="83"/>
      <c r="AZ692" s="83"/>
      <c r="BA692" s="83"/>
      <c r="BB692" s="83"/>
      <c r="BC692" s="54"/>
      <c r="BD692" s="54" t="str">
        <f t="shared" si="1"/>
        <v/>
      </c>
      <c r="BE692" s="67"/>
      <c r="BF692" s="67"/>
      <c r="BG692" s="67"/>
      <c r="BH692" s="67"/>
      <c r="BI692" s="67"/>
      <c r="BJ692" s="67"/>
      <c r="BK692" s="67"/>
      <c r="BL692" s="67"/>
      <c r="BM692" s="67"/>
      <c r="BN692" s="100"/>
      <c r="BO692" s="102"/>
      <c r="BP692" s="67"/>
      <c r="BQ692" s="79"/>
      <c r="BR692" s="67"/>
      <c r="BS692" s="102"/>
      <c r="BT692" s="106"/>
      <c r="BU692" s="107"/>
      <c r="BV692" s="108" t="str">
        <f t="shared" si="17"/>
        <v/>
      </c>
      <c r="BW692" s="108" t="str">
        <f t="shared" si="16"/>
        <v/>
      </c>
      <c r="BX692" s="102" t="str">
        <f t="shared" si="15"/>
        <v/>
      </c>
      <c r="BY692" s="107" t="str">
        <f t="shared" si="5"/>
        <v/>
      </c>
      <c r="BZ692" s="107" t="str">
        <f t="array" ref="BZ692">IF($A692&lt;&gt;"",INDEX(LISTA!$M$2:$N$27,MATCH($BC692,LISTA!$N$2:$N$27,0),1),"")</f>
        <v/>
      </c>
      <c r="CA692" s="67" t="str">
        <f t="shared" si="6"/>
        <v/>
      </c>
      <c r="CB692" s="114" t="str">
        <f t="shared" si="7"/>
        <v/>
      </c>
      <c r="CC692" s="114"/>
    </row>
    <row r="693" ht="22.5" customHeight="1">
      <c r="A693" s="59"/>
      <c r="B693" s="115"/>
      <c r="C693" s="54"/>
      <c r="D693" s="56"/>
      <c r="E693" s="69"/>
      <c r="F693" s="73"/>
      <c r="G693" s="79"/>
      <c r="H693" s="79"/>
      <c r="I693" s="67"/>
      <c r="J693" s="79"/>
      <c r="K693" s="67"/>
      <c r="L693" s="79"/>
      <c r="M693" s="83"/>
      <c r="N693" s="78"/>
      <c r="O693" s="80"/>
      <c r="P693" s="70"/>
      <c r="Q693" s="54"/>
      <c r="R693" s="67"/>
      <c r="S693" s="67"/>
      <c r="T693" s="54"/>
      <c r="U693" s="86"/>
      <c r="V693" s="54"/>
      <c r="W693" s="86"/>
      <c r="X693" s="54"/>
      <c r="Y693" s="78"/>
      <c r="Z693" s="54"/>
      <c r="AA693" s="70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54"/>
      <c r="AR693" s="83"/>
      <c r="AS693" s="83"/>
      <c r="AT693" s="93"/>
      <c r="AU693" s="93"/>
      <c r="AV693" s="93"/>
      <c r="AW693" s="83"/>
      <c r="AX693" s="83"/>
      <c r="AY693" s="83"/>
      <c r="AZ693" s="83"/>
      <c r="BA693" s="83"/>
      <c r="BB693" s="83"/>
      <c r="BC693" s="54"/>
      <c r="BD693" s="54" t="str">
        <f t="shared" si="1"/>
        <v/>
      </c>
      <c r="BE693" s="67"/>
      <c r="BF693" s="67"/>
      <c r="BG693" s="67"/>
      <c r="BH693" s="67"/>
      <c r="BI693" s="67"/>
      <c r="BJ693" s="67"/>
      <c r="BK693" s="67"/>
      <c r="BL693" s="67"/>
      <c r="BM693" s="67"/>
      <c r="BN693" s="100"/>
      <c r="BO693" s="102"/>
      <c r="BP693" s="67"/>
      <c r="BQ693" s="79"/>
      <c r="BR693" s="67"/>
      <c r="BS693" s="102"/>
      <c r="BT693" s="106"/>
      <c r="BU693" s="107"/>
      <c r="BV693" s="108" t="str">
        <f t="shared" si="17"/>
        <v/>
      </c>
      <c r="BW693" s="108" t="str">
        <f t="shared" si="16"/>
        <v/>
      </c>
      <c r="BX693" s="102" t="str">
        <f t="shared" si="15"/>
        <v/>
      </c>
      <c r="BY693" s="107" t="str">
        <f t="shared" si="5"/>
        <v/>
      </c>
      <c r="BZ693" s="107" t="str">
        <f t="array" ref="BZ693">IF($A693&lt;&gt;"",INDEX(LISTA!$M$2:$N$27,MATCH($BC693,LISTA!$N$2:$N$27,0),1),"")</f>
        <v/>
      </c>
      <c r="CA693" s="67" t="str">
        <f t="shared" si="6"/>
        <v/>
      </c>
      <c r="CB693" s="114" t="str">
        <f t="shared" si="7"/>
        <v/>
      </c>
      <c r="CC693" s="114"/>
    </row>
    <row r="694" ht="22.5" customHeight="1">
      <c r="A694" s="59"/>
      <c r="B694" s="115"/>
      <c r="C694" s="54"/>
      <c r="D694" s="56"/>
      <c r="E694" s="69"/>
      <c r="F694" s="73"/>
      <c r="G694" s="79"/>
      <c r="H694" s="79"/>
      <c r="I694" s="67"/>
      <c r="J694" s="79"/>
      <c r="K694" s="67"/>
      <c r="L694" s="79"/>
      <c r="M694" s="83"/>
      <c r="N694" s="78"/>
      <c r="O694" s="80"/>
      <c r="P694" s="70"/>
      <c r="Q694" s="54"/>
      <c r="R694" s="67"/>
      <c r="S694" s="67"/>
      <c r="T694" s="54"/>
      <c r="U694" s="86"/>
      <c r="V694" s="54"/>
      <c r="W694" s="86"/>
      <c r="X694" s="54"/>
      <c r="Y694" s="78"/>
      <c r="Z694" s="54"/>
      <c r="AA694" s="70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54"/>
      <c r="AR694" s="83"/>
      <c r="AS694" s="83"/>
      <c r="AT694" s="93"/>
      <c r="AU694" s="93"/>
      <c r="AV694" s="93"/>
      <c r="AW694" s="83"/>
      <c r="AX694" s="83"/>
      <c r="AY694" s="83"/>
      <c r="AZ694" s="83"/>
      <c r="BA694" s="83"/>
      <c r="BB694" s="83"/>
      <c r="BC694" s="54"/>
      <c r="BD694" s="54" t="str">
        <f t="shared" si="1"/>
        <v/>
      </c>
      <c r="BE694" s="67"/>
      <c r="BF694" s="67"/>
      <c r="BG694" s="67"/>
      <c r="BH694" s="67"/>
      <c r="BI694" s="67"/>
      <c r="BJ694" s="67"/>
      <c r="BK694" s="67"/>
      <c r="BL694" s="67"/>
      <c r="BM694" s="67"/>
      <c r="BN694" s="100"/>
      <c r="BO694" s="102"/>
      <c r="BP694" s="67"/>
      <c r="BQ694" s="79"/>
      <c r="BR694" s="67"/>
      <c r="BS694" s="102"/>
      <c r="BT694" s="106"/>
      <c r="BU694" s="107"/>
      <c r="BV694" s="108" t="str">
        <f t="shared" si="17"/>
        <v/>
      </c>
      <c r="BW694" s="108" t="str">
        <f t="shared" si="16"/>
        <v/>
      </c>
      <c r="BX694" s="102" t="str">
        <f t="shared" si="15"/>
        <v/>
      </c>
      <c r="BY694" s="107" t="str">
        <f t="shared" si="5"/>
        <v/>
      </c>
      <c r="BZ694" s="107" t="str">
        <f t="array" ref="BZ694">IF($A694&lt;&gt;"",INDEX(LISTA!$M$2:$N$27,MATCH($BC694,LISTA!$N$2:$N$27,0),1),"")</f>
        <v/>
      </c>
      <c r="CA694" s="67" t="str">
        <f t="shared" si="6"/>
        <v/>
      </c>
      <c r="CB694" s="114" t="str">
        <f t="shared" si="7"/>
        <v/>
      </c>
      <c r="CC694" s="114"/>
    </row>
    <row r="695" ht="22.5" customHeight="1">
      <c r="A695" s="59"/>
      <c r="B695" s="115"/>
      <c r="C695" s="54"/>
      <c r="D695" s="56"/>
      <c r="E695" s="69"/>
      <c r="F695" s="73"/>
      <c r="G695" s="79"/>
      <c r="H695" s="79"/>
      <c r="I695" s="67"/>
      <c r="J695" s="79"/>
      <c r="K695" s="67"/>
      <c r="L695" s="79"/>
      <c r="M695" s="83"/>
      <c r="N695" s="78"/>
      <c r="O695" s="80"/>
      <c r="P695" s="70"/>
      <c r="Q695" s="54"/>
      <c r="R695" s="67"/>
      <c r="S695" s="67"/>
      <c r="T695" s="54"/>
      <c r="U695" s="86"/>
      <c r="V695" s="54"/>
      <c r="W695" s="86"/>
      <c r="X695" s="54"/>
      <c r="Y695" s="78"/>
      <c r="Z695" s="54"/>
      <c r="AA695" s="70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54"/>
      <c r="AR695" s="83"/>
      <c r="AS695" s="83"/>
      <c r="AT695" s="93"/>
      <c r="AU695" s="93"/>
      <c r="AV695" s="93"/>
      <c r="AW695" s="83"/>
      <c r="AX695" s="83"/>
      <c r="AY695" s="83"/>
      <c r="AZ695" s="83"/>
      <c r="BA695" s="83"/>
      <c r="BB695" s="83"/>
      <c r="BC695" s="54"/>
      <c r="BD695" s="54" t="str">
        <f t="shared" si="1"/>
        <v/>
      </c>
      <c r="BE695" s="67"/>
      <c r="BF695" s="67"/>
      <c r="BG695" s="67"/>
      <c r="BH695" s="67"/>
      <c r="BI695" s="67"/>
      <c r="BJ695" s="67"/>
      <c r="BK695" s="67"/>
      <c r="BL695" s="67"/>
      <c r="BM695" s="67"/>
      <c r="BN695" s="100"/>
      <c r="BO695" s="102"/>
      <c r="BP695" s="67"/>
      <c r="BQ695" s="79"/>
      <c r="BR695" s="67"/>
      <c r="BS695" s="102"/>
      <c r="BT695" s="106"/>
      <c r="BU695" s="107"/>
      <c r="BV695" s="108" t="str">
        <f t="shared" si="17"/>
        <v/>
      </c>
      <c r="BW695" s="108" t="str">
        <f t="shared" si="16"/>
        <v/>
      </c>
      <c r="BX695" s="102" t="str">
        <f t="shared" si="15"/>
        <v/>
      </c>
      <c r="BY695" s="107" t="str">
        <f t="shared" si="5"/>
        <v/>
      </c>
      <c r="BZ695" s="107" t="str">
        <f t="array" ref="BZ695">IF($A695&lt;&gt;"",INDEX(LISTA!$M$2:$N$27,MATCH($BC695,LISTA!$N$2:$N$27,0),1),"")</f>
        <v/>
      </c>
      <c r="CA695" s="67" t="str">
        <f t="shared" si="6"/>
        <v/>
      </c>
      <c r="CB695" s="114" t="str">
        <f t="shared" si="7"/>
        <v/>
      </c>
      <c r="CC695" s="114"/>
    </row>
    <row r="696" ht="22.5" customHeight="1">
      <c r="A696" s="59"/>
      <c r="B696" s="115"/>
      <c r="C696" s="54"/>
      <c r="D696" s="56"/>
      <c r="E696" s="69"/>
      <c r="F696" s="73"/>
      <c r="G696" s="79"/>
      <c r="H696" s="79"/>
      <c r="I696" s="67"/>
      <c r="J696" s="79"/>
      <c r="K696" s="67"/>
      <c r="L696" s="79"/>
      <c r="M696" s="83"/>
      <c r="N696" s="78"/>
      <c r="O696" s="80"/>
      <c r="P696" s="70"/>
      <c r="Q696" s="54"/>
      <c r="R696" s="67"/>
      <c r="S696" s="67"/>
      <c r="T696" s="54"/>
      <c r="U696" s="86"/>
      <c r="V696" s="54"/>
      <c r="W696" s="86"/>
      <c r="X696" s="54"/>
      <c r="Y696" s="78"/>
      <c r="Z696" s="54"/>
      <c r="AA696" s="70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54"/>
      <c r="AR696" s="83"/>
      <c r="AS696" s="83"/>
      <c r="AT696" s="93"/>
      <c r="AU696" s="93"/>
      <c r="AV696" s="93"/>
      <c r="AW696" s="83"/>
      <c r="AX696" s="83"/>
      <c r="AY696" s="83"/>
      <c r="AZ696" s="83"/>
      <c r="BA696" s="83"/>
      <c r="BB696" s="83"/>
      <c r="BC696" s="54"/>
      <c r="BD696" s="54" t="str">
        <f t="shared" si="1"/>
        <v/>
      </c>
      <c r="BE696" s="67"/>
      <c r="BF696" s="67"/>
      <c r="BG696" s="67"/>
      <c r="BH696" s="67"/>
      <c r="BI696" s="67"/>
      <c r="BJ696" s="67"/>
      <c r="BK696" s="67"/>
      <c r="BL696" s="67"/>
      <c r="BM696" s="67"/>
      <c r="BN696" s="100"/>
      <c r="BO696" s="102"/>
      <c r="BP696" s="67"/>
      <c r="BQ696" s="79"/>
      <c r="BR696" s="67"/>
      <c r="BS696" s="102"/>
      <c r="BT696" s="106"/>
      <c r="BU696" s="107"/>
      <c r="BV696" s="108" t="str">
        <f t="shared" si="17"/>
        <v/>
      </c>
      <c r="BW696" s="108" t="str">
        <f t="shared" si="16"/>
        <v/>
      </c>
      <c r="BX696" s="102" t="str">
        <f t="shared" si="15"/>
        <v/>
      </c>
      <c r="BY696" s="107" t="str">
        <f t="shared" si="5"/>
        <v/>
      </c>
      <c r="BZ696" s="107" t="str">
        <f t="array" ref="BZ696">IF($A696&lt;&gt;"",INDEX(LISTA!$M$2:$N$27,MATCH($BC696,LISTA!$N$2:$N$27,0),1),"")</f>
        <v/>
      </c>
      <c r="CA696" s="67" t="str">
        <f t="shared" si="6"/>
        <v/>
      </c>
      <c r="CB696" s="114" t="str">
        <f t="shared" si="7"/>
        <v/>
      </c>
      <c r="CC696" s="114"/>
    </row>
    <row r="697" ht="22.5" customHeight="1">
      <c r="A697" s="59"/>
      <c r="B697" s="115"/>
      <c r="C697" s="54"/>
      <c r="D697" s="56"/>
      <c r="E697" s="69"/>
      <c r="F697" s="73"/>
      <c r="G697" s="79"/>
      <c r="H697" s="79"/>
      <c r="I697" s="67"/>
      <c r="J697" s="79"/>
      <c r="K697" s="67"/>
      <c r="L697" s="79"/>
      <c r="M697" s="83"/>
      <c r="N697" s="78"/>
      <c r="O697" s="80"/>
      <c r="P697" s="70"/>
      <c r="Q697" s="54"/>
      <c r="R697" s="67"/>
      <c r="S697" s="67"/>
      <c r="T697" s="54"/>
      <c r="U697" s="86"/>
      <c r="V697" s="54"/>
      <c r="W697" s="86"/>
      <c r="X697" s="54"/>
      <c r="Y697" s="78"/>
      <c r="Z697" s="54"/>
      <c r="AA697" s="70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54"/>
      <c r="AR697" s="83"/>
      <c r="AS697" s="83"/>
      <c r="AT697" s="93"/>
      <c r="AU697" s="93"/>
      <c r="AV697" s="93"/>
      <c r="AW697" s="83"/>
      <c r="AX697" s="83"/>
      <c r="AY697" s="83"/>
      <c r="AZ697" s="83"/>
      <c r="BA697" s="83"/>
      <c r="BB697" s="83"/>
      <c r="BC697" s="54"/>
      <c r="BD697" s="54" t="str">
        <f t="shared" si="1"/>
        <v/>
      </c>
      <c r="BE697" s="67"/>
      <c r="BF697" s="67"/>
      <c r="BG697" s="67"/>
      <c r="BH697" s="67"/>
      <c r="BI697" s="67"/>
      <c r="BJ697" s="67"/>
      <c r="BK697" s="67"/>
      <c r="BL697" s="67"/>
      <c r="BM697" s="67"/>
      <c r="BN697" s="100"/>
      <c r="BO697" s="102"/>
      <c r="BP697" s="67"/>
      <c r="BQ697" s="79"/>
      <c r="BR697" s="67"/>
      <c r="BS697" s="102"/>
      <c r="BT697" s="106"/>
      <c r="BU697" s="107"/>
      <c r="BV697" s="108" t="str">
        <f t="shared" si="17"/>
        <v/>
      </c>
      <c r="BW697" s="108" t="str">
        <f t="shared" si="16"/>
        <v/>
      </c>
      <c r="BX697" s="102" t="str">
        <f t="shared" si="15"/>
        <v/>
      </c>
      <c r="BY697" s="107" t="str">
        <f t="shared" si="5"/>
        <v/>
      </c>
      <c r="BZ697" s="107" t="str">
        <f t="array" ref="BZ697">IF($A697&lt;&gt;"",INDEX(LISTA!$M$2:$N$27,MATCH($BC697,LISTA!$N$2:$N$27,0),1),"")</f>
        <v/>
      </c>
      <c r="CA697" s="67" t="str">
        <f t="shared" si="6"/>
        <v/>
      </c>
      <c r="CB697" s="114" t="str">
        <f t="shared" si="7"/>
        <v/>
      </c>
      <c r="CC697" s="114"/>
    </row>
    <row r="698" ht="22.5" customHeight="1">
      <c r="A698" s="59"/>
      <c r="B698" s="115"/>
      <c r="C698" s="54"/>
      <c r="D698" s="56"/>
      <c r="E698" s="69"/>
      <c r="F698" s="73"/>
      <c r="G698" s="79"/>
      <c r="H698" s="79"/>
      <c r="I698" s="67"/>
      <c r="J698" s="79"/>
      <c r="K698" s="67"/>
      <c r="L698" s="79"/>
      <c r="M698" s="83"/>
      <c r="N698" s="78"/>
      <c r="O698" s="80"/>
      <c r="P698" s="70"/>
      <c r="Q698" s="54"/>
      <c r="R698" s="67"/>
      <c r="S698" s="67"/>
      <c r="T698" s="54"/>
      <c r="U698" s="86"/>
      <c r="V698" s="54"/>
      <c r="W698" s="86"/>
      <c r="X698" s="54"/>
      <c r="Y698" s="78"/>
      <c r="Z698" s="54"/>
      <c r="AA698" s="70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54"/>
      <c r="AR698" s="83"/>
      <c r="AS698" s="83"/>
      <c r="AT698" s="93"/>
      <c r="AU698" s="93"/>
      <c r="AV698" s="93"/>
      <c r="AW698" s="83"/>
      <c r="AX698" s="83"/>
      <c r="AY698" s="83"/>
      <c r="AZ698" s="83"/>
      <c r="BA698" s="83"/>
      <c r="BB698" s="83"/>
      <c r="BC698" s="54"/>
      <c r="BD698" s="54" t="str">
        <f t="shared" si="1"/>
        <v/>
      </c>
      <c r="BE698" s="67"/>
      <c r="BF698" s="67"/>
      <c r="BG698" s="67"/>
      <c r="BH698" s="67"/>
      <c r="BI698" s="67"/>
      <c r="BJ698" s="67"/>
      <c r="BK698" s="67"/>
      <c r="BL698" s="67"/>
      <c r="BM698" s="67"/>
      <c r="BN698" s="100"/>
      <c r="BO698" s="102"/>
      <c r="BP698" s="67"/>
      <c r="BQ698" s="79"/>
      <c r="BR698" s="67"/>
      <c r="BS698" s="102"/>
      <c r="BT698" s="106"/>
      <c r="BU698" s="107"/>
      <c r="BV698" s="108" t="str">
        <f t="shared" si="17"/>
        <v/>
      </c>
      <c r="BW698" s="108" t="str">
        <f t="shared" si="16"/>
        <v/>
      </c>
      <c r="BX698" s="102" t="str">
        <f t="shared" si="15"/>
        <v/>
      </c>
      <c r="BY698" s="107" t="str">
        <f t="shared" si="5"/>
        <v/>
      </c>
      <c r="BZ698" s="107" t="str">
        <f t="array" ref="BZ698">IF($A698&lt;&gt;"",INDEX(LISTA!$M$2:$N$27,MATCH($BC698,LISTA!$N$2:$N$27,0),1),"")</f>
        <v/>
      </c>
      <c r="CA698" s="67" t="str">
        <f t="shared" si="6"/>
        <v/>
      </c>
      <c r="CB698" s="114" t="str">
        <f t="shared" si="7"/>
        <v/>
      </c>
      <c r="CC698" s="114"/>
    </row>
    <row r="699" ht="22.5" customHeight="1">
      <c r="A699" s="59"/>
      <c r="B699" s="115"/>
      <c r="C699" s="54"/>
      <c r="D699" s="56"/>
      <c r="E699" s="69"/>
      <c r="F699" s="73"/>
      <c r="G699" s="79"/>
      <c r="H699" s="79"/>
      <c r="I699" s="67"/>
      <c r="J699" s="79"/>
      <c r="K699" s="67"/>
      <c r="L699" s="79"/>
      <c r="M699" s="83"/>
      <c r="N699" s="78"/>
      <c r="O699" s="80"/>
      <c r="P699" s="70"/>
      <c r="Q699" s="54"/>
      <c r="R699" s="67"/>
      <c r="S699" s="67"/>
      <c r="T699" s="54"/>
      <c r="U699" s="86"/>
      <c r="V699" s="54"/>
      <c r="W699" s="86"/>
      <c r="X699" s="54"/>
      <c r="Y699" s="78"/>
      <c r="Z699" s="54"/>
      <c r="AA699" s="70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54"/>
      <c r="AR699" s="83"/>
      <c r="AS699" s="83"/>
      <c r="AT699" s="93"/>
      <c r="AU699" s="93"/>
      <c r="AV699" s="93"/>
      <c r="AW699" s="83"/>
      <c r="AX699" s="83"/>
      <c r="AY699" s="83"/>
      <c r="AZ699" s="83"/>
      <c r="BA699" s="83"/>
      <c r="BB699" s="83"/>
      <c r="BC699" s="54"/>
      <c r="BD699" s="54" t="str">
        <f t="shared" si="1"/>
        <v/>
      </c>
      <c r="BE699" s="67"/>
      <c r="BF699" s="67"/>
      <c r="BG699" s="67"/>
      <c r="BH699" s="67"/>
      <c r="BI699" s="67"/>
      <c r="BJ699" s="67"/>
      <c r="BK699" s="67"/>
      <c r="BL699" s="67"/>
      <c r="BM699" s="67"/>
      <c r="BN699" s="100"/>
      <c r="BO699" s="102"/>
      <c r="BP699" s="67"/>
      <c r="BQ699" s="79"/>
      <c r="BR699" s="67"/>
      <c r="BS699" s="102"/>
      <c r="BT699" s="106"/>
      <c r="BU699" s="107"/>
      <c r="BV699" s="108" t="str">
        <f t="shared" si="17"/>
        <v/>
      </c>
      <c r="BW699" s="108" t="str">
        <f t="shared" si="16"/>
        <v/>
      </c>
      <c r="BX699" s="102" t="str">
        <f t="shared" si="15"/>
        <v/>
      </c>
      <c r="BY699" s="107" t="str">
        <f t="shared" si="5"/>
        <v/>
      </c>
      <c r="BZ699" s="107" t="str">
        <f t="array" ref="BZ699">IF($A699&lt;&gt;"",INDEX(LISTA!$M$2:$N$27,MATCH($BC699,LISTA!$N$2:$N$27,0),1),"")</f>
        <v/>
      </c>
      <c r="CA699" s="67" t="str">
        <f t="shared" si="6"/>
        <v/>
      </c>
      <c r="CB699" s="114" t="str">
        <f t="shared" si="7"/>
        <v/>
      </c>
      <c r="CC699" s="114"/>
    </row>
    <row r="700" ht="22.5" customHeight="1">
      <c r="A700" s="59"/>
      <c r="B700" s="115"/>
      <c r="C700" s="54"/>
      <c r="D700" s="56"/>
      <c r="E700" s="69"/>
      <c r="F700" s="73"/>
      <c r="G700" s="79"/>
      <c r="H700" s="79"/>
      <c r="I700" s="67"/>
      <c r="J700" s="79"/>
      <c r="K700" s="67"/>
      <c r="L700" s="79"/>
      <c r="M700" s="83"/>
      <c r="N700" s="78"/>
      <c r="O700" s="80"/>
      <c r="P700" s="70"/>
      <c r="Q700" s="54"/>
      <c r="R700" s="67"/>
      <c r="S700" s="67"/>
      <c r="T700" s="54"/>
      <c r="U700" s="86"/>
      <c r="V700" s="54"/>
      <c r="W700" s="86"/>
      <c r="X700" s="54"/>
      <c r="Y700" s="78"/>
      <c r="Z700" s="54"/>
      <c r="AA700" s="70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54"/>
      <c r="AR700" s="83"/>
      <c r="AS700" s="83"/>
      <c r="AT700" s="93"/>
      <c r="AU700" s="93"/>
      <c r="AV700" s="93"/>
      <c r="AW700" s="83"/>
      <c r="AX700" s="83"/>
      <c r="AY700" s="83"/>
      <c r="AZ700" s="83"/>
      <c r="BA700" s="83"/>
      <c r="BB700" s="83"/>
      <c r="BC700" s="54"/>
      <c r="BD700" s="54" t="str">
        <f t="shared" si="1"/>
        <v/>
      </c>
      <c r="BE700" s="67"/>
      <c r="BF700" s="67"/>
      <c r="BG700" s="67"/>
      <c r="BH700" s="67"/>
      <c r="BI700" s="67"/>
      <c r="BJ700" s="67"/>
      <c r="BK700" s="67"/>
      <c r="BL700" s="67"/>
      <c r="BM700" s="67"/>
      <c r="BN700" s="100"/>
      <c r="BO700" s="102"/>
      <c r="BP700" s="67"/>
      <c r="BQ700" s="79"/>
      <c r="BR700" s="67"/>
      <c r="BS700" s="102"/>
      <c r="BT700" s="106"/>
      <c r="BU700" s="107"/>
      <c r="BV700" s="108" t="str">
        <f t="shared" si="17"/>
        <v/>
      </c>
      <c r="BW700" s="108" t="str">
        <f t="shared" si="16"/>
        <v/>
      </c>
      <c r="BX700" s="102" t="str">
        <f t="shared" si="15"/>
        <v/>
      </c>
      <c r="BY700" s="107" t="str">
        <f t="shared" si="5"/>
        <v/>
      </c>
      <c r="BZ700" s="107" t="str">
        <f t="array" ref="BZ700">IF($A700&lt;&gt;"",INDEX(LISTA!$M$2:$N$27,MATCH($BC700,LISTA!$N$2:$N$27,0),1),"")</f>
        <v/>
      </c>
      <c r="CA700" s="67" t="str">
        <f t="shared" si="6"/>
        <v/>
      </c>
      <c r="CB700" s="114" t="str">
        <f t="shared" si="7"/>
        <v/>
      </c>
      <c r="CC700" s="114"/>
    </row>
    <row r="701" ht="22.5" customHeight="1">
      <c r="A701" s="59"/>
      <c r="B701" s="115"/>
      <c r="C701" s="54"/>
      <c r="D701" s="56"/>
      <c r="E701" s="69"/>
      <c r="F701" s="73"/>
      <c r="G701" s="79"/>
      <c r="H701" s="79"/>
      <c r="I701" s="67"/>
      <c r="J701" s="79"/>
      <c r="K701" s="67"/>
      <c r="L701" s="79"/>
      <c r="M701" s="83"/>
      <c r="N701" s="78"/>
      <c r="O701" s="80"/>
      <c r="P701" s="70"/>
      <c r="Q701" s="54"/>
      <c r="R701" s="67"/>
      <c r="S701" s="67"/>
      <c r="T701" s="54"/>
      <c r="U701" s="86"/>
      <c r="V701" s="54"/>
      <c r="W701" s="86"/>
      <c r="X701" s="54"/>
      <c r="Y701" s="78"/>
      <c r="Z701" s="54"/>
      <c r="AA701" s="70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54"/>
      <c r="AR701" s="83"/>
      <c r="AS701" s="83"/>
      <c r="AT701" s="93"/>
      <c r="AU701" s="93"/>
      <c r="AV701" s="93"/>
      <c r="AW701" s="83"/>
      <c r="AX701" s="83"/>
      <c r="AY701" s="83"/>
      <c r="AZ701" s="83"/>
      <c r="BA701" s="83"/>
      <c r="BB701" s="83"/>
      <c r="BC701" s="54"/>
      <c r="BD701" s="54" t="str">
        <f t="shared" si="1"/>
        <v/>
      </c>
      <c r="BE701" s="67"/>
      <c r="BF701" s="67"/>
      <c r="BG701" s="67"/>
      <c r="BH701" s="67"/>
      <c r="BI701" s="67"/>
      <c r="BJ701" s="67"/>
      <c r="BK701" s="67"/>
      <c r="BL701" s="67"/>
      <c r="BM701" s="67"/>
      <c r="BN701" s="100"/>
      <c r="BO701" s="102"/>
      <c r="BP701" s="67"/>
      <c r="BQ701" s="79"/>
      <c r="BR701" s="67"/>
      <c r="BS701" s="102"/>
      <c r="BT701" s="106"/>
      <c r="BU701" s="107"/>
      <c r="BV701" s="108" t="str">
        <f t="shared" si="17"/>
        <v/>
      </c>
      <c r="BW701" s="108" t="str">
        <f t="shared" si="16"/>
        <v/>
      </c>
      <c r="BX701" s="102" t="str">
        <f t="shared" si="15"/>
        <v/>
      </c>
      <c r="BY701" s="107" t="str">
        <f t="shared" si="5"/>
        <v/>
      </c>
      <c r="BZ701" s="107" t="str">
        <f t="array" ref="BZ701">IF($A701&lt;&gt;"",INDEX(LISTA!$M$2:$N$27,MATCH($BC701,LISTA!$N$2:$N$27,0),1),"")</f>
        <v/>
      </c>
      <c r="CA701" s="67" t="str">
        <f t="shared" si="6"/>
        <v/>
      </c>
      <c r="CB701" s="114" t="str">
        <f t="shared" si="7"/>
        <v/>
      </c>
      <c r="CC701" s="114"/>
    </row>
    <row r="702" ht="22.5" customHeight="1">
      <c r="A702" s="59"/>
      <c r="B702" s="115"/>
      <c r="C702" s="54"/>
      <c r="D702" s="56"/>
      <c r="E702" s="69"/>
      <c r="F702" s="73"/>
      <c r="G702" s="79"/>
      <c r="H702" s="79"/>
      <c r="I702" s="67"/>
      <c r="J702" s="79"/>
      <c r="K702" s="67"/>
      <c r="L702" s="79"/>
      <c r="M702" s="83"/>
      <c r="N702" s="78"/>
      <c r="O702" s="80"/>
      <c r="P702" s="70"/>
      <c r="Q702" s="54"/>
      <c r="R702" s="67"/>
      <c r="S702" s="67"/>
      <c r="T702" s="54"/>
      <c r="U702" s="86"/>
      <c r="V702" s="54"/>
      <c r="W702" s="86"/>
      <c r="X702" s="54"/>
      <c r="Y702" s="78"/>
      <c r="Z702" s="54"/>
      <c r="AA702" s="70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54"/>
      <c r="AR702" s="83"/>
      <c r="AS702" s="83"/>
      <c r="AT702" s="93"/>
      <c r="AU702" s="93"/>
      <c r="AV702" s="93"/>
      <c r="AW702" s="83"/>
      <c r="AX702" s="83"/>
      <c r="AY702" s="83"/>
      <c r="AZ702" s="83"/>
      <c r="BA702" s="83"/>
      <c r="BB702" s="83"/>
      <c r="BC702" s="54"/>
      <c r="BD702" s="54" t="str">
        <f t="shared" si="1"/>
        <v/>
      </c>
      <c r="BE702" s="67"/>
      <c r="BF702" s="67"/>
      <c r="BG702" s="67"/>
      <c r="BH702" s="67"/>
      <c r="BI702" s="67"/>
      <c r="BJ702" s="67"/>
      <c r="BK702" s="67"/>
      <c r="BL702" s="67"/>
      <c r="BM702" s="67"/>
      <c r="BN702" s="100"/>
      <c r="BO702" s="102"/>
      <c r="BP702" s="67"/>
      <c r="BQ702" s="79"/>
      <c r="BR702" s="67"/>
      <c r="BS702" s="102"/>
      <c r="BT702" s="106"/>
      <c r="BU702" s="107"/>
      <c r="BV702" s="108" t="str">
        <f t="shared" si="17"/>
        <v/>
      </c>
      <c r="BW702" s="108" t="str">
        <f t="shared" si="16"/>
        <v/>
      </c>
      <c r="BX702" s="102" t="str">
        <f t="shared" si="15"/>
        <v/>
      </c>
      <c r="BY702" s="107" t="str">
        <f t="shared" si="5"/>
        <v/>
      </c>
      <c r="BZ702" s="107" t="str">
        <f t="array" ref="BZ702">IF($A702&lt;&gt;"",INDEX(LISTA!$M$2:$N$27,MATCH($BC702,LISTA!$N$2:$N$27,0),1),"")</f>
        <v/>
      </c>
      <c r="CA702" s="67" t="str">
        <f t="shared" si="6"/>
        <v/>
      </c>
      <c r="CB702" s="114" t="str">
        <f t="shared" si="7"/>
        <v/>
      </c>
      <c r="CC702" s="114"/>
    </row>
    <row r="703" ht="22.5" customHeight="1">
      <c r="A703" s="59"/>
      <c r="B703" s="115"/>
      <c r="C703" s="54"/>
      <c r="D703" s="56"/>
      <c r="E703" s="69"/>
      <c r="F703" s="73"/>
      <c r="G703" s="79"/>
      <c r="H703" s="79"/>
      <c r="I703" s="67"/>
      <c r="J703" s="79"/>
      <c r="K703" s="67"/>
      <c r="L703" s="79"/>
      <c r="M703" s="83"/>
      <c r="N703" s="78"/>
      <c r="O703" s="80"/>
      <c r="P703" s="70"/>
      <c r="Q703" s="54"/>
      <c r="R703" s="67"/>
      <c r="S703" s="67"/>
      <c r="T703" s="54"/>
      <c r="U703" s="86"/>
      <c r="V703" s="54"/>
      <c r="W703" s="86"/>
      <c r="X703" s="54"/>
      <c r="Y703" s="78"/>
      <c r="Z703" s="54"/>
      <c r="AA703" s="70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54"/>
      <c r="AR703" s="83"/>
      <c r="AS703" s="83"/>
      <c r="AT703" s="93"/>
      <c r="AU703" s="93"/>
      <c r="AV703" s="93"/>
      <c r="AW703" s="83"/>
      <c r="AX703" s="83"/>
      <c r="AY703" s="83"/>
      <c r="AZ703" s="83"/>
      <c r="BA703" s="83"/>
      <c r="BB703" s="83"/>
      <c r="BC703" s="54"/>
      <c r="BD703" s="54" t="str">
        <f t="shared" si="1"/>
        <v/>
      </c>
      <c r="BE703" s="67"/>
      <c r="BF703" s="67"/>
      <c r="BG703" s="67"/>
      <c r="BH703" s="67"/>
      <c r="BI703" s="67"/>
      <c r="BJ703" s="67"/>
      <c r="BK703" s="67"/>
      <c r="BL703" s="67"/>
      <c r="BM703" s="67"/>
      <c r="BN703" s="100"/>
      <c r="BO703" s="102"/>
      <c r="BP703" s="67"/>
      <c r="BQ703" s="79"/>
      <c r="BR703" s="67"/>
      <c r="BS703" s="102"/>
      <c r="BT703" s="106"/>
      <c r="BU703" s="107"/>
      <c r="BV703" s="108" t="str">
        <f t="shared" si="17"/>
        <v/>
      </c>
      <c r="BW703" s="108" t="str">
        <f t="shared" si="16"/>
        <v/>
      </c>
      <c r="BX703" s="102" t="str">
        <f t="shared" si="15"/>
        <v/>
      </c>
      <c r="BY703" s="107" t="str">
        <f t="shared" si="5"/>
        <v/>
      </c>
      <c r="BZ703" s="107" t="str">
        <f t="array" ref="BZ703">IF($A703&lt;&gt;"",INDEX(LISTA!$M$2:$N$27,MATCH($BC703,LISTA!$N$2:$N$27,0),1),"")</f>
        <v/>
      </c>
      <c r="CA703" s="67" t="str">
        <f t="shared" si="6"/>
        <v/>
      </c>
      <c r="CB703" s="114" t="str">
        <f t="shared" si="7"/>
        <v/>
      </c>
      <c r="CC703" s="114"/>
    </row>
    <row r="704" ht="22.5" customHeight="1">
      <c r="A704" s="59"/>
      <c r="B704" s="115"/>
      <c r="C704" s="54"/>
      <c r="D704" s="56"/>
      <c r="E704" s="69"/>
      <c r="F704" s="73"/>
      <c r="G704" s="79"/>
      <c r="H704" s="79"/>
      <c r="I704" s="67"/>
      <c r="J704" s="79"/>
      <c r="K704" s="67"/>
      <c r="L704" s="79"/>
      <c r="M704" s="83"/>
      <c r="N704" s="78"/>
      <c r="O704" s="80"/>
      <c r="P704" s="70"/>
      <c r="Q704" s="54"/>
      <c r="R704" s="67"/>
      <c r="S704" s="67"/>
      <c r="T704" s="54"/>
      <c r="U704" s="86"/>
      <c r="V704" s="54"/>
      <c r="W704" s="86"/>
      <c r="X704" s="54"/>
      <c r="Y704" s="78"/>
      <c r="Z704" s="54"/>
      <c r="AA704" s="70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54"/>
      <c r="AR704" s="83"/>
      <c r="AS704" s="83"/>
      <c r="AT704" s="93"/>
      <c r="AU704" s="93"/>
      <c r="AV704" s="93"/>
      <c r="AW704" s="83"/>
      <c r="AX704" s="83"/>
      <c r="AY704" s="83"/>
      <c r="AZ704" s="83"/>
      <c r="BA704" s="83"/>
      <c r="BB704" s="83"/>
      <c r="BC704" s="54"/>
      <c r="BD704" s="54" t="str">
        <f t="shared" si="1"/>
        <v/>
      </c>
      <c r="BE704" s="67"/>
      <c r="BF704" s="67"/>
      <c r="BG704" s="67"/>
      <c r="BH704" s="67"/>
      <c r="BI704" s="67"/>
      <c r="BJ704" s="67"/>
      <c r="BK704" s="67"/>
      <c r="BL704" s="67"/>
      <c r="BM704" s="67"/>
      <c r="BN704" s="100"/>
      <c r="BO704" s="102"/>
      <c r="BP704" s="67"/>
      <c r="BQ704" s="79"/>
      <c r="BR704" s="67"/>
      <c r="BS704" s="102"/>
      <c r="BT704" s="106"/>
      <c r="BU704" s="107"/>
      <c r="BV704" s="108" t="str">
        <f t="shared" si="17"/>
        <v/>
      </c>
      <c r="BW704" s="108" t="str">
        <f t="shared" si="16"/>
        <v/>
      </c>
      <c r="BX704" s="102" t="str">
        <f t="shared" si="15"/>
        <v/>
      </c>
      <c r="BY704" s="107" t="str">
        <f t="shared" si="5"/>
        <v/>
      </c>
      <c r="BZ704" s="107" t="str">
        <f t="array" ref="BZ704">IF($A704&lt;&gt;"",INDEX(LISTA!$M$2:$N$27,MATCH($BC704,LISTA!$N$2:$N$27,0),1),"")</f>
        <v/>
      </c>
      <c r="CA704" s="67" t="str">
        <f t="shared" si="6"/>
        <v/>
      </c>
      <c r="CB704" s="114" t="str">
        <f t="shared" si="7"/>
        <v/>
      </c>
      <c r="CC704" s="114"/>
    </row>
    <row r="705" ht="22.5" customHeight="1">
      <c r="A705" s="59"/>
      <c r="B705" s="115"/>
      <c r="C705" s="54"/>
      <c r="D705" s="56"/>
      <c r="E705" s="69"/>
      <c r="F705" s="73"/>
      <c r="G705" s="79"/>
      <c r="H705" s="79"/>
      <c r="I705" s="67"/>
      <c r="J705" s="79"/>
      <c r="K705" s="67"/>
      <c r="L705" s="79"/>
      <c r="M705" s="83"/>
      <c r="N705" s="78"/>
      <c r="O705" s="80"/>
      <c r="P705" s="70"/>
      <c r="Q705" s="54"/>
      <c r="R705" s="67"/>
      <c r="S705" s="67"/>
      <c r="T705" s="54"/>
      <c r="U705" s="86"/>
      <c r="V705" s="54"/>
      <c r="W705" s="86"/>
      <c r="X705" s="54"/>
      <c r="Y705" s="78"/>
      <c r="Z705" s="54"/>
      <c r="AA705" s="70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54"/>
      <c r="AR705" s="83"/>
      <c r="AS705" s="83"/>
      <c r="AT705" s="93"/>
      <c r="AU705" s="93"/>
      <c r="AV705" s="93"/>
      <c r="AW705" s="83"/>
      <c r="AX705" s="83"/>
      <c r="AY705" s="83"/>
      <c r="AZ705" s="83"/>
      <c r="BA705" s="83"/>
      <c r="BB705" s="83"/>
      <c r="BC705" s="54"/>
      <c r="BD705" s="54" t="str">
        <f t="shared" si="1"/>
        <v/>
      </c>
      <c r="BE705" s="67"/>
      <c r="BF705" s="67"/>
      <c r="BG705" s="67"/>
      <c r="BH705" s="67"/>
      <c r="BI705" s="67"/>
      <c r="BJ705" s="67"/>
      <c r="BK705" s="67"/>
      <c r="BL705" s="67"/>
      <c r="BM705" s="67"/>
      <c r="BN705" s="100"/>
      <c r="BO705" s="102"/>
      <c r="BP705" s="67"/>
      <c r="BQ705" s="79"/>
      <c r="BR705" s="67"/>
      <c r="BS705" s="102"/>
      <c r="BT705" s="106"/>
      <c r="BU705" s="107"/>
      <c r="BV705" s="108" t="str">
        <f t="shared" si="17"/>
        <v/>
      </c>
      <c r="BW705" s="108" t="str">
        <f t="shared" si="16"/>
        <v/>
      </c>
      <c r="BX705" s="102" t="str">
        <f t="shared" si="15"/>
        <v/>
      </c>
      <c r="BY705" s="107" t="str">
        <f t="shared" si="5"/>
        <v/>
      </c>
      <c r="BZ705" s="107" t="str">
        <f t="array" ref="BZ705">IF($A705&lt;&gt;"",INDEX(LISTA!$M$2:$N$27,MATCH($BC705,LISTA!$N$2:$N$27,0),1),"")</f>
        <v/>
      </c>
      <c r="CA705" s="67" t="str">
        <f t="shared" si="6"/>
        <v/>
      </c>
      <c r="CB705" s="114" t="str">
        <f t="shared" si="7"/>
        <v/>
      </c>
      <c r="CC705" s="114"/>
    </row>
    <row r="706" ht="22.5" customHeight="1">
      <c r="A706" s="59"/>
      <c r="B706" s="115"/>
      <c r="C706" s="54"/>
      <c r="D706" s="56"/>
      <c r="E706" s="69"/>
      <c r="F706" s="73"/>
      <c r="G706" s="79"/>
      <c r="H706" s="79"/>
      <c r="I706" s="67"/>
      <c r="J706" s="79"/>
      <c r="K706" s="67"/>
      <c r="L706" s="79"/>
      <c r="M706" s="83"/>
      <c r="N706" s="78"/>
      <c r="O706" s="80"/>
      <c r="P706" s="70"/>
      <c r="Q706" s="54"/>
      <c r="R706" s="67"/>
      <c r="S706" s="67"/>
      <c r="T706" s="54"/>
      <c r="U706" s="86"/>
      <c r="V706" s="54"/>
      <c r="W706" s="86"/>
      <c r="X706" s="54"/>
      <c r="Y706" s="78"/>
      <c r="Z706" s="54"/>
      <c r="AA706" s="70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54"/>
      <c r="AR706" s="83"/>
      <c r="AS706" s="83"/>
      <c r="AT706" s="93"/>
      <c r="AU706" s="93"/>
      <c r="AV706" s="93"/>
      <c r="AW706" s="83"/>
      <c r="AX706" s="83"/>
      <c r="AY706" s="83"/>
      <c r="AZ706" s="83"/>
      <c r="BA706" s="83"/>
      <c r="BB706" s="83"/>
      <c r="BC706" s="54"/>
      <c r="BD706" s="54" t="str">
        <f t="shared" si="1"/>
        <v/>
      </c>
      <c r="BE706" s="67"/>
      <c r="BF706" s="67"/>
      <c r="BG706" s="67"/>
      <c r="BH706" s="67"/>
      <c r="BI706" s="67"/>
      <c r="BJ706" s="67"/>
      <c r="BK706" s="67"/>
      <c r="BL706" s="67"/>
      <c r="BM706" s="67"/>
      <c r="BN706" s="100"/>
      <c r="BO706" s="102"/>
      <c r="BP706" s="67"/>
      <c r="BQ706" s="79"/>
      <c r="BR706" s="67"/>
      <c r="BS706" s="102"/>
      <c r="BT706" s="106"/>
      <c r="BU706" s="107"/>
      <c r="BV706" s="108" t="str">
        <f t="shared" si="17"/>
        <v/>
      </c>
      <c r="BW706" s="108" t="str">
        <f t="shared" si="16"/>
        <v/>
      </c>
      <c r="BX706" s="102" t="str">
        <f t="shared" si="15"/>
        <v/>
      </c>
      <c r="BY706" s="107" t="str">
        <f t="shared" si="5"/>
        <v/>
      </c>
      <c r="BZ706" s="107" t="str">
        <f t="array" ref="BZ706">IF($A706&lt;&gt;"",INDEX(LISTA!$M$2:$N$27,MATCH($BC706,LISTA!$N$2:$N$27,0),1),"")</f>
        <v/>
      </c>
      <c r="CA706" s="67" t="str">
        <f t="shared" si="6"/>
        <v/>
      </c>
      <c r="CB706" s="114" t="str">
        <f t="shared" si="7"/>
        <v/>
      </c>
      <c r="CC706" s="114"/>
    </row>
    <row r="707" ht="22.5" customHeight="1">
      <c r="A707" s="59"/>
      <c r="B707" s="115"/>
      <c r="C707" s="54"/>
      <c r="D707" s="56"/>
      <c r="E707" s="69"/>
      <c r="F707" s="73"/>
      <c r="G707" s="79"/>
      <c r="H707" s="79"/>
      <c r="I707" s="67"/>
      <c r="J707" s="79"/>
      <c r="K707" s="67"/>
      <c r="L707" s="79"/>
      <c r="M707" s="83"/>
      <c r="N707" s="78"/>
      <c r="O707" s="80"/>
      <c r="P707" s="70"/>
      <c r="Q707" s="54"/>
      <c r="R707" s="67"/>
      <c r="S707" s="67"/>
      <c r="T707" s="54"/>
      <c r="U707" s="86"/>
      <c r="V707" s="54"/>
      <c r="W707" s="86"/>
      <c r="X707" s="54"/>
      <c r="Y707" s="78"/>
      <c r="Z707" s="54"/>
      <c r="AA707" s="70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54"/>
      <c r="AR707" s="83"/>
      <c r="AS707" s="83"/>
      <c r="AT707" s="93"/>
      <c r="AU707" s="93"/>
      <c r="AV707" s="93"/>
      <c r="AW707" s="83"/>
      <c r="AX707" s="83"/>
      <c r="AY707" s="83"/>
      <c r="AZ707" s="83"/>
      <c r="BA707" s="83"/>
      <c r="BB707" s="83"/>
      <c r="BC707" s="54"/>
      <c r="BD707" s="54" t="str">
        <f t="shared" si="1"/>
        <v/>
      </c>
      <c r="BE707" s="67"/>
      <c r="BF707" s="67"/>
      <c r="BG707" s="67"/>
      <c r="BH707" s="67"/>
      <c r="BI707" s="67"/>
      <c r="BJ707" s="67"/>
      <c r="BK707" s="67"/>
      <c r="BL707" s="67"/>
      <c r="BM707" s="67"/>
      <c r="BN707" s="100"/>
      <c r="BO707" s="102"/>
      <c r="BP707" s="67"/>
      <c r="BQ707" s="79"/>
      <c r="BR707" s="67"/>
      <c r="BS707" s="102"/>
      <c r="BT707" s="106"/>
      <c r="BU707" s="107"/>
      <c r="BV707" s="108" t="str">
        <f t="shared" si="17"/>
        <v/>
      </c>
      <c r="BW707" s="108" t="str">
        <f t="shared" si="16"/>
        <v/>
      </c>
      <c r="BX707" s="102" t="str">
        <f t="shared" si="15"/>
        <v/>
      </c>
      <c r="BY707" s="107" t="str">
        <f t="shared" si="5"/>
        <v/>
      </c>
      <c r="BZ707" s="107" t="str">
        <f t="array" ref="BZ707">IF($A707&lt;&gt;"",INDEX(LISTA!$M$2:$N$27,MATCH($BC707,LISTA!$N$2:$N$27,0),1),"")</f>
        <v/>
      </c>
      <c r="CA707" s="67" t="str">
        <f t="shared" si="6"/>
        <v/>
      </c>
      <c r="CB707" s="114" t="str">
        <f t="shared" si="7"/>
        <v/>
      </c>
      <c r="CC707" s="114"/>
    </row>
    <row r="708" ht="22.5" customHeight="1">
      <c r="A708" s="59"/>
      <c r="B708" s="115"/>
      <c r="C708" s="54"/>
      <c r="D708" s="56"/>
      <c r="E708" s="69"/>
      <c r="F708" s="73"/>
      <c r="G708" s="79"/>
      <c r="H708" s="79"/>
      <c r="I708" s="67"/>
      <c r="J708" s="79"/>
      <c r="K708" s="67"/>
      <c r="L708" s="79"/>
      <c r="M708" s="83"/>
      <c r="N708" s="78"/>
      <c r="O708" s="80"/>
      <c r="P708" s="70"/>
      <c r="Q708" s="54"/>
      <c r="R708" s="67"/>
      <c r="S708" s="67"/>
      <c r="T708" s="54"/>
      <c r="U708" s="86"/>
      <c r="V708" s="54"/>
      <c r="W708" s="86"/>
      <c r="X708" s="54"/>
      <c r="Y708" s="78"/>
      <c r="Z708" s="54"/>
      <c r="AA708" s="70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54"/>
      <c r="AR708" s="83"/>
      <c r="AS708" s="83"/>
      <c r="AT708" s="93"/>
      <c r="AU708" s="93"/>
      <c r="AV708" s="93"/>
      <c r="AW708" s="83"/>
      <c r="AX708" s="83"/>
      <c r="AY708" s="83"/>
      <c r="AZ708" s="83"/>
      <c r="BA708" s="83"/>
      <c r="BB708" s="83"/>
      <c r="BC708" s="54"/>
      <c r="BD708" s="54" t="str">
        <f t="shared" si="1"/>
        <v/>
      </c>
      <c r="BE708" s="67"/>
      <c r="BF708" s="67"/>
      <c r="BG708" s="67"/>
      <c r="BH708" s="67"/>
      <c r="BI708" s="67"/>
      <c r="BJ708" s="67"/>
      <c r="BK708" s="67"/>
      <c r="BL708" s="67"/>
      <c r="BM708" s="67"/>
      <c r="BN708" s="100"/>
      <c r="BO708" s="102"/>
      <c r="BP708" s="67"/>
      <c r="BQ708" s="79"/>
      <c r="BR708" s="67"/>
      <c r="BS708" s="102"/>
      <c r="BT708" s="106"/>
      <c r="BU708" s="107"/>
      <c r="BV708" s="108" t="str">
        <f t="shared" si="17"/>
        <v/>
      </c>
      <c r="BW708" s="108" t="str">
        <f t="shared" si="16"/>
        <v/>
      </c>
      <c r="BX708" s="102" t="str">
        <f t="shared" si="15"/>
        <v/>
      </c>
      <c r="BY708" s="107" t="str">
        <f t="shared" si="5"/>
        <v/>
      </c>
      <c r="BZ708" s="107" t="str">
        <f t="array" ref="BZ708">IF($A708&lt;&gt;"",INDEX(LISTA!$M$2:$N$27,MATCH($BC708,LISTA!$N$2:$N$27,0),1),"")</f>
        <v/>
      </c>
      <c r="CA708" s="67" t="str">
        <f t="shared" si="6"/>
        <v/>
      </c>
      <c r="CB708" s="114" t="str">
        <f t="shared" si="7"/>
        <v/>
      </c>
      <c r="CC708" s="114"/>
    </row>
    <row r="709" ht="22.5" customHeight="1">
      <c r="A709" s="59"/>
      <c r="B709" s="115"/>
      <c r="C709" s="54"/>
      <c r="D709" s="56"/>
      <c r="E709" s="69"/>
      <c r="F709" s="73"/>
      <c r="G709" s="79"/>
      <c r="H709" s="79"/>
      <c r="I709" s="67"/>
      <c r="J709" s="79"/>
      <c r="K709" s="67"/>
      <c r="L709" s="79"/>
      <c r="M709" s="83"/>
      <c r="N709" s="78"/>
      <c r="O709" s="80"/>
      <c r="P709" s="70"/>
      <c r="Q709" s="54"/>
      <c r="R709" s="67"/>
      <c r="S709" s="67"/>
      <c r="T709" s="54"/>
      <c r="U709" s="86"/>
      <c r="V709" s="54"/>
      <c r="W709" s="86"/>
      <c r="X709" s="54"/>
      <c r="Y709" s="78"/>
      <c r="Z709" s="54"/>
      <c r="AA709" s="70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54"/>
      <c r="AR709" s="83"/>
      <c r="AS709" s="83"/>
      <c r="AT709" s="93"/>
      <c r="AU709" s="93"/>
      <c r="AV709" s="93"/>
      <c r="AW709" s="83"/>
      <c r="AX709" s="83"/>
      <c r="AY709" s="83"/>
      <c r="AZ709" s="83"/>
      <c r="BA709" s="83"/>
      <c r="BB709" s="83"/>
      <c r="BC709" s="54"/>
      <c r="BD709" s="54" t="str">
        <f t="shared" si="1"/>
        <v/>
      </c>
      <c r="BE709" s="67"/>
      <c r="BF709" s="67"/>
      <c r="BG709" s="67"/>
      <c r="BH709" s="67"/>
      <c r="BI709" s="67"/>
      <c r="BJ709" s="67"/>
      <c r="BK709" s="67"/>
      <c r="BL709" s="67"/>
      <c r="BM709" s="67"/>
      <c r="BN709" s="100"/>
      <c r="BO709" s="102"/>
      <c r="BP709" s="67"/>
      <c r="BQ709" s="79"/>
      <c r="BR709" s="67"/>
      <c r="BS709" s="102"/>
      <c r="BT709" s="106"/>
      <c r="BU709" s="107"/>
      <c r="BV709" s="108" t="str">
        <f t="shared" si="17"/>
        <v/>
      </c>
      <c r="BW709" s="108" t="str">
        <f t="shared" si="16"/>
        <v/>
      </c>
      <c r="BX709" s="102" t="str">
        <f t="shared" si="15"/>
        <v/>
      </c>
      <c r="BY709" s="107" t="str">
        <f t="shared" si="5"/>
        <v/>
      </c>
      <c r="BZ709" s="107" t="str">
        <f t="array" ref="BZ709">IF($A709&lt;&gt;"",INDEX(LISTA!$M$2:$N$27,MATCH($BC709,LISTA!$N$2:$N$27,0),1),"")</f>
        <v/>
      </c>
      <c r="CA709" s="67" t="str">
        <f t="shared" si="6"/>
        <v/>
      </c>
      <c r="CB709" s="114" t="str">
        <f t="shared" si="7"/>
        <v/>
      </c>
      <c r="CC709" s="114"/>
    </row>
    <row r="710" ht="22.5" customHeight="1">
      <c r="A710" s="59"/>
      <c r="B710" s="115"/>
      <c r="C710" s="54"/>
      <c r="D710" s="56"/>
      <c r="E710" s="69"/>
      <c r="F710" s="73"/>
      <c r="G710" s="79"/>
      <c r="H710" s="79"/>
      <c r="I710" s="67"/>
      <c r="J710" s="79"/>
      <c r="K710" s="67"/>
      <c r="L710" s="79"/>
      <c r="M710" s="83"/>
      <c r="N710" s="78"/>
      <c r="O710" s="80"/>
      <c r="P710" s="70"/>
      <c r="Q710" s="54"/>
      <c r="R710" s="67"/>
      <c r="S710" s="67"/>
      <c r="T710" s="54"/>
      <c r="U710" s="86"/>
      <c r="V710" s="54"/>
      <c r="W710" s="86"/>
      <c r="X710" s="54"/>
      <c r="Y710" s="78"/>
      <c r="Z710" s="54"/>
      <c r="AA710" s="70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54"/>
      <c r="AR710" s="83"/>
      <c r="AS710" s="83"/>
      <c r="AT710" s="93"/>
      <c r="AU710" s="93"/>
      <c r="AV710" s="93"/>
      <c r="AW710" s="83"/>
      <c r="AX710" s="83"/>
      <c r="AY710" s="83"/>
      <c r="AZ710" s="83"/>
      <c r="BA710" s="83"/>
      <c r="BB710" s="83"/>
      <c r="BC710" s="54"/>
      <c r="BD710" s="54" t="str">
        <f t="shared" si="1"/>
        <v/>
      </c>
      <c r="BE710" s="67"/>
      <c r="BF710" s="67"/>
      <c r="BG710" s="67"/>
      <c r="BH710" s="67"/>
      <c r="BI710" s="67"/>
      <c r="BJ710" s="67"/>
      <c r="BK710" s="67"/>
      <c r="BL710" s="67"/>
      <c r="BM710" s="67"/>
      <c r="BN710" s="100"/>
      <c r="BO710" s="102"/>
      <c r="BP710" s="67"/>
      <c r="BQ710" s="79"/>
      <c r="BR710" s="67"/>
      <c r="BS710" s="102"/>
      <c r="BT710" s="106"/>
      <c r="BU710" s="107"/>
      <c r="BV710" s="108" t="str">
        <f t="shared" si="17"/>
        <v/>
      </c>
      <c r="BW710" s="108" t="str">
        <f t="shared" si="16"/>
        <v/>
      </c>
      <c r="BX710" s="102" t="str">
        <f t="shared" si="15"/>
        <v/>
      </c>
      <c r="BY710" s="107" t="str">
        <f t="shared" si="5"/>
        <v/>
      </c>
      <c r="BZ710" s="107" t="str">
        <f t="array" ref="BZ710">IF($A710&lt;&gt;"",INDEX(LISTA!$M$2:$N$27,MATCH($BC710,LISTA!$N$2:$N$27,0),1),"")</f>
        <v/>
      </c>
      <c r="CA710" s="67" t="str">
        <f t="shared" si="6"/>
        <v/>
      </c>
      <c r="CB710" s="114" t="str">
        <f t="shared" si="7"/>
        <v/>
      </c>
      <c r="CC710" s="114"/>
    </row>
    <row r="711" ht="22.5" customHeight="1">
      <c r="A711" s="59"/>
      <c r="B711" s="115"/>
      <c r="C711" s="54"/>
      <c r="D711" s="56"/>
      <c r="E711" s="69"/>
      <c r="F711" s="73"/>
      <c r="G711" s="79"/>
      <c r="H711" s="79"/>
      <c r="I711" s="67"/>
      <c r="J711" s="79"/>
      <c r="K711" s="67"/>
      <c r="L711" s="79"/>
      <c r="M711" s="83"/>
      <c r="N711" s="78"/>
      <c r="O711" s="80"/>
      <c r="P711" s="70"/>
      <c r="Q711" s="54"/>
      <c r="R711" s="67"/>
      <c r="S711" s="67"/>
      <c r="T711" s="54"/>
      <c r="U711" s="86"/>
      <c r="V711" s="54"/>
      <c r="W711" s="86"/>
      <c r="X711" s="54"/>
      <c r="Y711" s="78"/>
      <c r="Z711" s="54"/>
      <c r="AA711" s="70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54"/>
      <c r="AR711" s="83"/>
      <c r="AS711" s="83"/>
      <c r="AT711" s="93"/>
      <c r="AU711" s="93"/>
      <c r="AV711" s="93"/>
      <c r="AW711" s="83"/>
      <c r="AX711" s="83"/>
      <c r="AY711" s="83"/>
      <c r="AZ711" s="83"/>
      <c r="BA711" s="83"/>
      <c r="BB711" s="83"/>
      <c r="BC711" s="54"/>
      <c r="BD711" s="54" t="str">
        <f t="shared" si="1"/>
        <v/>
      </c>
      <c r="BE711" s="67"/>
      <c r="BF711" s="67"/>
      <c r="BG711" s="67"/>
      <c r="BH711" s="67"/>
      <c r="BI711" s="67"/>
      <c r="BJ711" s="67"/>
      <c r="BK711" s="67"/>
      <c r="BL711" s="67"/>
      <c r="BM711" s="67"/>
      <c r="BN711" s="100"/>
      <c r="BO711" s="102"/>
      <c r="BP711" s="67"/>
      <c r="BQ711" s="79"/>
      <c r="BR711" s="67"/>
      <c r="BS711" s="102"/>
      <c r="BT711" s="106"/>
      <c r="BU711" s="107"/>
      <c r="BV711" s="108" t="str">
        <f t="shared" si="17"/>
        <v/>
      </c>
      <c r="BW711" s="108" t="str">
        <f t="shared" si="16"/>
        <v/>
      </c>
      <c r="BX711" s="102" t="str">
        <f t="shared" si="15"/>
        <v/>
      </c>
      <c r="BY711" s="107" t="str">
        <f t="shared" si="5"/>
        <v/>
      </c>
      <c r="BZ711" s="107" t="str">
        <f t="array" ref="BZ711">IF($A711&lt;&gt;"",INDEX(LISTA!$M$2:$N$27,MATCH($BC711,LISTA!$N$2:$N$27,0),1),"")</f>
        <v/>
      </c>
      <c r="CA711" s="67" t="str">
        <f t="shared" si="6"/>
        <v/>
      </c>
      <c r="CB711" s="114" t="str">
        <f t="shared" si="7"/>
        <v/>
      </c>
      <c r="CC711" s="114"/>
    </row>
    <row r="712" ht="22.5" customHeight="1">
      <c r="A712" s="59"/>
      <c r="B712" s="115"/>
      <c r="C712" s="54"/>
      <c r="D712" s="56"/>
      <c r="E712" s="69"/>
      <c r="F712" s="73"/>
      <c r="G712" s="79"/>
      <c r="H712" s="79"/>
      <c r="I712" s="67"/>
      <c r="J712" s="79"/>
      <c r="K712" s="67"/>
      <c r="L712" s="79"/>
      <c r="M712" s="83"/>
      <c r="N712" s="78"/>
      <c r="O712" s="80"/>
      <c r="P712" s="70"/>
      <c r="Q712" s="54"/>
      <c r="R712" s="67"/>
      <c r="S712" s="67"/>
      <c r="T712" s="54"/>
      <c r="U712" s="86"/>
      <c r="V712" s="54"/>
      <c r="W712" s="86"/>
      <c r="X712" s="54"/>
      <c r="Y712" s="78"/>
      <c r="Z712" s="54"/>
      <c r="AA712" s="70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54"/>
      <c r="AR712" s="83"/>
      <c r="AS712" s="83"/>
      <c r="AT712" s="93"/>
      <c r="AU712" s="93"/>
      <c r="AV712" s="93"/>
      <c r="AW712" s="83"/>
      <c r="AX712" s="83"/>
      <c r="AY712" s="83"/>
      <c r="AZ712" s="83"/>
      <c r="BA712" s="83"/>
      <c r="BB712" s="83"/>
      <c r="BC712" s="54"/>
      <c r="BD712" s="54" t="str">
        <f t="shared" si="1"/>
        <v/>
      </c>
      <c r="BE712" s="67"/>
      <c r="BF712" s="67"/>
      <c r="BG712" s="67"/>
      <c r="BH712" s="67"/>
      <c r="BI712" s="67"/>
      <c r="BJ712" s="67"/>
      <c r="BK712" s="67"/>
      <c r="BL712" s="67"/>
      <c r="BM712" s="67"/>
      <c r="BN712" s="100"/>
      <c r="BO712" s="102"/>
      <c r="BP712" s="67"/>
      <c r="BQ712" s="79"/>
      <c r="BR712" s="67"/>
      <c r="BS712" s="102"/>
      <c r="BT712" s="106"/>
      <c r="BU712" s="107"/>
      <c r="BV712" s="108" t="str">
        <f t="shared" si="17"/>
        <v/>
      </c>
      <c r="BW712" s="108" t="str">
        <f t="shared" si="16"/>
        <v/>
      </c>
      <c r="BX712" s="102" t="str">
        <f t="shared" si="15"/>
        <v/>
      </c>
      <c r="BY712" s="107" t="str">
        <f t="shared" si="5"/>
        <v/>
      </c>
      <c r="BZ712" s="107" t="str">
        <f t="array" ref="BZ712">IF($A712&lt;&gt;"",INDEX(LISTA!$M$2:$N$27,MATCH($BC712,LISTA!$N$2:$N$27,0),1),"")</f>
        <v/>
      </c>
      <c r="CA712" s="67" t="str">
        <f t="shared" si="6"/>
        <v/>
      </c>
      <c r="CB712" s="114" t="str">
        <f t="shared" si="7"/>
        <v/>
      </c>
      <c r="CC712" s="114"/>
    </row>
    <row r="713" ht="22.5" customHeight="1">
      <c r="A713" s="59"/>
      <c r="B713" s="115"/>
      <c r="C713" s="54"/>
      <c r="D713" s="56"/>
      <c r="E713" s="69"/>
      <c r="F713" s="73"/>
      <c r="G713" s="79"/>
      <c r="H713" s="79"/>
      <c r="I713" s="67"/>
      <c r="J713" s="79"/>
      <c r="K713" s="67"/>
      <c r="L713" s="79"/>
      <c r="M713" s="83"/>
      <c r="N713" s="78"/>
      <c r="O713" s="80"/>
      <c r="P713" s="70"/>
      <c r="Q713" s="54"/>
      <c r="R713" s="67"/>
      <c r="S713" s="67"/>
      <c r="T713" s="54"/>
      <c r="U713" s="86"/>
      <c r="V713" s="54"/>
      <c r="W713" s="86"/>
      <c r="X713" s="54"/>
      <c r="Y713" s="78"/>
      <c r="Z713" s="54"/>
      <c r="AA713" s="70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54"/>
      <c r="AR713" s="83"/>
      <c r="AS713" s="83"/>
      <c r="AT713" s="93"/>
      <c r="AU713" s="93"/>
      <c r="AV713" s="93"/>
      <c r="AW713" s="83"/>
      <c r="AX713" s="83"/>
      <c r="AY713" s="83"/>
      <c r="AZ713" s="83"/>
      <c r="BA713" s="83"/>
      <c r="BB713" s="83"/>
      <c r="BC713" s="54"/>
      <c r="BD713" s="54" t="str">
        <f t="shared" si="1"/>
        <v/>
      </c>
      <c r="BE713" s="67"/>
      <c r="BF713" s="67"/>
      <c r="BG713" s="67"/>
      <c r="BH713" s="67"/>
      <c r="BI713" s="67"/>
      <c r="BJ713" s="67"/>
      <c r="BK713" s="67"/>
      <c r="BL713" s="67"/>
      <c r="BM713" s="67"/>
      <c r="BN713" s="100"/>
      <c r="BO713" s="102"/>
      <c r="BP713" s="67"/>
      <c r="BQ713" s="79"/>
      <c r="BR713" s="67"/>
      <c r="BS713" s="102"/>
      <c r="BT713" s="106"/>
      <c r="BU713" s="107"/>
      <c r="BV713" s="108" t="str">
        <f t="shared" si="17"/>
        <v/>
      </c>
      <c r="BW713" s="108" t="str">
        <f t="shared" si="16"/>
        <v/>
      </c>
      <c r="BX713" s="102" t="str">
        <f t="shared" si="15"/>
        <v/>
      </c>
      <c r="BY713" s="107" t="str">
        <f t="shared" si="5"/>
        <v/>
      </c>
      <c r="BZ713" s="107" t="str">
        <f t="array" ref="BZ713">IF($A713&lt;&gt;"",INDEX(LISTA!$M$2:$N$27,MATCH($BC713,LISTA!$N$2:$N$27,0),1),"")</f>
        <v/>
      </c>
      <c r="CA713" s="67" t="str">
        <f t="shared" si="6"/>
        <v/>
      </c>
      <c r="CB713" s="114" t="str">
        <f t="shared" si="7"/>
        <v/>
      </c>
      <c r="CC713" s="114"/>
    </row>
    <row r="714" ht="22.5" customHeight="1">
      <c r="A714" s="59"/>
      <c r="B714" s="115"/>
      <c r="C714" s="54"/>
      <c r="D714" s="56"/>
      <c r="E714" s="69"/>
      <c r="F714" s="73"/>
      <c r="G714" s="79"/>
      <c r="H714" s="79"/>
      <c r="I714" s="67"/>
      <c r="J714" s="79"/>
      <c r="K714" s="67"/>
      <c r="L714" s="79"/>
      <c r="M714" s="83"/>
      <c r="N714" s="78"/>
      <c r="O714" s="80"/>
      <c r="P714" s="70"/>
      <c r="Q714" s="54"/>
      <c r="R714" s="67"/>
      <c r="S714" s="67"/>
      <c r="T714" s="54"/>
      <c r="U714" s="86"/>
      <c r="V714" s="54"/>
      <c r="W714" s="86"/>
      <c r="X714" s="54"/>
      <c r="Y714" s="78"/>
      <c r="Z714" s="54"/>
      <c r="AA714" s="70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54"/>
      <c r="AR714" s="83"/>
      <c r="AS714" s="83"/>
      <c r="AT714" s="93"/>
      <c r="AU714" s="93"/>
      <c r="AV714" s="93"/>
      <c r="AW714" s="83"/>
      <c r="AX714" s="83"/>
      <c r="AY714" s="83"/>
      <c r="AZ714" s="83"/>
      <c r="BA714" s="83"/>
      <c r="BB714" s="83"/>
      <c r="BC714" s="54"/>
      <c r="BD714" s="54" t="str">
        <f t="shared" si="1"/>
        <v/>
      </c>
      <c r="BE714" s="67"/>
      <c r="BF714" s="67"/>
      <c r="BG714" s="67"/>
      <c r="BH714" s="67"/>
      <c r="BI714" s="67"/>
      <c r="BJ714" s="67"/>
      <c r="BK714" s="67"/>
      <c r="BL714" s="67"/>
      <c r="BM714" s="67"/>
      <c r="BN714" s="100"/>
      <c r="BO714" s="102"/>
      <c r="BP714" s="67"/>
      <c r="BQ714" s="79"/>
      <c r="BR714" s="67"/>
      <c r="BS714" s="102"/>
      <c r="BT714" s="106"/>
      <c r="BU714" s="107"/>
      <c r="BV714" s="108" t="str">
        <f t="shared" si="17"/>
        <v/>
      </c>
      <c r="BW714" s="108" t="str">
        <f t="shared" si="16"/>
        <v/>
      </c>
      <c r="BX714" s="102" t="str">
        <f t="shared" si="15"/>
        <v/>
      </c>
      <c r="BY714" s="107" t="str">
        <f t="shared" si="5"/>
        <v/>
      </c>
      <c r="BZ714" s="107" t="str">
        <f t="array" ref="BZ714">IF($A714&lt;&gt;"",INDEX(LISTA!$M$2:$N$27,MATCH($BC714,LISTA!$N$2:$N$27,0),1),"")</f>
        <v/>
      </c>
      <c r="CA714" s="67" t="str">
        <f t="shared" si="6"/>
        <v/>
      </c>
      <c r="CB714" s="114" t="str">
        <f t="shared" si="7"/>
        <v/>
      </c>
      <c r="CC714" s="114"/>
    </row>
    <row r="715" ht="22.5" customHeight="1">
      <c r="A715" s="59"/>
      <c r="B715" s="115"/>
      <c r="C715" s="54"/>
      <c r="D715" s="56"/>
      <c r="E715" s="69"/>
      <c r="F715" s="73"/>
      <c r="G715" s="79"/>
      <c r="H715" s="79"/>
      <c r="I715" s="67"/>
      <c r="J715" s="79"/>
      <c r="K715" s="67"/>
      <c r="L715" s="79"/>
      <c r="M715" s="83"/>
      <c r="N715" s="78"/>
      <c r="O715" s="80"/>
      <c r="P715" s="70"/>
      <c r="Q715" s="54"/>
      <c r="R715" s="67"/>
      <c r="S715" s="67"/>
      <c r="T715" s="54"/>
      <c r="U715" s="86"/>
      <c r="V715" s="54"/>
      <c r="W715" s="86"/>
      <c r="X715" s="54"/>
      <c r="Y715" s="78"/>
      <c r="Z715" s="54"/>
      <c r="AA715" s="70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54"/>
      <c r="AR715" s="83"/>
      <c r="AS715" s="83"/>
      <c r="AT715" s="93"/>
      <c r="AU715" s="93"/>
      <c r="AV715" s="93"/>
      <c r="AW715" s="83"/>
      <c r="AX715" s="83"/>
      <c r="AY715" s="83"/>
      <c r="AZ715" s="83"/>
      <c r="BA715" s="83"/>
      <c r="BB715" s="83"/>
      <c r="BC715" s="54"/>
      <c r="BD715" s="54" t="str">
        <f t="shared" si="1"/>
        <v/>
      </c>
      <c r="BE715" s="67"/>
      <c r="BF715" s="67"/>
      <c r="BG715" s="67"/>
      <c r="BH715" s="67"/>
      <c r="BI715" s="67"/>
      <c r="BJ715" s="67"/>
      <c r="BK715" s="67"/>
      <c r="BL715" s="67"/>
      <c r="BM715" s="67"/>
      <c r="BN715" s="100"/>
      <c r="BO715" s="102"/>
      <c r="BP715" s="67"/>
      <c r="BQ715" s="79"/>
      <c r="BR715" s="67"/>
      <c r="BS715" s="102"/>
      <c r="BT715" s="106"/>
      <c r="BU715" s="107"/>
      <c r="BV715" s="108" t="str">
        <f t="shared" si="17"/>
        <v/>
      </c>
      <c r="BW715" s="108" t="str">
        <f t="shared" si="16"/>
        <v/>
      </c>
      <c r="BX715" s="102" t="str">
        <f t="shared" si="15"/>
        <v/>
      </c>
      <c r="BY715" s="107" t="str">
        <f t="shared" si="5"/>
        <v/>
      </c>
      <c r="BZ715" s="107" t="str">
        <f t="array" ref="BZ715">IF($A715&lt;&gt;"",INDEX(LISTA!$M$2:$N$27,MATCH($BC715,LISTA!$N$2:$N$27,0),1),"")</f>
        <v/>
      </c>
      <c r="CA715" s="67" t="str">
        <f t="shared" si="6"/>
        <v/>
      </c>
      <c r="CB715" s="114" t="str">
        <f t="shared" si="7"/>
        <v/>
      </c>
      <c r="CC715" s="114"/>
    </row>
    <row r="716" ht="22.5" customHeight="1">
      <c r="A716" s="59"/>
      <c r="B716" s="115"/>
      <c r="C716" s="54"/>
      <c r="D716" s="56"/>
      <c r="E716" s="69"/>
      <c r="F716" s="73"/>
      <c r="G716" s="79"/>
      <c r="H716" s="79"/>
      <c r="I716" s="67"/>
      <c r="J716" s="79"/>
      <c r="K716" s="67"/>
      <c r="L716" s="79"/>
      <c r="M716" s="83"/>
      <c r="N716" s="78"/>
      <c r="O716" s="80"/>
      <c r="P716" s="70"/>
      <c r="Q716" s="54"/>
      <c r="R716" s="67"/>
      <c r="S716" s="67"/>
      <c r="T716" s="54"/>
      <c r="U716" s="86"/>
      <c r="V716" s="54"/>
      <c r="W716" s="86"/>
      <c r="X716" s="54"/>
      <c r="Y716" s="78"/>
      <c r="Z716" s="54"/>
      <c r="AA716" s="70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54"/>
      <c r="AR716" s="83"/>
      <c r="AS716" s="83"/>
      <c r="AT716" s="93"/>
      <c r="AU716" s="93"/>
      <c r="AV716" s="93"/>
      <c r="AW716" s="83"/>
      <c r="AX716" s="83"/>
      <c r="AY716" s="83"/>
      <c r="AZ716" s="83"/>
      <c r="BA716" s="83"/>
      <c r="BB716" s="83"/>
      <c r="BC716" s="54"/>
      <c r="BD716" s="54" t="str">
        <f t="shared" si="1"/>
        <v/>
      </c>
      <c r="BE716" s="67"/>
      <c r="BF716" s="67"/>
      <c r="BG716" s="67"/>
      <c r="BH716" s="67"/>
      <c r="BI716" s="67"/>
      <c r="BJ716" s="67"/>
      <c r="BK716" s="67"/>
      <c r="BL716" s="67"/>
      <c r="BM716" s="67"/>
      <c r="BN716" s="100"/>
      <c r="BO716" s="102"/>
      <c r="BP716" s="67"/>
      <c r="BQ716" s="79"/>
      <c r="BR716" s="67"/>
      <c r="BS716" s="102"/>
      <c r="BT716" s="106"/>
      <c r="BU716" s="107"/>
      <c r="BV716" s="108" t="str">
        <f t="shared" si="17"/>
        <v/>
      </c>
      <c r="BW716" s="108" t="str">
        <f t="shared" si="16"/>
        <v/>
      </c>
      <c r="BX716" s="102" t="str">
        <f t="shared" si="15"/>
        <v/>
      </c>
      <c r="BY716" s="107" t="str">
        <f t="shared" si="5"/>
        <v/>
      </c>
      <c r="BZ716" s="107" t="str">
        <f t="array" ref="BZ716">IF($A716&lt;&gt;"",INDEX(LISTA!$M$2:$N$27,MATCH($BC716,LISTA!$N$2:$N$27,0),1),"")</f>
        <v/>
      </c>
      <c r="CA716" s="67" t="str">
        <f t="shared" si="6"/>
        <v/>
      </c>
      <c r="CB716" s="114" t="str">
        <f t="shared" si="7"/>
        <v/>
      </c>
      <c r="CC716" s="114"/>
    </row>
    <row r="717" ht="22.5" customHeight="1">
      <c r="A717" s="59"/>
      <c r="B717" s="115"/>
      <c r="C717" s="54"/>
      <c r="D717" s="56"/>
      <c r="E717" s="69"/>
      <c r="F717" s="73"/>
      <c r="G717" s="79"/>
      <c r="H717" s="79"/>
      <c r="I717" s="67"/>
      <c r="J717" s="79"/>
      <c r="K717" s="67"/>
      <c r="L717" s="79"/>
      <c r="M717" s="83"/>
      <c r="N717" s="78"/>
      <c r="O717" s="80"/>
      <c r="P717" s="70"/>
      <c r="Q717" s="54"/>
      <c r="R717" s="67"/>
      <c r="S717" s="67"/>
      <c r="T717" s="54"/>
      <c r="U717" s="86"/>
      <c r="V717" s="54"/>
      <c r="W717" s="86"/>
      <c r="X717" s="54"/>
      <c r="Y717" s="78"/>
      <c r="Z717" s="54"/>
      <c r="AA717" s="70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54"/>
      <c r="AR717" s="83"/>
      <c r="AS717" s="83"/>
      <c r="AT717" s="93"/>
      <c r="AU717" s="93"/>
      <c r="AV717" s="93"/>
      <c r="AW717" s="83"/>
      <c r="AX717" s="83"/>
      <c r="AY717" s="83"/>
      <c r="AZ717" s="83"/>
      <c r="BA717" s="83"/>
      <c r="BB717" s="83"/>
      <c r="BC717" s="54"/>
      <c r="BD717" s="54" t="str">
        <f t="shared" si="1"/>
        <v/>
      </c>
      <c r="BE717" s="67"/>
      <c r="BF717" s="67"/>
      <c r="BG717" s="67"/>
      <c r="BH717" s="67"/>
      <c r="BI717" s="67"/>
      <c r="BJ717" s="67"/>
      <c r="BK717" s="67"/>
      <c r="BL717" s="67"/>
      <c r="BM717" s="67"/>
      <c r="BN717" s="100"/>
      <c r="BO717" s="102"/>
      <c r="BP717" s="67"/>
      <c r="BQ717" s="79"/>
      <c r="BR717" s="67"/>
      <c r="BS717" s="102"/>
      <c r="BT717" s="106"/>
      <c r="BU717" s="107"/>
      <c r="BV717" s="108" t="str">
        <f t="shared" si="17"/>
        <v/>
      </c>
      <c r="BW717" s="108" t="str">
        <f t="shared" si="16"/>
        <v/>
      </c>
      <c r="BX717" s="102" t="str">
        <f t="shared" si="15"/>
        <v/>
      </c>
      <c r="BY717" s="107" t="str">
        <f t="shared" si="5"/>
        <v/>
      </c>
      <c r="BZ717" s="107" t="str">
        <f t="array" ref="BZ717">IF($A717&lt;&gt;"",INDEX(LISTA!$M$2:$N$27,MATCH($BC717,LISTA!$N$2:$N$27,0),1),"")</f>
        <v/>
      </c>
      <c r="CA717" s="67" t="str">
        <f t="shared" si="6"/>
        <v/>
      </c>
      <c r="CB717" s="114" t="str">
        <f t="shared" si="7"/>
        <v/>
      </c>
      <c r="CC717" s="114"/>
    </row>
    <row r="718" ht="22.5" customHeight="1">
      <c r="A718" s="59"/>
      <c r="B718" s="115"/>
      <c r="C718" s="54"/>
      <c r="D718" s="56"/>
      <c r="E718" s="69"/>
      <c r="F718" s="73"/>
      <c r="G718" s="79"/>
      <c r="H718" s="79"/>
      <c r="I718" s="67"/>
      <c r="J718" s="79"/>
      <c r="K718" s="67"/>
      <c r="L718" s="79"/>
      <c r="M718" s="83"/>
      <c r="N718" s="78"/>
      <c r="O718" s="80"/>
      <c r="P718" s="70"/>
      <c r="Q718" s="54"/>
      <c r="R718" s="67"/>
      <c r="S718" s="67"/>
      <c r="T718" s="54"/>
      <c r="U718" s="86"/>
      <c r="V718" s="54"/>
      <c r="W718" s="86"/>
      <c r="X718" s="54"/>
      <c r="Y718" s="78"/>
      <c r="Z718" s="54"/>
      <c r="AA718" s="70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54"/>
      <c r="AR718" s="83"/>
      <c r="AS718" s="83"/>
      <c r="AT718" s="93"/>
      <c r="AU718" s="93"/>
      <c r="AV718" s="93"/>
      <c r="AW718" s="83"/>
      <c r="AX718" s="83"/>
      <c r="AY718" s="83"/>
      <c r="AZ718" s="83"/>
      <c r="BA718" s="83"/>
      <c r="BB718" s="83"/>
      <c r="BC718" s="54"/>
      <c r="BD718" s="54" t="str">
        <f t="shared" si="1"/>
        <v/>
      </c>
      <c r="BE718" s="67"/>
      <c r="BF718" s="67"/>
      <c r="BG718" s="67"/>
      <c r="BH718" s="67"/>
      <c r="BI718" s="67"/>
      <c r="BJ718" s="67"/>
      <c r="BK718" s="67"/>
      <c r="BL718" s="67"/>
      <c r="BM718" s="67"/>
      <c r="BN718" s="100"/>
      <c r="BO718" s="102"/>
      <c r="BP718" s="67"/>
      <c r="BQ718" s="79"/>
      <c r="BR718" s="67"/>
      <c r="BS718" s="102"/>
      <c r="BT718" s="106"/>
      <c r="BU718" s="107"/>
      <c r="BV718" s="108" t="str">
        <f t="shared" si="17"/>
        <v/>
      </c>
      <c r="BW718" s="108" t="str">
        <f t="shared" si="16"/>
        <v/>
      </c>
      <c r="BX718" s="102" t="str">
        <f t="shared" si="15"/>
        <v/>
      </c>
      <c r="BY718" s="107" t="str">
        <f t="shared" si="5"/>
        <v/>
      </c>
      <c r="BZ718" s="107" t="str">
        <f t="array" ref="BZ718">IF($A718&lt;&gt;"",INDEX(LISTA!$M$2:$N$27,MATCH($BC718,LISTA!$N$2:$N$27,0),1),"")</f>
        <v/>
      </c>
      <c r="CA718" s="67" t="str">
        <f t="shared" si="6"/>
        <v/>
      </c>
      <c r="CB718" s="114" t="str">
        <f t="shared" si="7"/>
        <v/>
      </c>
      <c r="CC718" s="114"/>
    </row>
    <row r="719" ht="22.5" customHeight="1">
      <c r="A719" s="59"/>
      <c r="B719" s="115"/>
      <c r="C719" s="54"/>
      <c r="D719" s="56"/>
      <c r="E719" s="69"/>
      <c r="F719" s="73"/>
      <c r="G719" s="79"/>
      <c r="H719" s="79"/>
      <c r="I719" s="67"/>
      <c r="J719" s="79"/>
      <c r="K719" s="67"/>
      <c r="L719" s="79"/>
      <c r="M719" s="83"/>
      <c r="N719" s="78"/>
      <c r="O719" s="80"/>
      <c r="P719" s="70"/>
      <c r="Q719" s="54"/>
      <c r="R719" s="67"/>
      <c r="S719" s="67"/>
      <c r="T719" s="54"/>
      <c r="U719" s="86"/>
      <c r="V719" s="54"/>
      <c r="W719" s="86"/>
      <c r="X719" s="54"/>
      <c r="Y719" s="78"/>
      <c r="Z719" s="54"/>
      <c r="AA719" s="70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54"/>
      <c r="AR719" s="83"/>
      <c r="AS719" s="83"/>
      <c r="AT719" s="93"/>
      <c r="AU719" s="93"/>
      <c r="AV719" s="93"/>
      <c r="AW719" s="83"/>
      <c r="AX719" s="83"/>
      <c r="AY719" s="83"/>
      <c r="AZ719" s="83"/>
      <c r="BA719" s="83"/>
      <c r="BB719" s="83"/>
      <c r="BC719" s="54"/>
      <c r="BD719" s="54" t="str">
        <f t="shared" si="1"/>
        <v/>
      </c>
      <c r="BE719" s="67"/>
      <c r="BF719" s="67"/>
      <c r="BG719" s="67"/>
      <c r="BH719" s="67"/>
      <c r="BI719" s="67"/>
      <c r="BJ719" s="67"/>
      <c r="BK719" s="67"/>
      <c r="BL719" s="67"/>
      <c r="BM719" s="67"/>
      <c r="BN719" s="100"/>
      <c r="BO719" s="102"/>
      <c r="BP719" s="67"/>
      <c r="BQ719" s="79"/>
      <c r="BR719" s="67"/>
      <c r="BS719" s="102"/>
      <c r="BT719" s="106"/>
      <c r="BU719" s="107"/>
      <c r="BV719" s="108" t="str">
        <f t="shared" si="17"/>
        <v/>
      </c>
      <c r="BW719" s="108" t="str">
        <f t="shared" si="16"/>
        <v/>
      </c>
      <c r="BX719" s="102" t="str">
        <f t="shared" si="15"/>
        <v/>
      </c>
      <c r="BY719" s="107" t="str">
        <f t="shared" si="5"/>
        <v/>
      </c>
      <c r="BZ719" s="107" t="str">
        <f t="array" ref="BZ719">IF($A719&lt;&gt;"",INDEX(LISTA!$M$2:$N$27,MATCH($BC719,LISTA!$N$2:$N$27,0),1),"")</f>
        <v/>
      </c>
      <c r="CA719" s="67" t="str">
        <f t="shared" si="6"/>
        <v/>
      </c>
      <c r="CB719" s="114" t="str">
        <f t="shared" si="7"/>
        <v/>
      </c>
      <c r="CC719" s="114"/>
    </row>
    <row r="720" ht="22.5" customHeight="1">
      <c r="A720" s="59"/>
      <c r="B720" s="115"/>
      <c r="C720" s="54"/>
      <c r="D720" s="56"/>
      <c r="E720" s="69"/>
      <c r="F720" s="73"/>
      <c r="G720" s="79"/>
      <c r="H720" s="79"/>
      <c r="I720" s="67"/>
      <c r="J720" s="79"/>
      <c r="K720" s="67"/>
      <c r="L720" s="79"/>
      <c r="M720" s="83"/>
      <c r="N720" s="78"/>
      <c r="O720" s="80"/>
      <c r="P720" s="70"/>
      <c r="Q720" s="54"/>
      <c r="R720" s="67"/>
      <c r="S720" s="67"/>
      <c r="T720" s="54"/>
      <c r="U720" s="86"/>
      <c r="V720" s="54"/>
      <c r="W720" s="86"/>
      <c r="X720" s="54"/>
      <c r="Y720" s="78"/>
      <c r="Z720" s="54"/>
      <c r="AA720" s="70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54"/>
      <c r="AR720" s="83"/>
      <c r="AS720" s="83"/>
      <c r="AT720" s="93"/>
      <c r="AU720" s="93"/>
      <c r="AV720" s="93"/>
      <c r="AW720" s="83"/>
      <c r="AX720" s="83"/>
      <c r="AY720" s="83"/>
      <c r="AZ720" s="83"/>
      <c r="BA720" s="83"/>
      <c r="BB720" s="83"/>
      <c r="BC720" s="54"/>
      <c r="BD720" s="54" t="str">
        <f t="shared" si="1"/>
        <v/>
      </c>
      <c r="BE720" s="67"/>
      <c r="BF720" s="67"/>
      <c r="BG720" s="67"/>
      <c r="BH720" s="67"/>
      <c r="BI720" s="67"/>
      <c r="BJ720" s="67"/>
      <c r="BK720" s="67"/>
      <c r="BL720" s="67"/>
      <c r="BM720" s="67"/>
      <c r="BN720" s="100"/>
      <c r="BO720" s="102"/>
      <c r="BP720" s="67"/>
      <c r="BQ720" s="79"/>
      <c r="BR720" s="67"/>
      <c r="BS720" s="102"/>
      <c r="BT720" s="106"/>
      <c r="BU720" s="107"/>
      <c r="BV720" s="108" t="str">
        <f t="shared" si="17"/>
        <v/>
      </c>
      <c r="BW720" s="108" t="str">
        <f t="shared" si="16"/>
        <v/>
      </c>
      <c r="BX720" s="102" t="str">
        <f t="shared" si="15"/>
        <v/>
      </c>
      <c r="BY720" s="107" t="str">
        <f t="shared" si="5"/>
        <v/>
      </c>
      <c r="BZ720" s="107" t="str">
        <f t="array" ref="BZ720">IF($A720&lt;&gt;"",INDEX(LISTA!$M$2:$N$27,MATCH($BC720,LISTA!$N$2:$N$27,0),1),"")</f>
        <v/>
      </c>
      <c r="CA720" s="67" t="str">
        <f t="shared" si="6"/>
        <v/>
      </c>
      <c r="CB720" s="114" t="str">
        <f t="shared" si="7"/>
        <v/>
      </c>
      <c r="CC720" s="114"/>
    </row>
    <row r="721" ht="22.5" customHeight="1">
      <c r="A721" s="59"/>
      <c r="B721" s="115"/>
      <c r="C721" s="54"/>
      <c r="D721" s="56"/>
      <c r="E721" s="69"/>
      <c r="F721" s="73"/>
      <c r="G721" s="79"/>
      <c r="H721" s="79"/>
      <c r="I721" s="67"/>
      <c r="J721" s="79"/>
      <c r="K721" s="67"/>
      <c r="L721" s="79"/>
      <c r="M721" s="83"/>
      <c r="N721" s="78"/>
      <c r="O721" s="80"/>
      <c r="P721" s="70"/>
      <c r="Q721" s="54"/>
      <c r="R721" s="67"/>
      <c r="S721" s="67"/>
      <c r="T721" s="54"/>
      <c r="U721" s="86"/>
      <c r="V721" s="54"/>
      <c r="W721" s="86"/>
      <c r="X721" s="54"/>
      <c r="Y721" s="78"/>
      <c r="Z721" s="54"/>
      <c r="AA721" s="70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54"/>
      <c r="AR721" s="83"/>
      <c r="AS721" s="83"/>
      <c r="AT721" s="93"/>
      <c r="AU721" s="93"/>
      <c r="AV721" s="93"/>
      <c r="AW721" s="83"/>
      <c r="AX721" s="83"/>
      <c r="AY721" s="83"/>
      <c r="AZ721" s="83"/>
      <c r="BA721" s="83"/>
      <c r="BB721" s="83"/>
      <c r="BC721" s="54"/>
      <c r="BD721" s="54" t="str">
        <f t="shared" si="1"/>
        <v/>
      </c>
      <c r="BE721" s="67"/>
      <c r="BF721" s="67"/>
      <c r="BG721" s="67"/>
      <c r="BH721" s="67"/>
      <c r="BI721" s="67"/>
      <c r="BJ721" s="67"/>
      <c r="BK721" s="67"/>
      <c r="BL721" s="67"/>
      <c r="BM721" s="67"/>
      <c r="BN721" s="100"/>
      <c r="BO721" s="102"/>
      <c r="BP721" s="67"/>
      <c r="BQ721" s="79"/>
      <c r="BR721" s="67"/>
      <c r="BS721" s="102"/>
      <c r="BT721" s="106"/>
      <c r="BU721" s="107"/>
      <c r="BV721" s="108" t="str">
        <f t="shared" si="17"/>
        <v/>
      </c>
      <c r="BW721" s="108" t="str">
        <f t="shared" si="16"/>
        <v/>
      </c>
      <c r="BX721" s="102" t="str">
        <f t="shared" si="15"/>
        <v/>
      </c>
      <c r="BY721" s="107" t="str">
        <f t="shared" si="5"/>
        <v/>
      </c>
      <c r="BZ721" s="107" t="str">
        <f t="array" ref="BZ721">IF($A721&lt;&gt;"",INDEX(LISTA!$M$2:$N$27,MATCH($BC721,LISTA!$N$2:$N$27,0),1),"")</f>
        <v/>
      </c>
      <c r="CA721" s="67" t="str">
        <f t="shared" si="6"/>
        <v/>
      </c>
      <c r="CB721" s="114" t="str">
        <f t="shared" si="7"/>
        <v/>
      </c>
      <c r="CC721" s="114"/>
    </row>
    <row r="722" ht="22.5" customHeight="1">
      <c r="A722" s="59"/>
      <c r="B722" s="115"/>
      <c r="C722" s="54"/>
      <c r="D722" s="56"/>
      <c r="E722" s="69"/>
      <c r="F722" s="73"/>
      <c r="G722" s="79"/>
      <c r="H722" s="79"/>
      <c r="I722" s="67"/>
      <c r="J722" s="79"/>
      <c r="K722" s="67"/>
      <c r="L722" s="79"/>
      <c r="M722" s="83"/>
      <c r="N722" s="78"/>
      <c r="O722" s="80"/>
      <c r="P722" s="70"/>
      <c r="Q722" s="54"/>
      <c r="R722" s="67"/>
      <c r="S722" s="67"/>
      <c r="T722" s="54"/>
      <c r="U722" s="86"/>
      <c r="V722" s="54"/>
      <c r="W722" s="86"/>
      <c r="X722" s="54"/>
      <c r="Y722" s="78"/>
      <c r="Z722" s="54"/>
      <c r="AA722" s="70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54"/>
      <c r="AR722" s="83"/>
      <c r="AS722" s="83"/>
      <c r="AT722" s="93"/>
      <c r="AU722" s="93"/>
      <c r="AV722" s="93"/>
      <c r="AW722" s="83"/>
      <c r="AX722" s="83"/>
      <c r="AY722" s="83"/>
      <c r="AZ722" s="83"/>
      <c r="BA722" s="83"/>
      <c r="BB722" s="83"/>
      <c r="BC722" s="54"/>
      <c r="BD722" s="54" t="str">
        <f t="shared" si="1"/>
        <v/>
      </c>
      <c r="BE722" s="67"/>
      <c r="BF722" s="67"/>
      <c r="BG722" s="67"/>
      <c r="BH722" s="67"/>
      <c r="BI722" s="67"/>
      <c r="BJ722" s="67"/>
      <c r="BK722" s="67"/>
      <c r="BL722" s="67"/>
      <c r="BM722" s="67"/>
      <c r="BN722" s="100"/>
      <c r="BO722" s="102"/>
      <c r="BP722" s="67"/>
      <c r="BQ722" s="79"/>
      <c r="BR722" s="67"/>
      <c r="BS722" s="102"/>
      <c r="BT722" s="106"/>
      <c r="BU722" s="107"/>
      <c r="BV722" s="108" t="str">
        <f t="shared" si="17"/>
        <v/>
      </c>
      <c r="BW722" s="108" t="str">
        <f t="shared" si="16"/>
        <v/>
      </c>
      <c r="BX722" s="102" t="str">
        <f t="shared" si="15"/>
        <v/>
      </c>
      <c r="BY722" s="107" t="str">
        <f t="shared" si="5"/>
        <v/>
      </c>
      <c r="BZ722" s="107" t="str">
        <f t="array" ref="BZ722">IF($A722&lt;&gt;"",INDEX(LISTA!$M$2:$N$27,MATCH($BC722,LISTA!$N$2:$N$27,0),1),"")</f>
        <v/>
      </c>
      <c r="CA722" s="67" t="str">
        <f t="shared" si="6"/>
        <v/>
      </c>
      <c r="CB722" s="114" t="str">
        <f t="shared" si="7"/>
        <v/>
      </c>
      <c r="CC722" s="114"/>
    </row>
    <row r="723" ht="22.5" customHeight="1">
      <c r="A723" s="59"/>
      <c r="B723" s="115"/>
      <c r="C723" s="54"/>
      <c r="D723" s="56"/>
      <c r="E723" s="69"/>
      <c r="F723" s="73"/>
      <c r="G723" s="79"/>
      <c r="H723" s="79"/>
      <c r="I723" s="67"/>
      <c r="J723" s="79"/>
      <c r="K723" s="67"/>
      <c r="L723" s="79"/>
      <c r="M723" s="83"/>
      <c r="N723" s="78"/>
      <c r="O723" s="80"/>
      <c r="P723" s="70"/>
      <c r="Q723" s="54"/>
      <c r="R723" s="67"/>
      <c r="S723" s="67"/>
      <c r="T723" s="54"/>
      <c r="U723" s="86"/>
      <c r="V723" s="54"/>
      <c r="W723" s="86"/>
      <c r="X723" s="54"/>
      <c r="Y723" s="78"/>
      <c r="Z723" s="54"/>
      <c r="AA723" s="70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54"/>
      <c r="AR723" s="83"/>
      <c r="AS723" s="83"/>
      <c r="AT723" s="93"/>
      <c r="AU723" s="93"/>
      <c r="AV723" s="93"/>
      <c r="AW723" s="83"/>
      <c r="AX723" s="83"/>
      <c r="AY723" s="83"/>
      <c r="AZ723" s="83"/>
      <c r="BA723" s="83"/>
      <c r="BB723" s="83"/>
      <c r="BC723" s="54"/>
      <c r="BD723" s="54" t="str">
        <f t="shared" si="1"/>
        <v/>
      </c>
      <c r="BE723" s="67"/>
      <c r="BF723" s="67"/>
      <c r="BG723" s="67"/>
      <c r="BH723" s="67"/>
      <c r="BI723" s="67"/>
      <c r="BJ723" s="67"/>
      <c r="BK723" s="67"/>
      <c r="BL723" s="67"/>
      <c r="BM723" s="67"/>
      <c r="BN723" s="100"/>
      <c r="BO723" s="102"/>
      <c r="BP723" s="67"/>
      <c r="BQ723" s="79"/>
      <c r="BR723" s="67"/>
      <c r="BS723" s="102"/>
      <c r="BT723" s="106"/>
      <c r="BU723" s="107"/>
      <c r="BV723" s="108" t="str">
        <f t="shared" si="17"/>
        <v/>
      </c>
      <c r="BW723" s="108" t="str">
        <f t="shared" si="16"/>
        <v/>
      </c>
      <c r="BX723" s="102" t="str">
        <f t="shared" si="15"/>
        <v/>
      </c>
      <c r="BY723" s="107" t="str">
        <f t="shared" si="5"/>
        <v/>
      </c>
      <c r="BZ723" s="107" t="str">
        <f t="array" ref="BZ723">IF($A723&lt;&gt;"",INDEX(LISTA!$M$2:$N$27,MATCH($BC723,LISTA!$N$2:$N$27,0),1),"")</f>
        <v/>
      </c>
      <c r="CA723" s="67" t="str">
        <f t="shared" si="6"/>
        <v/>
      </c>
      <c r="CB723" s="114" t="str">
        <f t="shared" si="7"/>
        <v/>
      </c>
      <c r="CC723" s="114"/>
    </row>
    <row r="724" ht="22.5" customHeight="1">
      <c r="A724" s="59"/>
      <c r="B724" s="115"/>
      <c r="C724" s="54"/>
      <c r="D724" s="56"/>
      <c r="E724" s="69"/>
      <c r="F724" s="73"/>
      <c r="G724" s="79"/>
      <c r="H724" s="79"/>
      <c r="I724" s="67"/>
      <c r="J724" s="79"/>
      <c r="K724" s="67"/>
      <c r="L724" s="79"/>
      <c r="M724" s="83"/>
      <c r="N724" s="78"/>
      <c r="O724" s="80"/>
      <c r="P724" s="70"/>
      <c r="Q724" s="54"/>
      <c r="R724" s="67"/>
      <c r="S724" s="67"/>
      <c r="T724" s="54"/>
      <c r="U724" s="86"/>
      <c r="V724" s="54"/>
      <c r="W724" s="86"/>
      <c r="X724" s="54"/>
      <c r="Y724" s="78"/>
      <c r="Z724" s="54"/>
      <c r="AA724" s="70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54"/>
      <c r="AR724" s="83"/>
      <c r="AS724" s="83"/>
      <c r="AT724" s="93"/>
      <c r="AU724" s="93"/>
      <c r="AV724" s="93"/>
      <c r="AW724" s="83"/>
      <c r="AX724" s="83"/>
      <c r="AY724" s="83"/>
      <c r="AZ724" s="83"/>
      <c r="BA724" s="83"/>
      <c r="BB724" s="83"/>
      <c r="BC724" s="54"/>
      <c r="BD724" s="54" t="str">
        <f t="shared" si="1"/>
        <v/>
      </c>
      <c r="BE724" s="67"/>
      <c r="BF724" s="67"/>
      <c r="BG724" s="67"/>
      <c r="BH724" s="67"/>
      <c r="BI724" s="67"/>
      <c r="BJ724" s="67"/>
      <c r="BK724" s="67"/>
      <c r="BL724" s="67"/>
      <c r="BM724" s="67"/>
      <c r="BN724" s="100"/>
      <c r="BO724" s="102"/>
      <c r="BP724" s="67"/>
      <c r="BQ724" s="79"/>
      <c r="BR724" s="67"/>
      <c r="BS724" s="102"/>
      <c r="BT724" s="106"/>
      <c r="BU724" s="107"/>
      <c r="BV724" s="108" t="str">
        <f t="shared" si="17"/>
        <v/>
      </c>
      <c r="BW724" s="108" t="str">
        <f t="shared" si="16"/>
        <v/>
      </c>
      <c r="BX724" s="102" t="str">
        <f t="shared" si="15"/>
        <v/>
      </c>
      <c r="BY724" s="107" t="str">
        <f t="shared" si="5"/>
        <v/>
      </c>
      <c r="BZ724" s="107" t="str">
        <f t="array" ref="BZ724">IF($A724&lt;&gt;"",INDEX(LISTA!$M$2:$N$27,MATCH($BC724,LISTA!$N$2:$N$27,0),1),"")</f>
        <v/>
      </c>
      <c r="CA724" s="67" t="str">
        <f t="shared" si="6"/>
        <v/>
      </c>
      <c r="CB724" s="114" t="str">
        <f t="shared" si="7"/>
        <v/>
      </c>
      <c r="CC724" s="114"/>
    </row>
    <row r="725" ht="22.5" customHeight="1">
      <c r="A725" s="59"/>
      <c r="B725" s="115"/>
      <c r="C725" s="54"/>
      <c r="D725" s="56"/>
      <c r="E725" s="69"/>
      <c r="F725" s="73"/>
      <c r="G725" s="79"/>
      <c r="H725" s="79"/>
      <c r="I725" s="67"/>
      <c r="J725" s="79"/>
      <c r="K725" s="67"/>
      <c r="L725" s="79"/>
      <c r="M725" s="83"/>
      <c r="N725" s="78"/>
      <c r="O725" s="80"/>
      <c r="P725" s="70"/>
      <c r="Q725" s="54"/>
      <c r="R725" s="67"/>
      <c r="S725" s="67"/>
      <c r="T725" s="54"/>
      <c r="U725" s="86"/>
      <c r="V725" s="54"/>
      <c r="W725" s="86"/>
      <c r="X725" s="54"/>
      <c r="Y725" s="78"/>
      <c r="Z725" s="54"/>
      <c r="AA725" s="70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54"/>
      <c r="AR725" s="83"/>
      <c r="AS725" s="83"/>
      <c r="AT725" s="93"/>
      <c r="AU725" s="93"/>
      <c r="AV725" s="93"/>
      <c r="AW725" s="83"/>
      <c r="AX725" s="83"/>
      <c r="AY725" s="83"/>
      <c r="AZ725" s="83"/>
      <c r="BA725" s="83"/>
      <c r="BB725" s="83"/>
      <c r="BC725" s="54"/>
      <c r="BD725" s="54" t="str">
        <f t="shared" si="1"/>
        <v/>
      </c>
      <c r="BE725" s="67"/>
      <c r="BF725" s="67"/>
      <c r="BG725" s="67"/>
      <c r="BH725" s="67"/>
      <c r="BI725" s="67"/>
      <c r="BJ725" s="67"/>
      <c r="BK725" s="67"/>
      <c r="BL725" s="67"/>
      <c r="BM725" s="67"/>
      <c r="BN725" s="100"/>
      <c r="BO725" s="102"/>
      <c r="BP725" s="67"/>
      <c r="BQ725" s="79"/>
      <c r="BR725" s="67"/>
      <c r="BS725" s="102"/>
      <c r="BT725" s="106"/>
      <c r="BU725" s="107"/>
      <c r="BV725" s="108" t="str">
        <f t="shared" si="17"/>
        <v/>
      </c>
      <c r="BW725" s="108" t="str">
        <f t="shared" si="16"/>
        <v/>
      </c>
      <c r="BX725" s="102" t="str">
        <f t="shared" si="15"/>
        <v/>
      </c>
      <c r="BY725" s="107" t="str">
        <f t="shared" si="5"/>
        <v/>
      </c>
      <c r="BZ725" s="107" t="str">
        <f t="array" ref="BZ725">IF($A725&lt;&gt;"",INDEX(LISTA!$M$2:$N$27,MATCH($BC725,LISTA!$N$2:$N$27,0),1),"")</f>
        <v/>
      </c>
      <c r="CA725" s="67" t="str">
        <f t="shared" si="6"/>
        <v/>
      </c>
      <c r="CB725" s="114" t="str">
        <f t="shared" si="7"/>
        <v/>
      </c>
      <c r="CC725" s="114"/>
    </row>
    <row r="726" ht="22.5" customHeight="1">
      <c r="A726" s="59"/>
      <c r="B726" s="115"/>
      <c r="C726" s="54"/>
      <c r="D726" s="56"/>
      <c r="E726" s="69"/>
      <c r="F726" s="73"/>
      <c r="G726" s="79"/>
      <c r="H726" s="79"/>
      <c r="I726" s="67"/>
      <c r="J726" s="79"/>
      <c r="K726" s="67"/>
      <c r="L726" s="79"/>
      <c r="M726" s="83"/>
      <c r="N726" s="78"/>
      <c r="O726" s="80"/>
      <c r="P726" s="70"/>
      <c r="Q726" s="54"/>
      <c r="R726" s="67"/>
      <c r="S726" s="67"/>
      <c r="T726" s="54"/>
      <c r="U726" s="86"/>
      <c r="V726" s="54"/>
      <c r="W726" s="86"/>
      <c r="X726" s="54"/>
      <c r="Y726" s="78"/>
      <c r="Z726" s="54"/>
      <c r="AA726" s="70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54"/>
      <c r="AR726" s="83"/>
      <c r="AS726" s="83"/>
      <c r="AT726" s="93"/>
      <c r="AU726" s="93"/>
      <c r="AV726" s="93"/>
      <c r="AW726" s="83"/>
      <c r="AX726" s="83"/>
      <c r="AY726" s="83"/>
      <c r="AZ726" s="83"/>
      <c r="BA726" s="83"/>
      <c r="BB726" s="83"/>
      <c r="BC726" s="54"/>
      <c r="BD726" s="54" t="str">
        <f t="shared" si="1"/>
        <v/>
      </c>
      <c r="BE726" s="67"/>
      <c r="BF726" s="67"/>
      <c r="BG726" s="67"/>
      <c r="BH726" s="67"/>
      <c r="BI726" s="67"/>
      <c r="BJ726" s="67"/>
      <c r="BK726" s="67"/>
      <c r="BL726" s="67"/>
      <c r="BM726" s="67"/>
      <c r="BN726" s="100"/>
      <c r="BO726" s="102"/>
      <c r="BP726" s="67"/>
      <c r="BQ726" s="79"/>
      <c r="BR726" s="67"/>
      <c r="BS726" s="102"/>
      <c r="BT726" s="106"/>
      <c r="BU726" s="107"/>
      <c r="BV726" s="108" t="str">
        <f t="shared" si="17"/>
        <v/>
      </c>
      <c r="BW726" s="108" t="str">
        <f t="shared" si="16"/>
        <v/>
      </c>
      <c r="BX726" s="102" t="str">
        <f t="shared" si="15"/>
        <v/>
      </c>
      <c r="BY726" s="107" t="str">
        <f t="shared" si="5"/>
        <v/>
      </c>
      <c r="BZ726" s="107" t="str">
        <f t="array" ref="BZ726">IF($A726&lt;&gt;"",INDEX(LISTA!$M$2:$N$27,MATCH($BC726,LISTA!$N$2:$N$27,0),1),"")</f>
        <v/>
      </c>
      <c r="CA726" s="67" t="str">
        <f t="shared" si="6"/>
        <v/>
      </c>
      <c r="CB726" s="114" t="str">
        <f t="shared" si="7"/>
        <v/>
      </c>
      <c r="CC726" s="114"/>
    </row>
    <row r="727" ht="22.5" customHeight="1">
      <c r="A727" s="59"/>
      <c r="B727" s="115"/>
      <c r="C727" s="54"/>
      <c r="D727" s="56"/>
      <c r="E727" s="69"/>
      <c r="F727" s="73"/>
      <c r="G727" s="79"/>
      <c r="H727" s="79"/>
      <c r="I727" s="67"/>
      <c r="J727" s="79"/>
      <c r="K727" s="67"/>
      <c r="L727" s="79"/>
      <c r="M727" s="83"/>
      <c r="N727" s="78"/>
      <c r="O727" s="80"/>
      <c r="P727" s="70"/>
      <c r="Q727" s="54"/>
      <c r="R727" s="67"/>
      <c r="S727" s="67"/>
      <c r="T727" s="54"/>
      <c r="U727" s="86"/>
      <c r="V727" s="54"/>
      <c r="W727" s="86"/>
      <c r="X727" s="54"/>
      <c r="Y727" s="78"/>
      <c r="Z727" s="54"/>
      <c r="AA727" s="70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54"/>
      <c r="AR727" s="83"/>
      <c r="AS727" s="83"/>
      <c r="AT727" s="93"/>
      <c r="AU727" s="93"/>
      <c r="AV727" s="93"/>
      <c r="AW727" s="83"/>
      <c r="AX727" s="83"/>
      <c r="AY727" s="83"/>
      <c r="AZ727" s="83"/>
      <c r="BA727" s="83"/>
      <c r="BB727" s="83"/>
      <c r="BC727" s="54"/>
      <c r="BD727" s="54" t="str">
        <f t="shared" si="1"/>
        <v/>
      </c>
      <c r="BE727" s="67"/>
      <c r="BF727" s="67"/>
      <c r="BG727" s="67"/>
      <c r="BH727" s="67"/>
      <c r="BI727" s="67"/>
      <c r="BJ727" s="67"/>
      <c r="BK727" s="67"/>
      <c r="BL727" s="67"/>
      <c r="BM727" s="67"/>
      <c r="BN727" s="100"/>
      <c r="BO727" s="102"/>
      <c r="BP727" s="67"/>
      <c r="BQ727" s="79"/>
      <c r="BR727" s="67"/>
      <c r="BS727" s="102"/>
      <c r="BT727" s="106"/>
      <c r="BU727" s="107"/>
      <c r="BV727" s="108" t="str">
        <f t="shared" si="17"/>
        <v/>
      </c>
      <c r="BW727" s="108" t="str">
        <f t="shared" si="16"/>
        <v/>
      </c>
      <c r="BX727" s="102" t="str">
        <f t="shared" si="15"/>
        <v/>
      </c>
      <c r="BY727" s="107" t="str">
        <f t="shared" si="5"/>
        <v/>
      </c>
      <c r="BZ727" s="107" t="str">
        <f t="array" ref="BZ727">IF($A727&lt;&gt;"",INDEX(LISTA!$M$2:$N$27,MATCH($BC727,LISTA!$N$2:$N$27,0),1),"")</f>
        <v/>
      </c>
      <c r="CA727" s="67" t="str">
        <f t="shared" si="6"/>
        <v/>
      </c>
      <c r="CB727" s="114" t="str">
        <f t="shared" si="7"/>
        <v/>
      </c>
      <c r="CC727" s="114"/>
    </row>
    <row r="728" ht="22.5" customHeight="1">
      <c r="A728" s="59"/>
      <c r="B728" s="115"/>
      <c r="C728" s="54"/>
      <c r="D728" s="56"/>
      <c r="E728" s="69"/>
      <c r="F728" s="73"/>
      <c r="G728" s="79"/>
      <c r="H728" s="79"/>
      <c r="I728" s="67"/>
      <c r="J728" s="79"/>
      <c r="K728" s="67"/>
      <c r="L728" s="79"/>
      <c r="M728" s="83"/>
      <c r="N728" s="78"/>
      <c r="O728" s="80"/>
      <c r="P728" s="70"/>
      <c r="Q728" s="54"/>
      <c r="R728" s="67"/>
      <c r="S728" s="67"/>
      <c r="T728" s="54"/>
      <c r="U728" s="86"/>
      <c r="V728" s="54"/>
      <c r="W728" s="86"/>
      <c r="X728" s="54"/>
      <c r="Y728" s="78"/>
      <c r="Z728" s="54"/>
      <c r="AA728" s="70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54"/>
      <c r="AR728" s="83"/>
      <c r="AS728" s="83"/>
      <c r="AT728" s="93"/>
      <c r="AU728" s="93"/>
      <c r="AV728" s="93"/>
      <c r="AW728" s="83"/>
      <c r="AX728" s="83"/>
      <c r="AY728" s="83"/>
      <c r="AZ728" s="83"/>
      <c r="BA728" s="83"/>
      <c r="BB728" s="83"/>
      <c r="BC728" s="54"/>
      <c r="BD728" s="54" t="str">
        <f t="shared" si="1"/>
        <v/>
      </c>
      <c r="BE728" s="67"/>
      <c r="BF728" s="67"/>
      <c r="BG728" s="67"/>
      <c r="BH728" s="67"/>
      <c r="BI728" s="67"/>
      <c r="BJ728" s="67"/>
      <c r="BK728" s="67"/>
      <c r="BL728" s="67"/>
      <c r="BM728" s="67"/>
      <c r="BN728" s="100"/>
      <c r="BO728" s="102"/>
      <c r="BP728" s="67"/>
      <c r="BQ728" s="79"/>
      <c r="BR728" s="67"/>
      <c r="BS728" s="102"/>
      <c r="BT728" s="106"/>
      <c r="BU728" s="107"/>
      <c r="BV728" s="108" t="str">
        <f t="shared" si="17"/>
        <v/>
      </c>
      <c r="BW728" s="108" t="str">
        <f t="shared" si="16"/>
        <v/>
      </c>
      <c r="BX728" s="102" t="str">
        <f t="shared" si="15"/>
        <v/>
      </c>
      <c r="BY728" s="107" t="str">
        <f t="shared" si="5"/>
        <v/>
      </c>
      <c r="BZ728" s="107" t="str">
        <f t="array" ref="BZ728">IF($A728&lt;&gt;"",INDEX(LISTA!$M$2:$N$27,MATCH($BC728,LISTA!$N$2:$N$27,0),1),"")</f>
        <v/>
      </c>
      <c r="CA728" s="67" t="str">
        <f t="shared" si="6"/>
        <v/>
      </c>
      <c r="CB728" s="114" t="str">
        <f t="shared" si="7"/>
        <v/>
      </c>
      <c r="CC728" s="114"/>
    </row>
    <row r="729" ht="22.5" customHeight="1">
      <c r="A729" s="59"/>
      <c r="B729" s="115"/>
      <c r="C729" s="54"/>
      <c r="D729" s="56"/>
      <c r="E729" s="69"/>
      <c r="F729" s="73"/>
      <c r="G729" s="79"/>
      <c r="H729" s="79"/>
      <c r="I729" s="67"/>
      <c r="J729" s="79"/>
      <c r="K729" s="67"/>
      <c r="L729" s="79"/>
      <c r="M729" s="83"/>
      <c r="N729" s="78"/>
      <c r="O729" s="80"/>
      <c r="P729" s="70"/>
      <c r="Q729" s="54"/>
      <c r="R729" s="67"/>
      <c r="S729" s="67"/>
      <c r="T729" s="54"/>
      <c r="U729" s="86"/>
      <c r="V729" s="54"/>
      <c r="W729" s="86"/>
      <c r="X729" s="54"/>
      <c r="Y729" s="78"/>
      <c r="Z729" s="54"/>
      <c r="AA729" s="70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54"/>
      <c r="AR729" s="83"/>
      <c r="AS729" s="83"/>
      <c r="AT729" s="93"/>
      <c r="AU729" s="93"/>
      <c r="AV729" s="93"/>
      <c r="AW729" s="83"/>
      <c r="AX729" s="83"/>
      <c r="AY729" s="83"/>
      <c r="AZ729" s="83"/>
      <c r="BA729" s="83"/>
      <c r="BB729" s="83"/>
      <c r="BC729" s="54"/>
      <c r="BD729" s="54" t="str">
        <f t="shared" si="1"/>
        <v/>
      </c>
      <c r="BE729" s="67"/>
      <c r="BF729" s="67"/>
      <c r="BG729" s="67"/>
      <c r="BH729" s="67"/>
      <c r="BI729" s="67"/>
      <c r="BJ729" s="67"/>
      <c r="BK729" s="67"/>
      <c r="BL729" s="67"/>
      <c r="BM729" s="67"/>
      <c r="BN729" s="100"/>
      <c r="BO729" s="102"/>
      <c r="BP729" s="67"/>
      <c r="BQ729" s="79"/>
      <c r="BR729" s="67"/>
      <c r="BS729" s="102"/>
      <c r="BT729" s="106"/>
      <c r="BU729" s="107"/>
      <c r="BV729" s="108" t="str">
        <f t="shared" si="17"/>
        <v/>
      </c>
      <c r="BW729" s="108" t="str">
        <f t="shared" si="16"/>
        <v/>
      </c>
      <c r="BX729" s="102" t="str">
        <f t="shared" si="15"/>
        <v/>
      </c>
      <c r="BY729" s="107" t="str">
        <f t="shared" si="5"/>
        <v/>
      </c>
      <c r="BZ729" s="107" t="str">
        <f t="array" ref="BZ729">IF($A729&lt;&gt;"",INDEX(LISTA!$M$2:$N$27,MATCH($BC729,LISTA!$N$2:$N$27,0),1),"")</f>
        <v/>
      </c>
      <c r="CA729" s="67" t="str">
        <f t="shared" si="6"/>
        <v/>
      </c>
      <c r="CB729" s="114" t="str">
        <f t="shared" si="7"/>
        <v/>
      </c>
      <c r="CC729" s="114"/>
    </row>
    <row r="730" ht="22.5" customHeight="1">
      <c r="A730" s="59"/>
      <c r="B730" s="115"/>
      <c r="C730" s="54"/>
      <c r="D730" s="56"/>
      <c r="E730" s="69"/>
      <c r="F730" s="73"/>
      <c r="G730" s="79"/>
      <c r="H730" s="79"/>
      <c r="I730" s="67"/>
      <c r="J730" s="79"/>
      <c r="K730" s="67"/>
      <c r="L730" s="79"/>
      <c r="M730" s="83"/>
      <c r="N730" s="78"/>
      <c r="O730" s="80"/>
      <c r="P730" s="70"/>
      <c r="Q730" s="54"/>
      <c r="R730" s="67"/>
      <c r="S730" s="67"/>
      <c r="T730" s="54"/>
      <c r="U730" s="86"/>
      <c r="V730" s="54"/>
      <c r="W730" s="86"/>
      <c r="X730" s="54"/>
      <c r="Y730" s="78"/>
      <c r="Z730" s="54"/>
      <c r="AA730" s="70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54"/>
      <c r="AR730" s="83"/>
      <c r="AS730" s="83"/>
      <c r="AT730" s="93"/>
      <c r="AU730" s="93"/>
      <c r="AV730" s="93"/>
      <c r="AW730" s="83"/>
      <c r="AX730" s="83"/>
      <c r="AY730" s="83"/>
      <c r="AZ730" s="83"/>
      <c r="BA730" s="83"/>
      <c r="BB730" s="83"/>
      <c r="BC730" s="54"/>
      <c r="BD730" s="54" t="str">
        <f t="shared" si="1"/>
        <v/>
      </c>
      <c r="BE730" s="67"/>
      <c r="BF730" s="67"/>
      <c r="BG730" s="67"/>
      <c r="BH730" s="67"/>
      <c r="BI730" s="67"/>
      <c r="BJ730" s="67"/>
      <c r="BK730" s="67"/>
      <c r="BL730" s="67"/>
      <c r="BM730" s="67"/>
      <c r="BN730" s="100"/>
      <c r="BO730" s="102"/>
      <c r="BP730" s="67"/>
      <c r="BQ730" s="79"/>
      <c r="BR730" s="67"/>
      <c r="BS730" s="102"/>
      <c r="BT730" s="106"/>
      <c r="BU730" s="107"/>
      <c r="BV730" s="108" t="str">
        <f t="shared" si="17"/>
        <v/>
      </c>
      <c r="BW730" s="108" t="str">
        <f t="shared" si="16"/>
        <v/>
      </c>
      <c r="BX730" s="102" t="str">
        <f t="shared" si="15"/>
        <v/>
      </c>
      <c r="BY730" s="107" t="str">
        <f t="shared" si="5"/>
        <v/>
      </c>
      <c r="BZ730" s="107" t="str">
        <f t="array" ref="BZ730">IF($A730&lt;&gt;"",INDEX(LISTA!$M$2:$N$27,MATCH($BC730,LISTA!$N$2:$N$27,0),1),"")</f>
        <v/>
      </c>
      <c r="CA730" s="67" t="str">
        <f t="shared" si="6"/>
        <v/>
      </c>
      <c r="CB730" s="114" t="str">
        <f t="shared" si="7"/>
        <v/>
      </c>
      <c r="CC730" s="114"/>
    </row>
    <row r="731" ht="22.5" customHeight="1">
      <c r="A731" s="59"/>
      <c r="B731" s="115"/>
      <c r="C731" s="54"/>
      <c r="D731" s="56"/>
      <c r="E731" s="69"/>
      <c r="F731" s="73"/>
      <c r="G731" s="79"/>
      <c r="H731" s="79"/>
      <c r="I731" s="67"/>
      <c r="J731" s="79"/>
      <c r="K731" s="67"/>
      <c r="L731" s="79"/>
      <c r="M731" s="83"/>
      <c r="N731" s="78"/>
      <c r="O731" s="80"/>
      <c r="P731" s="70"/>
      <c r="Q731" s="54"/>
      <c r="R731" s="67"/>
      <c r="S731" s="67"/>
      <c r="T731" s="54"/>
      <c r="U731" s="86"/>
      <c r="V731" s="54"/>
      <c r="W731" s="86"/>
      <c r="X731" s="54"/>
      <c r="Y731" s="78"/>
      <c r="Z731" s="54"/>
      <c r="AA731" s="70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54"/>
      <c r="AR731" s="83"/>
      <c r="AS731" s="83"/>
      <c r="AT731" s="93"/>
      <c r="AU731" s="93"/>
      <c r="AV731" s="93"/>
      <c r="AW731" s="83"/>
      <c r="AX731" s="83"/>
      <c r="AY731" s="83"/>
      <c r="AZ731" s="83"/>
      <c r="BA731" s="83"/>
      <c r="BB731" s="83"/>
      <c r="BC731" s="54"/>
      <c r="BD731" s="54" t="str">
        <f t="shared" si="1"/>
        <v/>
      </c>
      <c r="BE731" s="67"/>
      <c r="BF731" s="67"/>
      <c r="BG731" s="67"/>
      <c r="BH731" s="67"/>
      <c r="BI731" s="67"/>
      <c r="BJ731" s="67"/>
      <c r="BK731" s="67"/>
      <c r="BL731" s="67"/>
      <c r="BM731" s="67"/>
      <c r="BN731" s="100"/>
      <c r="BO731" s="102"/>
      <c r="BP731" s="67"/>
      <c r="BQ731" s="79"/>
      <c r="BR731" s="67"/>
      <c r="BS731" s="102"/>
      <c r="BT731" s="106"/>
      <c r="BU731" s="107"/>
      <c r="BV731" s="108" t="str">
        <f t="shared" si="17"/>
        <v/>
      </c>
      <c r="BW731" s="108" t="str">
        <f t="shared" si="16"/>
        <v/>
      </c>
      <c r="BX731" s="102" t="str">
        <f t="shared" si="15"/>
        <v/>
      </c>
      <c r="BY731" s="107" t="str">
        <f t="shared" si="5"/>
        <v/>
      </c>
      <c r="BZ731" s="107" t="str">
        <f t="array" ref="BZ731">IF($A731&lt;&gt;"",INDEX(LISTA!$M$2:$N$27,MATCH($BC731,LISTA!$N$2:$N$27,0),1),"")</f>
        <v/>
      </c>
      <c r="CA731" s="67" t="str">
        <f t="shared" si="6"/>
        <v/>
      </c>
      <c r="CB731" s="114" t="str">
        <f t="shared" si="7"/>
        <v/>
      </c>
      <c r="CC731" s="114"/>
    </row>
    <row r="732" ht="22.5" customHeight="1">
      <c r="A732" s="59"/>
      <c r="B732" s="115"/>
      <c r="C732" s="54"/>
      <c r="D732" s="56"/>
      <c r="E732" s="69"/>
      <c r="F732" s="73"/>
      <c r="G732" s="79"/>
      <c r="H732" s="79"/>
      <c r="I732" s="67"/>
      <c r="J732" s="79"/>
      <c r="K732" s="67"/>
      <c r="L732" s="79"/>
      <c r="M732" s="83"/>
      <c r="N732" s="78"/>
      <c r="O732" s="80"/>
      <c r="P732" s="70"/>
      <c r="Q732" s="54"/>
      <c r="R732" s="67"/>
      <c r="S732" s="67"/>
      <c r="T732" s="54"/>
      <c r="U732" s="86"/>
      <c r="V732" s="54"/>
      <c r="W732" s="86"/>
      <c r="X732" s="54"/>
      <c r="Y732" s="78"/>
      <c r="Z732" s="54"/>
      <c r="AA732" s="70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54"/>
      <c r="AR732" s="83"/>
      <c r="AS732" s="83"/>
      <c r="AT732" s="93"/>
      <c r="AU732" s="93"/>
      <c r="AV732" s="93"/>
      <c r="AW732" s="83"/>
      <c r="AX732" s="83"/>
      <c r="AY732" s="83"/>
      <c r="AZ732" s="83"/>
      <c r="BA732" s="83"/>
      <c r="BB732" s="83"/>
      <c r="BC732" s="54"/>
      <c r="BD732" s="54" t="str">
        <f t="shared" si="1"/>
        <v/>
      </c>
      <c r="BE732" s="67"/>
      <c r="BF732" s="67"/>
      <c r="BG732" s="67"/>
      <c r="BH732" s="67"/>
      <c r="BI732" s="67"/>
      <c r="BJ732" s="67"/>
      <c r="BK732" s="67"/>
      <c r="BL732" s="67"/>
      <c r="BM732" s="67"/>
      <c r="BN732" s="100"/>
      <c r="BO732" s="102"/>
      <c r="BP732" s="67"/>
      <c r="BQ732" s="79"/>
      <c r="BR732" s="67"/>
      <c r="BS732" s="102"/>
      <c r="BT732" s="106"/>
      <c r="BU732" s="107"/>
      <c r="BV732" s="108" t="str">
        <f t="shared" si="17"/>
        <v/>
      </c>
      <c r="BW732" s="108" t="str">
        <f t="shared" si="16"/>
        <v/>
      </c>
      <c r="BX732" s="102" t="str">
        <f t="shared" si="15"/>
        <v/>
      </c>
      <c r="BY732" s="107" t="str">
        <f t="shared" si="5"/>
        <v/>
      </c>
      <c r="BZ732" s="107" t="str">
        <f t="array" ref="BZ732">IF($A732&lt;&gt;"",INDEX(LISTA!$M$2:$N$27,MATCH($BC732,LISTA!$N$2:$N$27,0),1),"")</f>
        <v/>
      </c>
      <c r="CA732" s="67" t="str">
        <f t="shared" si="6"/>
        <v/>
      </c>
      <c r="CB732" s="114" t="str">
        <f t="shared" si="7"/>
        <v/>
      </c>
      <c r="CC732" s="114"/>
    </row>
    <row r="733" ht="22.5" customHeight="1">
      <c r="A733" s="59"/>
      <c r="B733" s="115"/>
      <c r="C733" s="54"/>
      <c r="D733" s="56"/>
      <c r="E733" s="69"/>
      <c r="F733" s="73"/>
      <c r="G733" s="79"/>
      <c r="H733" s="79"/>
      <c r="I733" s="67"/>
      <c r="J733" s="79"/>
      <c r="K733" s="67"/>
      <c r="L733" s="79"/>
      <c r="M733" s="83"/>
      <c r="N733" s="78"/>
      <c r="O733" s="80"/>
      <c r="P733" s="70"/>
      <c r="Q733" s="54"/>
      <c r="R733" s="67"/>
      <c r="S733" s="67"/>
      <c r="T733" s="54"/>
      <c r="U733" s="86"/>
      <c r="V733" s="54"/>
      <c r="W733" s="86"/>
      <c r="X733" s="54"/>
      <c r="Y733" s="78"/>
      <c r="Z733" s="54"/>
      <c r="AA733" s="70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54"/>
      <c r="AR733" s="83"/>
      <c r="AS733" s="83"/>
      <c r="AT733" s="93"/>
      <c r="AU733" s="93"/>
      <c r="AV733" s="93"/>
      <c r="AW733" s="83"/>
      <c r="AX733" s="83"/>
      <c r="AY733" s="83"/>
      <c r="AZ733" s="83"/>
      <c r="BA733" s="83"/>
      <c r="BB733" s="83"/>
      <c r="BC733" s="54"/>
      <c r="BD733" s="54" t="str">
        <f t="shared" si="1"/>
        <v/>
      </c>
      <c r="BE733" s="67"/>
      <c r="BF733" s="67"/>
      <c r="BG733" s="67"/>
      <c r="BH733" s="67"/>
      <c r="BI733" s="67"/>
      <c r="BJ733" s="67"/>
      <c r="BK733" s="67"/>
      <c r="BL733" s="67"/>
      <c r="BM733" s="67"/>
      <c r="BN733" s="100"/>
      <c r="BO733" s="102"/>
      <c r="BP733" s="67"/>
      <c r="BQ733" s="79"/>
      <c r="BR733" s="67"/>
      <c r="BS733" s="102"/>
      <c r="BT733" s="106"/>
      <c r="BU733" s="107"/>
      <c r="BV733" s="108" t="str">
        <f t="shared" si="17"/>
        <v/>
      </c>
      <c r="BW733" s="108" t="str">
        <f t="shared" si="16"/>
        <v/>
      </c>
      <c r="BX733" s="102" t="str">
        <f t="shared" si="15"/>
        <v/>
      </c>
      <c r="BY733" s="107" t="str">
        <f t="shared" si="5"/>
        <v/>
      </c>
      <c r="BZ733" s="107" t="str">
        <f t="array" ref="BZ733">IF($A733&lt;&gt;"",INDEX(LISTA!$M$2:$N$27,MATCH($BC733,LISTA!$N$2:$N$27,0),1),"")</f>
        <v/>
      </c>
      <c r="CA733" s="67" t="str">
        <f t="shared" si="6"/>
        <v/>
      </c>
      <c r="CB733" s="114" t="str">
        <f t="shared" si="7"/>
        <v/>
      </c>
      <c r="CC733" s="114"/>
    </row>
    <row r="734" ht="22.5" customHeight="1">
      <c r="A734" s="59"/>
      <c r="B734" s="115"/>
      <c r="C734" s="54"/>
      <c r="D734" s="56"/>
      <c r="E734" s="69"/>
      <c r="F734" s="73"/>
      <c r="G734" s="79"/>
      <c r="H734" s="79"/>
      <c r="I734" s="67"/>
      <c r="J734" s="79"/>
      <c r="K734" s="67"/>
      <c r="L734" s="79"/>
      <c r="M734" s="83"/>
      <c r="N734" s="78"/>
      <c r="O734" s="80"/>
      <c r="P734" s="70"/>
      <c r="Q734" s="54"/>
      <c r="R734" s="67"/>
      <c r="S734" s="67"/>
      <c r="T734" s="54"/>
      <c r="U734" s="86"/>
      <c r="V734" s="54"/>
      <c r="W734" s="86"/>
      <c r="X734" s="54"/>
      <c r="Y734" s="78"/>
      <c r="Z734" s="54"/>
      <c r="AA734" s="70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54"/>
      <c r="AR734" s="83"/>
      <c r="AS734" s="83"/>
      <c r="AT734" s="93"/>
      <c r="AU734" s="93"/>
      <c r="AV734" s="93"/>
      <c r="AW734" s="83"/>
      <c r="AX734" s="83"/>
      <c r="AY734" s="83"/>
      <c r="AZ734" s="83"/>
      <c r="BA734" s="83"/>
      <c r="BB734" s="83"/>
      <c r="BC734" s="54"/>
      <c r="BD734" s="54" t="str">
        <f t="shared" si="1"/>
        <v/>
      </c>
      <c r="BE734" s="67"/>
      <c r="BF734" s="67"/>
      <c r="BG734" s="67"/>
      <c r="BH734" s="67"/>
      <c r="BI734" s="67"/>
      <c r="BJ734" s="67"/>
      <c r="BK734" s="67"/>
      <c r="BL734" s="67"/>
      <c r="BM734" s="67"/>
      <c r="BN734" s="100"/>
      <c r="BO734" s="102"/>
      <c r="BP734" s="67"/>
      <c r="BQ734" s="79"/>
      <c r="BR734" s="67"/>
      <c r="BS734" s="102"/>
      <c r="BT734" s="106"/>
      <c r="BU734" s="107"/>
      <c r="BV734" s="108" t="str">
        <f t="shared" si="17"/>
        <v/>
      </c>
      <c r="BW734" s="108" t="str">
        <f t="shared" si="16"/>
        <v/>
      </c>
      <c r="BX734" s="102" t="str">
        <f t="shared" si="15"/>
        <v/>
      </c>
      <c r="BY734" s="107" t="str">
        <f t="shared" si="5"/>
        <v/>
      </c>
      <c r="BZ734" s="107" t="str">
        <f t="array" ref="BZ734">IF($A734&lt;&gt;"",INDEX(LISTA!$M$2:$N$27,MATCH($BC734,LISTA!$N$2:$N$27,0),1),"")</f>
        <v/>
      </c>
      <c r="CA734" s="67" t="str">
        <f t="shared" si="6"/>
        <v/>
      </c>
      <c r="CB734" s="114" t="str">
        <f t="shared" si="7"/>
        <v/>
      </c>
      <c r="CC734" s="114"/>
    </row>
    <row r="735" ht="22.5" customHeight="1">
      <c r="A735" s="59"/>
      <c r="B735" s="115"/>
      <c r="C735" s="54"/>
      <c r="D735" s="56"/>
      <c r="E735" s="69"/>
      <c r="F735" s="73"/>
      <c r="G735" s="79"/>
      <c r="H735" s="79"/>
      <c r="I735" s="67"/>
      <c r="J735" s="79"/>
      <c r="K735" s="67"/>
      <c r="L735" s="79"/>
      <c r="M735" s="83"/>
      <c r="N735" s="78"/>
      <c r="O735" s="80"/>
      <c r="P735" s="70"/>
      <c r="Q735" s="54"/>
      <c r="R735" s="67"/>
      <c r="S735" s="67"/>
      <c r="T735" s="54"/>
      <c r="U735" s="86"/>
      <c r="V735" s="54"/>
      <c r="W735" s="86"/>
      <c r="X735" s="54"/>
      <c r="Y735" s="78"/>
      <c r="Z735" s="54"/>
      <c r="AA735" s="70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54"/>
      <c r="AR735" s="83"/>
      <c r="AS735" s="83"/>
      <c r="AT735" s="93"/>
      <c r="AU735" s="93"/>
      <c r="AV735" s="93"/>
      <c r="AW735" s="83"/>
      <c r="AX735" s="83"/>
      <c r="AY735" s="83"/>
      <c r="AZ735" s="83"/>
      <c r="BA735" s="83"/>
      <c r="BB735" s="83"/>
      <c r="BC735" s="54"/>
      <c r="BD735" s="54" t="str">
        <f t="shared" si="1"/>
        <v/>
      </c>
      <c r="BE735" s="67"/>
      <c r="BF735" s="67"/>
      <c r="BG735" s="67"/>
      <c r="BH735" s="67"/>
      <c r="BI735" s="67"/>
      <c r="BJ735" s="67"/>
      <c r="BK735" s="67"/>
      <c r="BL735" s="67"/>
      <c r="BM735" s="67"/>
      <c r="BN735" s="100"/>
      <c r="BO735" s="102"/>
      <c r="BP735" s="67"/>
      <c r="BQ735" s="79"/>
      <c r="BR735" s="67"/>
      <c r="BS735" s="102"/>
      <c r="BT735" s="106"/>
      <c r="BU735" s="107"/>
      <c r="BV735" s="108" t="str">
        <f t="shared" si="17"/>
        <v/>
      </c>
      <c r="BW735" s="108" t="str">
        <f t="shared" si="16"/>
        <v/>
      </c>
      <c r="BX735" s="102" t="str">
        <f t="shared" si="15"/>
        <v/>
      </c>
      <c r="BY735" s="107" t="str">
        <f t="shared" si="5"/>
        <v/>
      </c>
      <c r="BZ735" s="107" t="str">
        <f t="array" ref="BZ735">IF($A735&lt;&gt;"",INDEX(LISTA!$M$2:$N$27,MATCH($BC735,LISTA!$N$2:$N$27,0),1),"")</f>
        <v/>
      </c>
      <c r="CA735" s="67" t="str">
        <f t="shared" si="6"/>
        <v/>
      </c>
      <c r="CB735" s="114" t="str">
        <f t="shared" si="7"/>
        <v/>
      </c>
      <c r="CC735" s="114"/>
    </row>
    <row r="736" ht="22.5" customHeight="1">
      <c r="A736" s="59"/>
      <c r="B736" s="115"/>
      <c r="C736" s="54"/>
      <c r="D736" s="56"/>
      <c r="E736" s="69"/>
      <c r="F736" s="73"/>
      <c r="G736" s="79"/>
      <c r="H736" s="79"/>
      <c r="I736" s="67"/>
      <c r="J736" s="79"/>
      <c r="K736" s="67"/>
      <c r="L736" s="79"/>
      <c r="M736" s="83"/>
      <c r="N736" s="78"/>
      <c r="O736" s="80"/>
      <c r="P736" s="70"/>
      <c r="Q736" s="54"/>
      <c r="R736" s="67"/>
      <c r="S736" s="67"/>
      <c r="T736" s="54"/>
      <c r="U736" s="86"/>
      <c r="V736" s="54"/>
      <c r="W736" s="86"/>
      <c r="X736" s="54"/>
      <c r="Y736" s="78"/>
      <c r="Z736" s="54"/>
      <c r="AA736" s="70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54"/>
      <c r="AR736" s="83"/>
      <c r="AS736" s="83"/>
      <c r="AT736" s="93"/>
      <c r="AU736" s="93"/>
      <c r="AV736" s="93"/>
      <c r="AW736" s="83"/>
      <c r="AX736" s="83"/>
      <c r="AY736" s="83"/>
      <c r="AZ736" s="83"/>
      <c r="BA736" s="83"/>
      <c r="BB736" s="83"/>
      <c r="BC736" s="54"/>
      <c r="BD736" s="54" t="str">
        <f t="shared" si="1"/>
        <v/>
      </c>
      <c r="BE736" s="67"/>
      <c r="BF736" s="67"/>
      <c r="BG736" s="67"/>
      <c r="BH736" s="67"/>
      <c r="BI736" s="67"/>
      <c r="BJ736" s="67"/>
      <c r="BK736" s="67"/>
      <c r="BL736" s="67"/>
      <c r="BM736" s="67"/>
      <c r="BN736" s="100"/>
      <c r="BO736" s="102"/>
      <c r="BP736" s="67"/>
      <c r="BQ736" s="79"/>
      <c r="BR736" s="67"/>
      <c r="BS736" s="102"/>
      <c r="BT736" s="106"/>
      <c r="BU736" s="107"/>
      <c r="BV736" s="108" t="str">
        <f t="shared" si="17"/>
        <v/>
      </c>
      <c r="BW736" s="108" t="str">
        <f t="shared" si="16"/>
        <v/>
      </c>
      <c r="BX736" s="102" t="str">
        <f t="shared" si="15"/>
        <v/>
      </c>
      <c r="BY736" s="107" t="str">
        <f t="shared" si="5"/>
        <v/>
      </c>
      <c r="BZ736" s="107" t="str">
        <f t="array" ref="BZ736">IF($A736&lt;&gt;"",INDEX(LISTA!$M$2:$N$27,MATCH($BC736,LISTA!$N$2:$N$27,0),1),"")</f>
        <v/>
      </c>
      <c r="CA736" s="67" t="str">
        <f t="shared" si="6"/>
        <v/>
      </c>
      <c r="CB736" s="114" t="str">
        <f t="shared" si="7"/>
        <v/>
      </c>
      <c r="CC736" s="114"/>
    </row>
    <row r="737" ht="22.5" customHeight="1">
      <c r="A737" s="59"/>
      <c r="B737" s="115"/>
      <c r="C737" s="54"/>
      <c r="D737" s="56"/>
      <c r="E737" s="69"/>
      <c r="F737" s="73"/>
      <c r="G737" s="79"/>
      <c r="H737" s="79"/>
      <c r="I737" s="67"/>
      <c r="J737" s="79"/>
      <c r="K737" s="67"/>
      <c r="L737" s="79"/>
      <c r="M737" s="83"/>
      <c r="N737" s="78"/>
      <c r="O737" s="80"/>
      <c r="P737" s="70"/>
      <c r="Q737" s="54"/>
      <c r="R737" s="67"/>
      <c r="S737" s="67"/>
      <c r="T737" s="54"/>
      <c r="U737" s="86"/>
      <c r="V737" s="54"/>
      <c r="W737" s="86"/>
      <c r="X737" s="54"/>
      <c r="Y737" s="78"/>
      <c r="Z737" s="54"/>
      <c r="AA737" s="70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54"/>
      <c r="AR737" s="83"/>
      <c r="AS737" s="83"/>
      <c r="AT737" s="93"/>
      <c r="AU737" s="93"/>
      <c r="AV737" s="93"/>
      <c r="AW737" s="83"/>
      <c r="AX737" s="83"/>
      <c r="AY737" s="83"/>
      <c r="AZ737" s="83"/>
      <c r="BA737" s="83"/>
      <c r="BB737" s="83"/>
      <c r="BC737" s="54"/>
      <c r="BD737" s="54" t="str">
        <f t="shared" si="1"/>
        <v/>
      </c>
      <c r="BE737" s="67"/>
      <c r="BF737" s="67"/>
      <c r="BG737" s="67"/>
      <c r="BH737" s="67"/>
      <c r="BI737" s="67"/>
      <c r="BJ737" s="67"/>
      <c r="BK737" s="67"/>
      <c r="BL737" s="67"/>
      <c r="BM737" s="67"/>
      <c r="BN737" s="100"/>
      <c r="BO737" s="102"/>
      <c r="BP737" s="67"/>
      <c r="BQ737" s="79"/>
      <c r="BR737" s="67"/>
      <c r="BS737" s="102"/>
      <c r="BT737" s="106"/>
      <c r="BU737" s="107"/>
      <c r="BV737" s="108" t="str">
        <f t="shared" si="17"/>
        <v/>
      </c>
      <c r="BW737" s="108" t="str">
        <f t="shared" si="16"/>
        <v/>
      </c>
      <c r="BX737" s="102" t="str">
        <f t="shared" si="15"/>
        <v/>
      </c>
      <c r="BY737" s="107" t="str">
        <f t="shared" si="5"/>
        <v/>
      </c>
      <c r="BZ737" s="107" t="str">
        <f t="array" ref="BZ737">IF($A737&lt;&gt;"",INDEX(LISTA!$M$2:$N$27,MATCH($BC737,LISTA!$N$2:$N$27,0),1),"")</f>
        <v/>
      </c>
      <c r="CA737" s="67" t="str">
        <f t="shared" si="6"/>
        <v/>
      </c>
      <c r="CB737" s="114" t="str">
        <f t="shared" si="7"/>
        <v/>
      </c>
      <c r="CC737" s="114"/>
    </row>
    <row r="738" ht="22.5" customHeight="1">
      <c r="A738" s="59"/>
      <c r="B738" s="115"/>
      <c r="C738" s="54"/>
      <c r="D738" s="56"/>
      <c r="E738" s="69"/>
      <c r="F738" s="73"/>
      <c r="G738" s="79"/>
      <c r="H738" s="79"/>
      <c r="I738" s="67"/>
      <c r="J738" s="79"/>
      <c r="K738" s="67"/>
      <c r="L738" s="79"/>
      <c r="M738" s="83"/>
      <c r="N738" s="78"/>
      <c r="O738" s="80"/>
      <c r="P738" s="70"/>
      <c r="Q738" s="54"/>
      <c r="R738" s="67"/>
      <c r="S738" s="67"/>
      <c r="T738" s="54"/>
      <c r="U738" s="86"/>
      <c r="V738" s="54"/>
      <c r="W738" s="86"/>
      <c r="X738" s="54"/>
      <c r="Y738" s="78"/>
      <c r="Z738" s="54"/>
      <c r="AA738" s="70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54"/>
      <c r="AR738" s="83"/>
      <c r="AS738" s="83"/>
      <c r="AT738" s="93"/>
      <c r="AU738" s="93"/>
      <c r="AV738" s="93"/>
      <c r="AW738" s="83"/>
      <c r="AX738" s="83"/>
      <c r="AY738" s="83"/>
      <c r="AZ738" s="83"/>
      <c r="BA738" s="83"/>
      <c r="BB738" s="83"/>
      <c r="BC738" s="54"/>
      <c r="BD738" s="54" t="str">
        <f t="shared" si="1"/>
        <v/>
      </c>
      <c r="BE738" s="67"/>
      <c r="BF738" s="67"/>
      <c r="BG738" s="67"/>
      <c r="BH738" s="67"/>
      <c r="BI738" s="67"/>
      <c r="BJ738" s="67"/>
      <c r="BK738" s="67"/>
      <c r="BL738" s="67"/>
      <c r="BM738" s="67"/>
      <c r="BN738" s="100"/>
      <c r="BO738" s="102"/>
      <c r="BP738" s="67"/>
      <c r="BQ738" s="79"/>
      <c r="BR738" s="67"/>
      <c r="BS738" s="102"/>
      <c r="BT738" s="106"/>
      <c r="BU738" s="107"/>
      <c r="BV738" s="108" t="str">
        <f t="shared" si="17"/>
        <v/>
      </c>
      <c r="BW738" s="108" t="str">
        <f t="shared" si="16"/>
        <v/>
      </c>
      <c r="BX738" s="102" t="str">
        <f t="shared" si="15"/>
        <v/>
      </c>
      <c r="BY738" s="107" t="str">
        <f t="shared" si="5"/>
        <v/>
      </c>
      <c r="BZ738" s="107" t="str">
        <f t="array" ref="BZ738">IF($A738&lt;&gt;"",INDEX(LISTA!$M$2:$N$27,MATCH($BC738,LISTA!$N$2:$N$27,0),1),"")</f>
        <v/>
      </c>
      <c r="CA738" s="67" t="str">
        <f t="shared" si="6"/>
        <v/>
      </c>
      <c r="CB738" s="114" t="str">
        <f t="shared" si="7"/>
        <v/>
      </c>
      <c r="CC738" s="114"/>
    </row>
    <row r="739" ht="22.5" customHeight="1">
      <c r="A739" s="59"/>
      <c r="B739" s="115"/>
      <c r="C739" s="54"/>
      <c r="D739" s="56"/>
      <c r="E739" s="69"/>
      <c r="F739" s="73"/>
      <c r="G739" s="79"/>
      <c r="H739" s="79"/>
      <c r="I739" s="67"/>
      <c r="J739" s="79"/>
      <c r="K739" s="67"/>
      <c r="L739" s="79"/>
      <c r="M739" s="83"/>
      <c r="N739" s="78"/>
      <c r="O739" s="80"/>
      <c r="P739" s="70"/>
      <c r="Q739" s="54"/>
      <c r="R739" s="67"/>
      <c r="S739" s="67"/>
      <c r="T739" s="54"/>
      <c r="U739" s="86"/>
      <c r="V739" s="54"/>
      <c r="W739" s="86"/>
      <c r="X739" s="54"/>
      <c r="Y739" s="78"/>
      <c r="Z739" s="54"/>
      <c r="AA739" s="70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54"/>
      <c r="AR739" s="83"/>
      <c r="AS739" s="83"/>
      <c r="AT739" s="93"/>
      <c r="AU739" s="93"/>
      <c r="AV739" s="93"/>
      <c r="AW739" s="83"/>
      <c r="AX739" s="83"/>
      <c r="AY739" s="83"/>
      <c r="AZ739" s="83"/>
      <c r="BA739" s="83"/>
      <c r="BB739" s="83"/>
      <c r="BC739" s="54"/>
      <c r="BD739" s="54" t="str">
        <f t="shared" si="1"/>
        <v/>
      </c>
      <c r="BE739" s="67"/>
      <c r="BF739" s="67"/>
      <c r="BG739" s="67"/>
      <c r="BH739" s="67"/>
      <c r="BI739" s="67"/>
      <c r="BJ739" s="67"/>
      <c r="BK739" s="67"/>
      <c r="BL739" s="67"/>
      <c r="BM739" s="67"/>
      <c r="BN739" s="100"/>
      <c r="BO739" s="102"/>
      <c r="BP739" s="67"/>
      <c r="BQ739" s="79"/>
      <c r="BR739" s="67"/>
      <c r="BS739" s="102"/>
      <c r="BT739" s="106"/>
      <c r="BU739" s="107"/>
      <c r="BV739" s="108" t="str">
        <f t="shared" si="17"/>
        <v/>
      </c>
      <c r="BW739" s="108" t="str">
        <f t="shared" si="16"/>
        <v/>
      </c>
      <c r="BX739" s="102" t="str">
        <f t="shared" si="15"/>
        <v/>
      </c>
      <c r="BY739" s="107" t="str">
        <f t="shared" si="5"/>
        <v/>
      </c>
      <c r="BZ739" s="107" t="str">
        <f t="array" ref="BZ739">IF($A739&lt;&gt;"",INDEX(LISTA!$M$2:$N$27,MATCH($BC739,LISTA!$N$2:$N$27,0),1),"")</f>
        <v/>
      </c>
      <c r="CA739" s="67" t="str">
        <f t="shared" si="6"/>
        <v/>
      </c>
      <c r="CB739" s="114" t="str">
        <f t="shared" si="7"/>
        <v/>
      </c>
      <c r="CC739" s="114"/>
    </row>
    <row r="740" ht="22.5" customHeight="1">
      <c r="A740" s="59"/>
      <c r="B740" s="115"/>
      <c r="C740" s="54"/>
      <c r="D740" s="56"/>
      <c r="E740" s="69"/>
      <c r="F740" s="73"/>
      <c r="G740" s="79"/>
      <c r="H740" s="79"/>
      <c r="I740" s="67"/>
      <c r="J740" s="79"/>
      <c r="K740" s="67"/>
      <c r="L740" s="79"/>
      <c r="M740" s="83"/>
      <c r="N740" s="78"/>
      <c r="O740" s="80"/>
      <c r="P740" s="70"/>
      <c r="Q740" s="54"/>
      <c r="R740" s="67"/>
      <c r="S740" s="67"/>
      <c r="T740" s="54"/>
      <c r="U740" s="86"/>
      <c r="V740" s="54"/>
      <c r="W740" s="86"/>
      <c r="X740" s="54"/>
      <c r="Y740" s="78"/>
      <c r="Z740" s="54"/>
      <c r="AA740" s="70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54"/>
      <c r="AR740" s="83"/>
      <c r="AS740" s="83"/>
      <c r="AT740" s="93"/>
      <c r="AU740" s="93"/>
      <c r="AV740" s="93"/>
      <c r="AW740" s="83"/>
      <c r="AX740" s="83"/>
      <c r="AY740" s="83"/>
      <c r="AZ740" s="83"/>
      <c r="BA740" s="83"/>
      <c r="BB740" s="83"/>
      <c r="BC740" s="54"/>
      <c r="BD740" s="54" t="str">
        <f t="shared" si="1"/>
        <v/>
      </c>
      <c r="BE740" s="67"/>
      <c r="BF740" s="67"/>
      <c r="BG740" s="67"/>
      <c r="BH740" s="67"/>
      <c r="BI740" s="67"/>
      <c r="BJ740" s="67"/>
      <c r="BK740" s="67"/>
      <c r="BL740" s="67"/>
      <c r="BM740" s="67"/>
      <c r="BN740" s="100"/>
      <c r="BO740" s="102"/>
      <c r="BP740" s="67"/>
      <c r="BQ740" s="79"/>
      <c r="BR740" s="67"/>
      <c r="BS740" s="102"/>
      <c r="BT740" s="106"/>
      <c r="BU740" s="107"/>
      <c r="BV740" s="108" t="str">
        <f t="shared" si="17"/>
        <v/>
      </c>
      <c r="BW740" s="108" t="str">
        <f t="shared" si="16"/>
        <v/>
      </c>
      <c r="BX740" s="102" t="str">
        <f t="shared" si="15"/>
        <v/>
      </c>
      <c r="BY740" s="107" t="str">
        <f t="shared" si="5"/>
        <v/>
      </c>
      <c r="BZ740" s="107" t="str">
        <f t="array" ref="BZ740">IF($A740&lt;&gt;"",INDEX(LISTA!$M$2:$N$27,MATCH($BC740,LISTA!$N$2:$N$27,0),1),"")</f>
        <v/>
      </c>
      <c r="CA740" s="67" t="str">
        <f t="shared" si="6"/>
        <v/>
      </c>
      <c r="CB740" s="114" t="str">
        <f t="shared" si="7"/>
        <v/>
      </c>
      <c r="CC740" s="114"/>
    </row>
    <row r="741" ht="22.5" customHeight="1">
      <c r="A741" s="59"/>
      <c r="B741" s="115"/>
      <c r="C741" s="54"/>
      <c r="D741" s="56"/>
      <c r="E741" s="69"/>
      <c r="F741" s="73"/>
      <c r="G741" s="79"/>
      <c r="H741" s="79"/>
      <c r="I741" s="67"/>
      <c r="J741" s="79"/>
      <c r="K741" s="67"/>
      <c r="L741" s="79"/>
      <c r="M741" s="83"/>
      <c r="N741" s="78"/>
      <c r="O741" s="80"/>
      <c r="P741" s="70"/>
      <c r="Q741" s="54"/>
      <c r="R741" s="67"/>
      <c r="S741" s="67"/>
      <c r="T741" s="54"/>
      <c r="U741" s="86"/>
      <c r="V741" s="54"/>
      <c r="W741" s="86"/>
      <c r="X741" s="54"/>
      <c r="Y741" s="78"/>
      <c r="Z741" s="54"/>
      <c r="AA741" s="70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54"/>
      <c r="AR741" s="83"/>
      <c r="AS741" s="83"/>
      <c r="AT741" s="93"/>
      <c r="AU741" s="93"/>
      <c r="AV741" s="93"/>
      <c r="AW741" s="83"/>
      <c r="AX741" s="83"/>
      <c r="AY741" s="83"/>
      <c r="AZ741" s="83"/>
      <c r="BA741" s="83"/>
      <c r="BB741" s="83"/>
      <c r="BC741" s="54"/>
      <c r="BD741" s="54" t="str">
        <f t="shared" si="1"/>
        <v/>
      </c>
      <c r="BE741" s="67"/>
      <c r="BF741" s="67"/>
      <c r="BG741" s="67"/>
      <c r="BH741" s="67"/>
      <c r="BI741" s="67"/>
      <c r="BJ741" s="67"/>
      <c r="BK741" s="67"/>
      <c r="BL741" s="67"/>
      <c r="BM741" s="67"/>
      <c r="BN741" s="100"/>
      <c r="BO741" s="102"/>
      <c r="BP741" s="67"/>
      <c r="BQ741" s="79"/>
      <c r="BR741" s="67"/>
      <c r="BS741" s="102"/>
      <c r="BT741" s="106"/>
      <c r="BU741" s="107"/>
      <c r="BV741" s="108" t="str">
        <f t="shared" si="17"/>
        <v/>
      </c>
      <c r="BW741" s="108" t="str">
        <f t="shared" si="16"/>
        <v/>
      </c>
      <c r="BX741" s="102" t="str">
        <f t="shared" si="15"/>
        <v/>
      </c>
      <c r="BY741" s="107" t="str">
        <f t="shared" si="5"/>
        <v/>
      </c>
      <c r="BZ741" s="107" t="str">
        <f t="array" ref="BZ741">IF($A741&lt;&gt;"",INDEX(LISTA!$M$2:$N$27,MATCH($BC741,LISTA!$N$2:$N$27,0),1),"")</f>
        <v/>
      </c>
      <c r="CA741" s="67" t="str">
        <f t="shared" si="6"/>
        <v/>
      </c>
      <c r="CB741" s="114" t="str">
        <f t="shared" si="7"/>
        <v/>
      </c>
      <c r="CC741" s="114"/>
    </row>
    <row r="742" ht="22.5" customHeight="1">
      <c r="A742" s="59"/>
      <c r="B742" s="115"/>
      <c r="C742" s="54"/>
      <c r="D742" s="56"/>
      <c r="E742" s="69"/>
      <c r="F742" s="73"/>
      <c r="G742" s="79"/>
      <c r="H742" s="79"/>
      <c r="I742" s="67"/>
      <c r="J742" s="79"/>
      <c r="K742" s="67"/>
      <c r="L742" s="79"/>
      <c r="M742" s="83"/>
      <c r="N742" s="78"/>
      <c r="O742" s="80"/>
      <c r="P742" s="70"/>
      <c r="Q742" s="54"/>
      <c r="R742" s="67"/>
      <c r="S742" s="67"/>
      <c r="T742" s="54"/>
      <c r="U742" s="86"/>
      <c r="V742" s="54"/>
      <c r="W742" s="86"/>
      <c r="X742" s="54"/>
      <c r="Y742" s="78"/>
      <c r="Z742" s="54"/>
      <c r="AA742" s="70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54"/>
      <c r="AR742" s="83"/>
      <c r="AS742" s="83"/>
      <c r="AT742" s="93"/>
      <c r="AU742" s="93"/>
      <c r="AV742" s="93"/>
      <c r="AW742" s="83"/>
      <c r="AX742" s="83"/>
      <c r="AY742" s="83"/>
      <c r="AZ742" s="83"/>
      <c r="BA742" s="83"/>
      <c r="BB742" s="83"/>
      <c r="BC742" s="54"/>
      <c r="BD742" s="54" t="str">
        <f t="shared" si="1"/>
        <v/>
      </c>
      <c r="BE742" s="67"/>
      <c r="BF742" s="67"/>
      <c r="BG742" s="67"/>
      <c r="BH742" s="67"/>
      <c r="BI742" s="67"/>
      <c r="BJ742" s="67"/>
      <c r="BK742" s="67"/>
      <c r="BL742" s="67"/>
      <c r="BM742" s="67"/>
      <c r="BN742" s="100"/>
      <c r="BO742" s="102"/>
      <c r="BP742" s="67"/>
      <c r="BQ742" s="79"/>
      <c r="BR742" s="67"/>
      <c r="BS742" s="102"/>
      <c r="BT742" s="106"/>
      <c r="BU742" s="107"/>
      <c r="BV742" s="108" t="str">
        <f t="shared" si="17"/>
        <v/>
      </c>
      <c r="BW742" s="108" t="str">
        <f t="shared" si="16"/>
        <v/>
      </c>
      <c r="BX742" s="102" t="str">
        <f t="shared" si="15"/>
        <v/>
      </c>
      <c r="BY742" s="107" t="str">
        <f t="shared" si="5"/>
        <v/>
      </c>
      <c r="BZ742" s="107" t="str">
        <f t="array" ref="BZ742">IF($A742&lt;&gt;"",INDEX(LISTA!$M$2:$N$27,MATCH($BC742,LISTA!$N$2:$N$27,0),1),"")</f>
        <v/>
      </c>
      <c r="CA742" s="67" t="str">
        <f t="shared" si="6"/>
        <v/>
      </c>
      <c r="CB742" s="114" t="str">
        <f t="shared" si="7"/>
        <v/>
      </c>
      <c r="CC742" s="114"/>
    </row>
    <row r="743" ht="22.5" customHeight="1">
      <c r="A743" s="59"/>
      <c r="B743" s="115"/>
      <c r="C743" s="54"/>
      <c r="D743" s="56"/>
      <c r="E743" s="69"/>
      <c r="F743" s="73"/>
      <c r="G743" s="79"/>
      <c r="H743" s="79"/>
      <c r="I743" s="67"/>
      <c r="J743" s="79"/>
      <c r="K743" s="67"/>
      <c r="L743" s="79"/>
      <c r="M743" s="83"/>
      <c r="N743" s="78"/>
      <c r="O743" s="80"/>
      <c r="P743" s="70"/>
      <c r="Q743" s="54"/>
      <c r="R743" s="67"/>
      <c r="S743" s="67"/>
      <c r="T743" s="54"/>
      <c r="U743" s="86"/>
      <c r="V743" s="54"/>
      <c r="W743" s="86"/>
      <c r="X743" s="54"/>
      <c r="Y743" s="78"/>
      <c r="Z743" s="54"/>
      <c r="AA743" s="70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54"/>
      <c r="AR743" s="83"/>
      <c r="AS743" s="83"/>
      <c r="AT743" s="93"/>
      <c r="AU743" s="93"/>
      <c r="AV743" s="93"/>
      <c r="AW743" s="83"/>
      <c r="AX743" s="83"/>
      <c r="AY743" s="83"/>
      <c r="AZ743" s="83"/>
      <c r="BA743" s="83"/>
      <c r="BB743" s="83"/>
      <c r="BC743" s="54"/>
      <c r="BD743" s="54" t="str">
        <f t="shared" si="1"/>
        <v/>
      </c>
      <c r="BE743" s="67"/>
      <c r="BF743" s="67"/>
      <c r="BG743" s="67"/>
      <c r="BH743" s="67"/>
      <c r="BI743" s="67"/>
      <c r="BJ743" s="67"/>
      <c r="BK743" s="67"/>
      <c r="BL743" s="67"/>
      <c r="BM743" s="67"/>
      <c r="BN743" s="100"/>
      <c r="BO743" s="102"/>
      <c r="BP743" s="67"/>
      <c r="BQ743" s="79"/>
      <c r="BR743" s="67"/>
      <c r="BS743" s="102"/>
      <c r="BT743" s="106"/>
      <c r="BU743" s="107"/>
      <c r="BV743" s="108" t="str">
        <f t="shared" si="17"/>
        <v/>
      </c>
      <c r="BW743" s="108" t="str">
        <f t="shared" si="16"/>
        <v/>
      </c>
      <c r="BX743" s="102" t="str">
        <f t="shared" si="15"/>
        <v/>
      </c>
      <c r="BY743" s="107" t="str">
        <f t="shared" si="5"/>
        <v/>
      </c>
      <c r="BZ743" s="107" t="str">
        <f t="array" ref="BZ743">IF($A743&lt;&gt;"",INDEX(LISTA!$M$2:$N$27,MATCH($BC743,LISTA!$N$2:$N$27,0),1),"")</f>
        <v/>
      </c>
      <c r="CA743" s="67" t="str">
        <f t="shared" si="6"/>
        <v/>
      </c>
      <c r="CB743" s="114" t="str">
        <f t="shared" si="7"/>
        <v/>
      </c>
      <c r="CC743" s="114"/>
    </row>
    <row r="744" ht="22.5" customHeight="1">
      <c r="A744" s="59"/>
      <c r="B744" s="115"/>
      <c r="C744" s="54"/>
      <c r="D744" s="56"/>
      <c r="E744" s="69"/>
      <c r="F744" s="73"/>
      <c r="G744" s="79"/>
      <c r="H744" s="79"/>
      <c r="I744" s="67"/>
      <c r="J744" s="79"/>
      <c r="K744" s="67"/>
      <c r="L744" s="79"/>
      <c r="M744" s="83"/>
      <c r="N744" s="78"/>
      <c r="O744" s="80"/>
      <c r="P744" s="70"/>
      <c r="Q744" s="54"/>
      <c r="R744" s="67"/>
      <c r="S744" s="67"/>
      <c r="T744" s="54"/>
      <c r="U744" s="86"/>
      <c r="V744" s="54"/>
      <c r="W744" s="86"/>
      <c r="X744" s="54"/>
      <c r="Y744" s="78"/>
      <c r="Z744" s="54"/>
      <c r="AA744" s="70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54"/>
      <c r="AR744" s="83"/>
      <c r="AS744" s="83"/>
      <c r="AT744" s="93"/>
      <c r="AU744" s="93"/>
      <c r="AV744" s="93"/>
      <c r="AW744" s="83"/>
      <c r="AX744" s="83"/>
      <c r="AY744" s="83"/>
      <c r="AZ744" s="83"/>
      <c r="BA744" s="83"/>
      <c r="BB744" s="83"/>
      <c r="BC744" s="54"/>
      <c r="BD744" s="54" t="str">
        <f t="shared" si="1"/>
        <v/>
      </c>
      <c r="BE744" s="67"/>
      <c r="BF744" s="67"/>
      <c r="BG744" s="67"/>
      <c r="BH744" s="67"/>
      <c r="BI744" s="67"/>
      <c r="BJ744" s="67"/>
      <c r="BK744" s="67"/>
      <c r="BL744" s="67"/>
      <c r="BM744" s="67"/>
      <c r="BN744" s="100"/>
      <c r="BO744" s="102"/>
      <c r="BP744" s="67"/>
      <c r="BQ744" s="79"/>
      <c r="BR744" s="67"/>
      <c r="BS744" s="102"/>
      <c r="BT744" s="106"/>
      <c r="BU744" s="107"/>
      <c r="BV744" s="108" t="str">
        <f t="shared" si="17"/>
        <v/>
      </c>
      <c r="BW744" s="108" t="str">
        <f t="shared" si="16"/>
        <v/>
      </c>
      <c r="BX744" s="102" t="str">
        <f t="shared" si="15"/>
        <v/>
      </c>
      <c r="BY744" s="107" t="str">
        <f t="shared" si="5"/>
        <v/>
      </c>
      <c r="BZ744" s="107" t="str">
        <f t="array" ref="BZ744">IF($A744&lt;&gt;"",INDEX(LISTA!$M$2:$N$27,MATCH($BC744,LISTA!$N$2:$N$27,0),1),"")</f>
        <v/>
      </c>
      <c r="CA744" s="67" t="str">
        <f t="shared" si="6"/>
        <v/>
      </c>
      <c r="CB744" s="114" t="str">
        <f t="shared" si="7"/>
        <v/>
      </c>
      <c r="CC744" s="114"/>
    </row>
    <row r="745" ht="22.5" customHeight="1">
      <c r="A745" s="59"/>
      <c r="B745" s="115"/>
      <c r="C745" s="54"/>
      <c r="D745" s="56"/>
      <c r="E745" s="69"/>
      <c r="F745" s="73"/>
      <c r="G745" s="79"/>
      <c r="H745" s="79"/>
      <c r="I745" s="67"/>
      <c r="J745" s="79"/>
      <c r="K745" s="67"/>
      <c r="L745" s="79"/>
      <c r="M745" s="83"/>
      <c r="N745" s="78"/>
      <c r="O745" s="80"/>
      <c r="P745" s="70"/>
      <c r="Q745" s="54"/>
      <c r="R745" s="67"/>
      <c r="S745" s="67"/>
      <c r="T745" s="54"/>
      <c r="U745" s="86"/>
      <c r="V745" s="54"/>
      <c r="W745" s="86"/>
      <c r="X745" s="54"/>
      <c r="Y745" s="78"/>
      <c r="Z745" s="54"/>
      <c r="AA745" s="70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54"/>
      <c r="AR745" s="83"/>
      <c r="AS745" s="83"/>
      <c r="AT745" s="93"/>
      <c r="AU745" s="93"/>
      <c r="AV745" s="93"/>
      <c r="AW745" s="83"/>
      <c r="AX745" s="83"/>
      <c r="AY745" s="83"/>
      <c r="AZ745" s="83"/>
      <c r="BA745" s="83"/>
      <c r="BB745" s="83"/>
      <c r="BC745" s="54"/>
      <c r="BD745" s="54" t="str">
        <f t="shared" si="1"/>
        <v/>
      </c>
      <c r="BE745" s="67"/>
      <c r="BF745" s="67"/>
      <c r="BG745" s="67"/>
      <c r="BH745" s="67"/>
      <c r="BI745" s="67"/>
      <c r="BJ745" s="67"/>
      <c r="BK745" s="67"/>
      <c r="BL745" s="67"/>
      <c r="BM745" s="67"/>
      <c r="BN745" s="100"/>
      <c r="BO745" s="102"/>
      <c r="BP745" s="67"/>
      <c r="BQ745" s="79"/>
      <c r="BR745" s="67"/>
      <c r="BS745" s="102"/>
      <c r="BT745" s="106"/>
      <c r="BU745" s="107"/>
      <c r="BV745" s="108" t="str">
        <f t="shared" si="17"/>
        <v/>
      </c>
      <c r="BW745" s="108" t="str">
        <f t="shared" si="16"/>
        <v/>
      </c>
      <c r="BX745" s="102" t="str">
        <f t="shared" si="15"/>
        <v/>
      </c>
      <c r="BY745" s="107" t="str">
        <f t="shared" si="5"/>
        <v/>
      </c>
      <c r="BZ745" s="107" t="str">
        <f t="array" ref="BZ745">IF($A745&lt;&gt;"",INDEX(LISTA!$M$2:$N$27,MATCH($BC745,LISTA!$N$2:$N$27,0),1),"")</f>
        <v/>
      </c>
      <c r="CA745" s="67" t="str">
        <f t="shared" si="6"/>
        <v/>
      </c>
      <c r="CB745" s="114" t="str">
        <f t="shared" si="7"/>
        <v/>
      </c>
      <c r="CC745" s="114"/>
    </row>
    <row r="746" ht="22.5" customHeight="1">
      <c r="A746" s="59"/>
      <c r="B746" s="115"/>
      <c r="C746" s="54"/>
      <c r="D746" s="56"/>
      <c r="E746" s="69"/>
      <c r="F746" s="73"/>
      <c r="G746" s="79"/>
      <c r="H746" s="79"/>
      <c r="I746" s="67"/>
      <c r="J746" s="79"/>
      <c r="K746" s="67"/>
      <c r="L746" s="79"/>
      <c r="M746" s="83"/>
      <c r="N746" s="78"/>
      <c r="O746" s="80"/>
      <c r="P746" s="70"/>
      <c r="Q746" s="54"/>
      <c r="R746" s="67"/>
      <c r="S746" s="67"/>
      <c r="T746" s="54"/>
      <c r="U746" s="86"/>
      <c r="V746" s="54"/>
      <c r="W746" s="86"/>
      <c r="X746" s="54"/>
      <c r="Y746" s="78"/>
      <c r="Z746" s="54"/>
      <c r="AA746" s="70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54"/>
      <c r="AR746" s="83"/>
      <c r="AS746" s="83"/>
      <c r="AT746" s="93"/>
      <c r="AU746" s="93"/>
      <c r="AV746" s="93"/>
      <c r="AW746" s="83"/>
      <c r="AX746" s="83"/>
      <c r="AY746" s="83"/>
      <c r="AZ746" s="83"/>
      <c r="BA746" s="83"/>
      <c r="BB746" s="83"/>
      <c r="BC746" s="54"/>
      <c r="BD746" s="54" t="str">
        <f t="shared" si="1"/>
        <v/>
      </c>
      <c r="BE746" s="67"/>
      <c r="BF746" s="67"/>
      <c r="BG746" s="67"/>
      <c r="BH746" s="67"/>
      <c r="BI746" s="67"/>
      <c r="BJ746" s="67"/>
      <c r="BK746" s="67"/>
      <c r="BL746" s="67"/>
      <c r="BM746" s="67"/>
      <c r="BN746" s="100"/>
      <c r="BO746" s="102"/>
      <c r="BP746" s="67"/>
      <c r="BQ746" s="79"/>
      <c r="BR746" s="67"/>
      <c r="BS746" s="102"/>
      <c r="BT746" s="106"/>
      <c r="BU746" s="107"/>
      <c r="BV746" s="108" t="str">
        <f t="shared" si="17"/>
        <v/>
      </c>
      <c r="BW746" s="108" t="str">
        <f t="shared" si="16"/>
        <v/>
      </c>
      <c r="BX746" s="102" t="str">
        <f t="shared" si="15"/>
        <v/>
      </c>
      <c r="BY746" s="107" t="str">
        <f t="shared" si="5"/>
        <v/>
      </c>
      <c r="BZ746" s="107" t="str">
        <f t="array" ref="BZ746">IF($A746&lt;&gt;"",INDEX(LISTA!$M$2:$N$27,MATCH($BC746,LISTA!$N$2:$N$27,0),1),"")</f>
        <v/>
      </c>
      <c r="CA746" s="67" t="str">
        <f t="shared" si="6"/>
        <v/>
      </c>
      <c r="CB746" s="114" t="str">
        <f t="shared" si="7"/>
        <v/>
      </c>
      <c r="CC746" s="114"/>
    </row>
    <row r="747" ht="22.5" customHeight="1">
      <c r="A747" s="59"/>
      <c r="B747" s="115"/>
      <c r="C747" s="54"/>
      <c r="D747" s="56"/>
      <c r="E747" s="69"/>
      <c r="F747" s="73"/>
      <c r="G747" s="79"/>
      <c r="H747" s="79"/>
      <c r="I747" s="67"/>
      <c r="J747" s="79"/>
      <c r="K747" s="67"/>
      <c r="L747" s="79"/>
      <c r="M747" s="83"/>
      <c r="N747" s="78"/>
      <c r="O747" s="80"/>
      <c r="P747" s="70"/>
      <c r="Q747" s="54"/>
      <c r="R747" s="67"/>
      <c r="S747" s="67"/>
      <c r="T747" s="54"/>
      <c r="U747" s="86"/>
      <c r="V747" s="54"/>
      <c r="W747" s="86"/>
      <c r="X747" s="54"/>
      <c r="Y747" s="78"/>
      <c r="Z747" s="54"/>
      <c r="AA747" s="70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54"/>
      <c r="AR747" s="83"/>
      <c r="AS747" s="83"/>
      <c r="AT747" s="93"/>
      <c r="AU747" s="93"/>
      <c r="AV747" s="93"/>
      <c r="AW747" s="83"/>
      <c r="AX747" s="83"/>
      <c r="AY747" s="83"/>
      <c r="AZ747" s="83"/>
      <c r="BA747" s="83"/>
      <c r="BB747" s="83"/>
      <c r="BC747" s="54"/>
      <c r="BD747" s="54" t="str">
        <f t="shared" si="1"/>
        <v/>
      </c>
      <c r="BE747" s="67"/>
      <c r="BF747" s="67"/>
      <c r="BG747" s="67"/>
      <c r="BH747" s="67"/>
      <c r="BI747" s="67"/>
      <c r="BJ747" s="67"/>
      <c r="BK747" s="67"/>
      <c r="BL747" s="67"/>
      <c r="BM747" s="67"/>
      <c r="BN747" s="100"/>
      <c r="BO747" s="102"/>
      <c r="BP747" s="67"/>
      <c r="BQ747" s="79"/>
      <c r="BR747" s="67"/>
      <c r="BS747" s="102"/>
      <c r="BT747" s="106"/>
      <c r="BU747" s="107"/>
      <c r="BV747" s="108" t="str">
        <f t="shared" si="17"/>
        <v/>
      </c>
      <c r="BW747" s="108" t="str">
        <f t="shared" si="16"/>
        <v/>
      </c>
      <c r="BX747" s="102" t="str">
        <f t="shared" si="15"/>
        <v/>
      </c>
      <c r="BY747" s="107" t="str">
        <f t="shared" si="5"/>
        <v/>
      </c>
      <c r="BZ747" s="107" t="str">
        <f t="array" ref="BZ747">IF($A747&lt;&gt;"",INDEX(LISTA!$M$2:$N$27,MATCH($BC747,LISTA!$N$2:$N$27,0),1),"")</f>
        <v/>
      </c>
      <c r="CA747" s="67" t="str">
        <f t="shared" si="6"/>
        <v/>
      </c>
      <c r="CB747" s="114" t="str">
        <f t="shared" si="7"/>
        <v/>
      </c>
      <c r="CC747" s="114"/>
    </row>
    <row r="748" ht="22.5" customHeight="1">
      <c r="A748" s="59"/>
      <c r="B748" s="115"/>
      <c r="C748" s="54"/>
      <c r="D748" s="56"/>
      <c r="E748" s="69"/>
      <c r="F748" s="73"/>
      <c r="G748" s="79"/>
      <c r="H748" s="79"/>
      <c r="I748" s="67"/>
      <c r="J748" s="79"/>
      <c r="K748" s="67"/>
      <c r="L748" s="79"/>
      <c r="M748" s="83"/>
      <c r="N748" s="78"/>
      <c r="O748" s="80"/>
      <c r="P748" s="70"/>
      <c r="Q748" s="54"/>
      <c r="R748" s="67"/>
      <c r="S748" s="67"/>
      <c r="T748" s="54"/>
      <c r="U748" s="86"/>
      <c r="V748" s="54"/>
      <c r="W748" s="86"/>
      <c r="X748" s="54"/>
      <c r="Y748" s="78"/>
      <c r="Z748" s="54"/>
      <c r="AA748" s="70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54"/>
      <c r="AR748" s="83"/>
      <c r="AS748" s="83"/>
      <c r="AT748" s="93"/>
      <c r="AU748" s="93"/>
      <c r="AV748" s="93"/>
      <c r="AW748" s="83"/>
      <c r="AX748" s="83"/>
      <c r="AY748" s="83"/>
      <c r="AZ748" s="83"/>
      <c r="BA748" s="83"/>
      <c r="BB748" s="83"/>
      <c r="BC748" s="54"/>
      <c r="BD748" s="54" t="str">
        <f t="shared" si="1"/>
        <v/>
      </c>
      <c r="BE748" s="67"/>
      <c r="BF748" s="67"/>
      <c r="BG748" s="67"/>
      <c r="BH748" s="67"/>
      <c r="BI748" s="67"/>
      <c r="BJ748" s="67"/>
      <c r="BK748" s="67"/>
      <c r="BL748" s="67"/>
      <c r="BM748" s="67"/>
      <c r="BN748" s="100"/>
      <c r="BO748" s="102"/>
      <c r="BP748" s="67"/>
      <c r="BQ748" s="79"/>
      <c r="BR748" s="67"/>
      <c r="BS748" s="102"/>
      <c r="BT748" s="106"/>
      <c r="BU748" s="107"/>
      <c r="BV748" s="108" t="str">
        <f t="shared" si="17"/>
        <v/>
      </c>
      <c r="BW748" s="108" t="str">
        <f t="shared" si="16"/>
        <v/>
      </c>
      <c r="BX748" s="102" t="str">
        <f t="shared" si="15"/>
        <v/>
      </c>
      <c r="BY748" s="107" t="str">
        <f t="shared" si="5"/>
        <v/>
      </c>
      <c r="BZ748" s="107" t="str">
        <f t="array" ref="BZ748">IF($A748&lt;&gt;"",INDEX(LISTA!$M$2:$N$27,MATCH($BC748,LISTA!$N$2:$N$27,0),1),"")</f>
        <v/>
      </c>
      <c r="CA748" s="67" t="str">
        <f t="shared" si="6"/>
        <v/>
      </c>
      <c r="CB748" s="114" t="str">
        <f t="shared" si="7"/>
        <v/>
      </c>
      <c r="CC748" s="114"/>
    </row>
    <row r="749" ht="22.5" customHeight="1">
      <c r="A749" s="59"/>
      <c r="B749" s="115"/>
      <c r="C749" s="54"/>
      <c r="D749" s="56"/>
      <c r="E749" s="69"/>
      <c r="F749" s="73"/>
      <c r="G749" s="79"/>
      <c r="H749" s="79"/>
      <c r="I749" s="67"/>
      <c r="J749" s="79"/>
      <c r="K749" s="67"/>
      <c r="L749" s="79"/>
      <c r="M749" s="83"/>
      <c r="N749" s="78"/>
      <c r="O749" s="80"/>
      <c r="P749" s="70"/>
      <c r="Q749" s="54"/>
      <c r="R749" s="67"/>
      <c r="S749" s="67"/>
      <c r="T749" s="54"/>
      <c r="U749" s="86"/>
      <c r="V749" s="54"/>
      <c r="W749" s="86"/>
      <c r="X749" s="54"/>
      <c r="Y749" s="78"/>
      <c r="Z749" s="54"/>
      <c r="AA749" s="70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54"/>
      <c r="AR749" s="83"/>
      <c r="AS749" s="83"/>
      <c r="AT749" s="93"/>
      <c r="AU749" s="93"/>
      <c r="AV749" s="93"/>
      <c r="AW749" s="83"/>
      <c r="AX749" s="83"/>
      <c r="AY749" s="83"/>
      <c r="AZ749" s="83"/>
      <c r="BA749" s="83"/>
      <c r="BB749" s="83"/>
      <c r="BC749" s="54"/>
      <c r="BD749" s="54" t="str">
        <f t="shared" si="1"/>
        <v/>
      </c>
      <c r="BE749" s="67"/>
      <c r="BF749" s="67"/>
      <c r="BG749" s="67"/>
      <c r="BH749" s="67"/>
      <c r="BI749" s="67"/>
      <c r="BJ749" s="67"/>
      <c r="BK749" s="67"/>
      <c r="BL749" s="67"/>
      <c r="BM749" s="67"/>
      <c r="BN749" s="100"/>
      <c r="BO749" s="102"/>
      <c r="BP749" s="67"/>
      <c r="BQ749" s="79"/>
      <c r="BR749" s="67"/>
      <c r="BS749" s="102"/>
      <c r="BT749" s="106"/>
      <c r="BU749" s="107"/>
      <c r="BV749" s="108" t="str">
        <f t="shared" si="17"/>
        <v/>
      </c>
      <c r="BW749" s="108" t="str">
        <f t="shared" si="16"/>
        <v/>
      </c>
      <c r="BX749" s="102" t="str">
        <f t="shared" si="15"/>
        <v/>
      </c>
      <c r="BY749" s="107" t="str">
        <f t="shared" si="5"/>
        <v/>
      </c>
      <c r="BZ749" s="107" t="str">
        <f t="array" ref="BZ749">IF($A749&lt;&gt;"",INDEX(LISTA!$M$2:$N$27,MATCH($BC749,LISTA!$N$2:$N$27,0),1),"")</f>
        <v/>
      </c>
      <c r="CA749" s="67" t="str">
        <f t="shared" si="6"/>
        <v/>
      </c>
      <c r="CB749" s="114" t="str">
        <f t="shared" si="7"/>
        <v/>
      </c>
      <c r="CC749" s="114"/>
    </row>
    <row r="750" ht="22.5" customHeight="1">
      <c r="A750" s="59"/>
      <c r="B750" s="115"/>
      <c r="C750" s="54"/>
      <c r="D750" s="56"/>
      <c r="E750" s="69"/>
      <c r="F750" s="73"/>
      <c r="G750" s="79"/>
      <c r="H750" s="79"/>
      <c r="I750" s="67"/>
      <c r="J750" s="79"/>
      <c r="K750" s="67"/>
      <c r="L750" s="79"/>
      <c r="M750" s="83"/>
      <c r="N750" s="78"/>
      <c r="O750" s="80"/>
      <c r="P750" s="70"/>
      <c r="Q750" s="54"/>
      <c r="R750" s="67"/>
      <c r="S750" s="67"/>
      <c r="T750" s="54"/>
      <c r="U750" s="86"/>
      <c r="V750" s="54"/>
      <c r="W750" s="86"/>
      <c r="X750" s="54"/>
      <c r="Y750" s="78"/>
      <c r="Z750" s="54"/>
      <c r="AA750" s="70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54"/>
      <c r="AR750" s="83"/>
      <c r="AS750" s="83"/>
      <c r="AT750" s="93"/>
      <c r="AU750" s="93"/>
      <c r="AV750" s="93"/>
      <c r="AW750" s="83"/>
      <c r="AX750" s="83"/>
      <c r="AY750" s="83"/>
      <c r="AZ750" s="83"/>
      <c r="BA750" s="83"/>
      <c r="BB750" s="83"/>
      <c r="BC750" s="54"/>
      <c r="BD750" s="54" t="str">
        <f t="shared" si="1"/>
        <v/>
      </c>
      <c r="BE750" s="67"/>
      <c r="BF750" s="67"/>
      <c r="BG750" s="67"/>
      <c r="BH750" s="67"/>
      <c r="BI750" s="67"/>
      <c r="BJ750" s="67"/>
      <c r="BK750" s="67"/>
      <c r="BL750" s="67"/>
      <c r="BM750" s="67"/>
      <c r="BN750" s="100"/>
      <c r="BO750" s="102"/>
      <c r="BP750" s="67"/>
      <c r="BQ750" s="79"/>
      <c r="BR750" s="67"/>
      <c r="BS750" s="102"/>
      <c r="BT750" s="106"/>
      <c r="BU750" s="107"/>
      <c r="BV750" s="108" t="str">
        <f t="shared" si="17"/>
        <v/>
      </c>
      <c r="BW750" s="108" t="str">
        <f t="shared" si="16"/>
        <v/>
      </c>
      <c r="BX750" s="102" t="str">
        <f t="shared" si="15"/>
        <v/>
      </c>
      <c r="BY750" s="107" t="str">
        <f t="shared" si="5"/>
        <v/>
      </c>
      <c r="BZ750" s="107" t="str">
        <f t="array" ref="BZ750">IF($A750&lt;&gt;"",INDEX(LISTA!$M$2:$N$27,MATCH($BC750,LISTA!$N$2:$N$27,0),1),"")</f>
        <v/>
      </c>
      <c r="CA750" s="67" t="str">
        <f t="shared" si="6"/>
        <v/>
      </c>
      <c r="CB750" s="114" t="str">
        <f t="shared" si="7"/>
        <v/>
      </c>
      <c r="CC750" s="114"/>
    </row>
    <row r="751" ht="22.5" customHeight="1">
      <c r="A751" s="59"/>
      <c r="B751" s="115"/>
      <c r="C751" s="54"/>
      <c r="D751" s="56"/>
      <c r="E751" s="69"/>
      <c r="F751" s="73"/>
      <c r="G751" s="79"/>
      <c r="H751" s="79"/>
      <c r="I751" s="67"/>
      <c r="J751" s="79"/>
      <c r="K751" s="67"/>
      <c r="L751" s="79"/>
      <c r="M751" s="83"/>
      <c r="N751" s="78"/>
      <c r="O751" s="80"/>
      <c r="P751" s="70"/>
      <c r="Q751" s="54"/>
      <c r="R751" s="67"/>
      <c r="S751" s="67"/>
      <c r="T751" s="54"/>
      <c r="U751" s="86"/>
      <c r="V751" s="54"/>
      <c r="W751" s="86"/>
      <c r="X751" s="54"/>
      <c r="Y751" s="78"/>
      <c r="Z751" s="54"/>
      <c r="AA751" s="70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54"/>
      <c r="AR751" s="83"/>
      <c r="AS751" s="83"/>
      <c r="AT751" s="93"/>
      <c r="AU751" s="93"/>
      <c r="AV751" s="93"/>
      <c r="AW751" s="83"/>
      <c r="AX751" s="83"/>
      <c r="AY751" s="83"/>
      <c r="AZ751" s="83"/>
      <c r="BA751" s="83"/>
      <c r="BB751" s="83"/>
      <c r="BC751" s="54"/>
      <c r="BD751" s="54" t="str">
        <f t="shared" si="1"/>
        <v/>
      </c>
      <c r="BE751" s="67"/>
      <c r="BF751" s="67"/>
      <c r="BG751" s="67"/>
      <c r="BH751" s="67"/>
      <c r="BI751" s="67"/>
      <c r="BJ751" s="67"/>
      <c r="BK751" s="67"/>
      <c r="BL751" s="67"/>
      <c r="BM751" s="67"/>
      <c r="BN751" s="100"/>
      <c r="BO751" s="102"/>
      <c r="BP751" s="67"/>
      <c r="BQ751" s="79"/>
      <c r="BR751" s="67"/>
      <c r="BS751" s="102"/>
      <c r="BT751" s="106"/>
      <c r="BU751" s="107"/>
      <c r="BV751" s="108" t="str">
        <f t="shared" si="17"/>
        <v/>
      </c>
      <c r="BW751" s="108" t="str">
        <f t="shared" si="16"/>
        <v/>
      </c>
      <c r="BX751" s="102" t="str">
        <f t="shared" si="15"/>
        <v/>
      </c>
      <c r="BY751" s="107" t="str">
        <f t="shared" si="5"/>
        <v/>
      </c>
      <c r="BZ751" s="107" t="str">
        <f t="array" ref="BZ751">IF($A751&lt;&gt;"",INDEX(LISTA!$M$2:$N$27,MATCH($BC751,LISTA!$N$2:$N$27,0),1),"")</f>
        <v/>
      </c>
      <c r="CA751" s="67" t="str">
        <f t="shared" si="6"/>
        <v/>
      </c>
      <c r="CB751" s="114" t="str">
        <f t="shared" si="7"/>
        <v/>
      </c>
      <c r="CC751" s="114"/>
    </row>
    <row r="752" ht="22.5" customHeight="1">
      <c r="A752" s="59"/>
      <c r="B752" s="115"/>
      <c r="C752" s="54"/>
      <c r="D752" s="56"/>
      <c r="E752" s="69"/>
      <c r="F752" s="73"/>
      <c r="G752" s="79"/>
      <c r="H752" s="79"/>
      <c r="I752" s="67"/>
      <c r="J752" s="79"/>
      <c r="K752" s="67"/>
      <c r="L752" s="79"/>
      <c r="M752" s="83"/>
      <c r="N752" s="78"/>
      <c r="O752" s="80"/>
      <c r="P752" s="70"/>
      <c r="Q752" s="54"/>
      <c r="R752" s="67"/>
      <c r="S752" s="67"/>
      <c r="T752" s="54"/>
      <c r="U752" s="86"/>
      <c r="V752" s="54"/>
      <c r="W752" s="86"/>
      <c r="X752" s="54"/>
      <c r="Y752" s="78"/>
      <c r="Z752" s="54"/>
      <c r="AA752" s="70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54"/>
      <c r="AR752" s="83"/>
      <c r="AS752" s="83"/>
      <c r="AT752" s="93"/>
      <c r="AU752" s="93"/>
      <c r="AV752" s="93"/>
      <c r="AW752" s="83"/>
      <c r="AX752" s="83"/>
      <c r="AY752" s="83"/>
      <c r="AZ752" s="83"/>
      <c r="BA752" s="83"/>
      <c r="BB752" s="83"/>
      <c r="BC752" s="54"/>
      <c r="BD752" s="54" t="str">
        <f t="shared" si="1"/>
        <v/>
      </c>
      <c r="BE752" s="67"/>
      <c r="BF752" s="67"/>
      <c r="BG752" s="67"/>
      <c r="BH752" s="67"/>
      <c r="BI752" s="67"/>
      <c r="BJ752" s="67"/>
      <c r="BK752" s="67"/>
      <c r="BL752" s="67"/>
      <c r="BM752" s="67"/>
      <c r="BN752" s="100"/>
      <c r="BO752" s="102"/>
      <c r="BP752" s="67"/>
      <c r="BQ752" s="79"/>
      <c r="BR752" s="67"/>
      <c r="BS752" s="102"/>
      <c r="BT752" s="106"/>
      <c r="BU752" s="107"/>
      <c r="BV752" s="108" t="str">
        <f t="shared" si="17"/>
        <v/>
      </c>
      <c r="BW752" s="108" t="str">
        <f t="shared" si="16"/>
        <v/>
      </c>
      <c r="BX752" s="102" t="str">
        <f t="shared" si="15"/>
        <v/>
      </c>
      <c r="BY752" s="107" t="str">
        <f t="shared" si="5"/>
        <v/>
      </c>
      <c r="BZ752" s="107" t="str">
        <f t="array" ref="BZ752">IF($A752&lt;&gt;"",INDEX(LISTA!$M$2:$N$27,MATCH($BC752,LISTA!$N$2:$N$27,0),1),"")</f>
        <v/>
      </c>
      <c r="CA752" s="67" t="str">
        <f t="shared" si="6"/>
        <v/>
      </c>
      <c r="CB752" s="114" t="str">
        <f t="shared" si="7"/>
        <v/>
      </c>
      <c r="CC752" s="114"/>
    </row>
    <row r="753" ht="22.5" customHeight="1">
      <c r="A753" s="59"/>
      <c r="B753" s="115"/>
      <c r="C753" s="54"/>
      <c r="D753" s="56"/>
      <c r="E753" s="69"/>
      <c r="F753" s="73"/>
      <c r="G753" s="79"/>
      <c r="H753" s="79"/>
      <c r="I753" s="67"/>
      <c r="J753" s="79"/>
      <c r="K753" s="67"/>
      <c r="L753" s="79"/>
      <c r="M753" s="83"/>
      <c r="N753" s="78"/>
      <c r="O753" s="80"/>
      <c r="P753" s="70"/>
      <c r="Q753" s="54"/>
      <c r="R753" s="67"/>
      <c r="S753" s="67"/>
      <c r="T753" s="54"/>
      <c r="U753" s="86"/>
      <c r="V753" s="54"/>
      <c r="W753" s="86"/>
      <c r="X753" s="54"/>
      <c r="Y753" s="78"/>
      <c r="Z753" s="54"/>
      <c r="AA753" s="70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54"/>
      <c r="AR753" s="83"/>
      <c r="AS753" s="83"/>
      <c r="AT753" s="93"/>
      <c r="AU753" s="93"/>
      <c r="AV753" s="93"/>
      <c r="AW753" s="83"/>
      <c r="AX753" s="83"/>
      <c r="AY753" s="83"/>
      <c r="AZ753" s="83"/>
      <c r="BA753" s="83"/>
      <c r="BB753" s="83"/>
      <c r="BC753" s="54"/>
      <c r="BD753" s="54" t="str">
        <f t="shared" si="1"/>
        <v/>
      </c>
      <c r="BE753" s="67"/>
      <c r="BF753" s="67"/>
      <c r="BG753" s="67"/>
      <c r="BH753" s="67"/>
      <c r="BI753" s="67"/>
      <c r="BJ753" s="67"/>
      <c r="BK753" s="67"/>
      <c r="BL753" s="67"/>
      <c r="BM753" s="67"/>
      <c r="BN753" s="100"/>
      <c r="BO753" s="102"/>
      <c r="BP753" s="67"/>
      <c r="BQ753" s="79"/>
      <c r="BR753" s="67"/>
      <c r="BS753" s="102"/>
      <c r="BT753" s="106"/>
      <c r="BU753" s="107"/>
      <c r="BV753" s="108" t="str">
        <f t="shared" si="17"/>
        <v/>
      </c>
      <c r="BW753" s="108" t="str">
        <f t="shared" si="16"/>
        <v/>
      </c>
      <c r="BX753" s="102" t="str">
        <f t="shared" si="15"/>
        <v/>
      </c>
      <c r="BY753" s="107" t="str">
        <f t="shared" si="5"/>
        <v/>
      </c>
      <c r="BZ753" s="107" t="str">
        <f t="array" ref="BZ753">IF($A753&lt;&gt;"",INDEX(LISTA!$M$2:$N$27,MATCH($BC753,LISTA!$N$2:$N$27,0),1),"")</f>
        <v/>
      </c>
      <c r="CA753" s="67" t="str">
        <f t="shared" si="6"/>
        <v/>
      </c>
      <c r="CB753" s="114" t="str">
        <f t="shared" si="7"/>
        <v/>
      </c>
      <c r="CC753" s="114"/>
    </row>
    <row r="754" ht="22.5" customHeight="1">
      <c r="A754" s="59"/>
      <c r="B754" s="115"/>
      <c r="C754" s="54"/>
      <c r="D754" s="56"/>
      <c r="E754" s="69"/>
      <c r="F754" s="73"/>
      <c r="G754" s="79"/>
      <c r="H754" s="79"/>
      <c r="I754" s="67"/>
      <c r="J754" s="79"/>
      <c r="K754" s="67"/>
      <c r="L754" s="79"/>
      <c r="M754" s="83"/>
      <c r="N754" s="78"/>
      <c r="O754" s="80"/>
      <c r="P754" s="70"/>
      <c r="Q754" s="54"/>
      <c r="R754" s="67"/>
      <c r="S754" s="67"/>
      <c r="T754" s="54"/>
      <c r="U754" s="86"/>
      <c r="V754" s="54"/>
      <c r="W754" s="86"/>
      <c r="X754" s="54"/>
      <c r="Y754" s="78"/>
      <c r="Z754" s="54"/>
      <c r="AA754" s="70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54"/>
      <c r="AR754" s="83"/>
      <c r="AS754" s="83"/>
      <c r="AT754" s="93"/>
      <c r="AU754" s="93"/>
      <c r="AV754" s="93"/>
      <c r="AW754" s="83"/>
      <c r="AX754" s="83"/>
      <c r="AY754" s="83"/>
      <c r="AZ754" s="83"/>
      <c r="BA754" s="83"/>
      <c r="BB754" s="83"/>
      <c r="BC754" s="54"/>
      <c r="BD754" s="54" t="str">
        <f t="shared" si="1"/>
        <v/>
      </c>
      <c r="BE754" s="67"/>
      <c r="BF754" s="67"/>
      <c r="BG754" s="67"/>
      <c r="BH754" s="67"/>
      <c r="BI754" s="67"/>
      <c r="BJ754" s="67"/>
      <c r="BK754" s="67"/>
      <c r="BL754" s="67"/>
      <c r="BM754" s="67"/>
      <c r="BN754" s="100"/>
      <c r="BO754" s="102"/>
      <c r="BP754" s="67"/>
      <c r="BQ754" s="79"/>
      <c r="BR754" s="67"/>
      <c r="BS754" s="102"/>
      <c r="BT754" s="106"/>
      <c r="BU754" s="107"/>
      <c r="BV754" s="108" t="str">
        <f t="shared" si="17"/>
        <v/>
      </c>
      <c r="BW754" s="108" t="str">
        <f t="shared" si="16"/>
        <v/>
      </c>
      <c r="BX754" s="102" t="str">
        <f t="shared" si="15"/>
        <v/>
      </c>
      <c r="BY754" s="107" t="str">
        <f t="shared" si="5"/>
        <v/>
      </c>
      <c r="BZ754" s="107" t="str">
        <f t="array" ref="BZ754">IF($A754&lt;&gt;"",INDEX(LISTA!$M$2:$N$27,MATCH($BC754,LISTA!$N$2:$N$27,0),1),"")</f>
        <v/>
      </c>
      <c r="CA754" s="67" t="str">
        <f t="shared" si="6"/>
        <v/>
      </c>
      <c r="CB754" s="114" t="str">
        <f t="shared" si="7"/>
        <v/>
      </c>
      <c r="CC754" s="114"/>
    </row>
    <row r="755" ht="22.5" customHeight="1">
      <c r="A755" s="59"/>
      <c r="B755" s="115"/>
      <c r="C755" s="54"/>
      <c r="D755" s="56"/>
      <c r="E755" s="69"/>
      <c r="F755" s="73"/>
      <c r="G755" s="79"/>
      <c r="H755" s="79"/>
      <c r="I755" s="67"/>
      <c r="J755" s="79"/>
      <c r="K755" s="67"/>
      <c r="L755" s="79"/>
      <c r="M755" s="83"/>
      <c r="N755" s="78"/>
      <c r="O755" s="80"/>
      <c r="P755" s="70"/>
      <c r="Q755" s="54"/>
      <c r="R755" s="67"/>
      <c r="S755" s="67"/>
      <c r="T755" s="54"/>
      <c r="U755" s="86"/>
      <c r="V755" s="54"/>
      <c r="W755" s="86"/>
      <c r="X755" s="54"/>
      <c r="Y755" s="78"/>
      <c r="Z755" s="54"/>
      <c r="AA755" s="70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54"/>
      <c r="AR755" s="83"/>
      <c r="AS755" s="83"/>
      <c r="AT755" s="93"/>
      <c r="AU755" s="93"/>
      <c r="AV755" s="93"/>
      <c r="AW755" s="83"/>
      <c r="AX755" s="83"/>
      <c r="AY755" s="83"/>
      <c r="AZ755" s="83"/>
      <c r="BA755" s="83"/>
      <c r="BB755" s="83"/>
      <c r="BC755" s="54"/>
      <c r="BD755" s="54" t="str">
        <f t="shared" si="1"/>
        <v/>
      </c>
      <c r="BE755" s="67"/>
      <c r="BF755" s="67"/>
      <c r="BG755" s="67"/>
      <c r="BH755" s="67"/>
      <c r="BI755" s="67"/>
      <c r="BJ755" s="67"/>
      <c r="BK755" s="67"/>
      <c r="BL755" s="67"/>
      <c r="BM755" s="67"/>
      <c r="BN755" s="100"/>
      <c r="BO755" s="102"/>
      <c r="BP755" s="67"/>
      <c r="BQ755" s="79"/>
      <c r="BR755" s="67"/>
      <c r="BS755" s="102"/>
      <c r="BT755" s="106"/>
      <c r="BU755" s="107"/>
      <c r="BV755" s="108" t="str">
        <f t="shared" si="17"/>
        <v/>
      </c>
      <c r="BW755" s="108" t="str">
        <f t="shared" si="16"/>
        <v/>
      </c>
      <c r="BX755" s="102" t="str">
        <f t="shared" si="15"/>
        <v/>
      </c>
      <c r="BY755" s="107" t="str">
        <f t="shared" si="5"/>
        <v/>
      </c>
      <c r="BZ755" s="107" t="str">
        <f t="array" ref="BZ755">IF($A755&lt;&gt;"",INDEX(LISTA!$M$2:$N$27,MATCH($BC755,LISTA!$N$2:$N$27,0),1),"")</f>
        <v/>
      </c>
      <c r="CA755" s="67" t="str">
        <f t="shared" si="6"/>
        <v/>
      </c>
      <c r="CB755" s="114" t="str">
        <f t="shared" si="7"/>
        <v/>
      </c>
      <c r="CC755" s="114"/>
    </row>
    <row r="756" ht="22.5" customHeight="1">
      <c r="A756" s="59"/>
      <c r="B756" s="115"/>
      <c r="C756" s="54"/>
      <c r="D756" s="56"/>
      <c r="E756" s="69"/>
      <c r="F756" s="73"/>
      <c r="G756" s="79"/>
      <c r="H756" s="79"/>
      <c r="I756" s="67"/>
      <c r="J756" s="79"/>
      <c r="K756" s="67"/>
      <c r="L756" s="79"/>
      <c r="M756" s="83"/>
      <c r="N756" s="78"/>
      <c r="O756" s="80"/>
      <c r="P756" s="70"/>
      <c r="Q756" s="54"/>
      <c r="R756" s="67"/>
      <c r="S756" s="67"/>
      <c r="T756" s="54"/>
      <c r="U756" s="86"/>
      <c r="V756" s="54"/>
      <c r="W756" s="86"/>
      <c r="X756" s="54"/>
      <c r="Y756" s="78"/>
      <c r="Z756" s="54"/>
      <c r="AA756" s="70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54"/>
      <c r="AR756" s="83"/>
      <c r="AS756" s="83"/>
      <c r="AT756" s="93"/>
      <c r="AU756" s="93"/>
      <c r="AV756" s="93"/>
      <c r="AW756" s="83"/>
      <c r="AX756" s="83"/>
      <c r="AY756" s="83"/>
      <c r="AZ756" s="83"/>
      <c r="BA756" s="83"/>
      <c r="BB756" s="83"/>
      <c r="BC756" s="54"/>
      <c r="BD756" s="54" t="str">
        <f t="shared" si="1"/>
        <v/>
      </c>
      <c r="BE756" s="67"/>
      <c r="BF756" s="67"/>
      <c r="BG756" s="67"/>
      <c r="BH756" s="67"/>
      <c r="BI756" s="67"/>
      <c r="BJ756" s="67"/>
      <c r="BK756" s="67"/>
      <c r="BL756" s="67"/>
      <c r="BM756" s="67"/>
      <c r="BN756" s="100"/>
      <c r="BO756" s="102"/>
      <c r="BP756" s="67"/>
      <c r="BQ756" s="79"/>
      <c r="BR756" s="67"/>
      <c r="BS756" s="102"/>
      <c r="BT756" s="106"/>
      <c r="BU756" s="107"/>
      <c r="BV756" s="108" t="str">
        <f t="shared" si="17"/>
        <v/>
      </c>
      <c r="BW756" s="108" t="str">
        <f t="shared" si="16"/>
        <v/>
      </c>
      <c r="BX756" s="102" t="str">
        <f t="shared" si="15"/>
        <v/>
      </c>
      <c r="BY756" s="107" t="str">
        <f t="shared" si="5"/>
        <v/>
      </c>
      <c r="BZ756" s="107" t="str">
        <f t="array" ref="BZ756">IF($A756&lt;&gt;"",INDEX(LISTA!$M$2:$N$27,MATCH($BC756,LISTA!$N$2:$N$27,0),1),"")</f>
        <v/>
      </c>
      <c r="CA756" s="67" t="str">
        <f t="shared" si="6"/>
        <v/>
      </c>
      <c r="CB756" s="114" t="str">
        <f t="shared" si="7"/>
        <v/>
      </c>
      <c r="CC756" s="114"/>
    </row>
    <row r="757" ht="22.5" customHeight="1">
      <c r="A757" s="59"/>
      <c r="B757" s="115"/>
      <c r="C757" s="54"/>
      <c r="D757" s="56"/>
      <c r="E757" s="69"/>
      <c r="F757" s="73"/>
      <c r="G757" s="79"/>
      <c r="H757" s="79"/>
      <c r="I757" s="67"/>
      <c r="J757" s="79"/>
      <c r="K757" s="67"/>
      <c r="L757" s="79"/>
      <c r="M757" s="83"/>
      <c r="N757" s="78"/>
      <c r="O757" s="80"/>
      <c r="P757" s="70"/>
      <c r="Q757" s="54"/>
      <c r="R757" s="67"/>
      <c r="S757" s="67"/>
      <c r="T757" s="54"/>
      <c r="U757" s="86"/>
      <c r="V757" s="54"/>
      <c r="W757" s="86"/>
      <c r="X757" s="54"/>
      <c r="Y757" s="78"/>
      <c r="Z757" s="54"/>
      <c r="AA757" s="70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54"/>
      <c r="AR757" s="83"/>
      <c r="AS757" s="83"/>
      <c r="AT757" s="93"/>
      <c r="AU757" s="93"/>
      <c r="AV757" s="93"/>
      <c r="AW757" s="83"/>
      <c r="AX757" s="83"/>
      <c r="AY757" s="83"/>
      <c r="AZ757" s="83"/>
      <c r="BA757" s="83"/>
      <c r="BB757" s="83"/>
      <c r="BC757" s="54"/>
      <c r="BD757" s="54" t="str">
        <f t="shared" si="1"/>
        <v/>
      </c>
      <c r="BE757" s="67"/>
      <c r="BF757" s="67"/>
      <c r="BG757" s="67"/>
      <c r="BH757" s="67"/>
      <c r="BI757" s="67"/>
      <c r="BJ757" s="67"/>
      <c r="BK757" s="67"/>
      <c r="BL757" s="67"/>
      <c r="BM757" s="67"/>
      <c r="BN757" s="100"/>
      <c r="BO757" s="102"/>
      <c r="BP757" s="67"/>
      <c r="BQ757" s="79"/>
      <c r="BR757" s="67"/>
      <c r="BS757" s="102"/>
      <c r="BT757" s="106"/>
      <c r="BU757" s="107"/>
      <c r="BV757" s="108" t="str">
        <f t="shared" si="17"/>
        <v/>
      </c>
      <c r="BW757" s="108" t="str">
        <f t="shared" si="16"/>
        <v/>
      </c>
      <c r="BX757" s="102" t="str">
        <f t="shared" si="15"/>
        <v/>
      </c>
      <c r="BY757" s="107" t="str">
        <f t="shared" si="5"/>
        <v/>
      </c>
      <c r="BZ757" s="107" t="str">
        <f t="array" ref="BZ757">IF($A757&lt;&gt;"",INDEX(LISTA!$M$2:$N$27,MATCH($BC757,LISTA!$N$2:$N$27,0),1),"")</f>
        <v/>
      </c>
      <c r="CA757" s="67" t="str">
        <f t="shared" si="6"/>
        <v/>
      </c>
      <c r="CB757" s="114" t="str">
        <f t="shared" si="7"/>
        <v/>
      </c>
      <c r="CC757" s="114"/>
    </row>
    <row r="758" ht="22.5" customHeight="1">
      <c r="A758" s="59"/>
      <c r="B758" s="115"/>
      <c r="C758" s="54"/>
      <c r="D758" s="56"/>
      <c r="E758" s="69"/>
      <c r="F758" s="73"/>
      <c r="G758" s="79"/>
      <c r="H758" s="79"/>
      <c r="I758" s="67"/>
      <c r="J758" s="79"/>
      <c r="K758" s="67"/>
      <c r="L758" s="79"/>
      <c r="M758" s="83"/>
      <c r="N758" s="78"/>
      <c r="O758" s="80"/>
      <c r="P758" s="70"/>
      <c r="Q758" s="54"/>
      <c r="R758" s="67"/>
      <c r="S758" s="67"/>
      <c r="T758" s="54"/>
      <c r="U758" s="86"/>
      <c r="V758" s="54"/>
      <c r="W758" s="86"/>
      <c r="X758" s="54"/>
      <c r="Y758" s="78"/>
      <c r="Z758" s="54"/>
      <c r="AA758" s="70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54"/>
      <c r="AR758" s="83"/>
      <c r="AS758" s="83"/>
      <c r="AT758" s="93"/>
      <c r="AU758" s="93"/>
      <c r="AV758" s="93"/>
      <c r="AW758" s="83"/>
      <c r="AX758" s="83"/>
      <c r="AY758" s="83"/>
      <c r="AZ758" s="83"/>
      <c r="BA758" s="83"/>
      <c r="BB758" s="83"/>
      <c r="BC758" s="54"/>
      <c r="BD758" s="54" t="str">
        <f t="shared" si="1"/>
        <v/>
      </c>
      <c r="BE758" s="67"/>
      <c r="BF758" s="67"/>
      <c r="BG758" s="67"/>
      <c r="BH758" s="67"/>
      <c r="BI758" s="67"/>
      <c r="BJ758" s="67"/>
      <c r="BK758" s="67"/>
      <c r="BL758" s="67"/>
      <c r="BM758" s="67"/>
      <c r="BN758" s="100"/>
      <c r="BO758" s="102"/>
      <c r="BP758" s="67"/>
      <c r="BQ758" s="79"/>
      <c r="BR758" s="67"/>
      <c r="BS758" s="102"/>
      <c r="BT758" s="106"/>
      <c r="BU758" s="107"/>
      <c r="BV758" s="108" t="str">
        <f t="shared" si="17"/>
        <v/>
      </c>
      <c r="BW758" s="108" t="str">
        <f t="shared" si="16"/>
        <v/>
      </c>
      <c r="BX758" s="102" t="str">
        <f t="shared" si="15"/>
        <v/>
      </c>
      <c r="BY758" s="107" t="str">
        <f t="shared" si="5"/>
        <v/>
      </c>
      <c r="BZ758" s="107" t="str">
        <f t="array" ref="BZ758">IF($A758&lt;&gt;"",INDEX(LISTA!$M$2:$N$27,MATCH($BC758,LISTA!$N$2:$N$27,0),1),"")</f>
        <v/>
      </c>
      <c r="CA758" s="67" t="str">
        <f t="shared" si="6"/>
        <v/>
      </c>
      <c r="CB758" s="114" t="str">
        <f t="shared" si="7"/>
        <v/>
      </c>
      <c r="CC758" s="114"/>
    </row>
    <row r="759" ht="22.5" customHeight="1">
      <c r="A759" s="59"/>
      <c r="B759" s="115"/>
      <c r="C759" s="54"/>
      <c r="D759" s="56"/>
      <c r="E759" s="69"/>
      <c r="F759" s="73"/>
      <c r="G759" s="79"/>
      <c r="H759" s="79"/>
      <c r="I759" s="67"/>
      <c r="J759" s="79"/>
      <c r="K759" s="67"/>
      <c r="L759" s="79"/>
      <c r="M759" s="83"/>
      <c r="N759" s="78"/>
      <c r="O759" s="80"/>
      <c r="P759" s="70"/>
      <c r="Q759" s="54"/>
      <c r="R759" s="67"/>
      <c r="S759" s="67"/>
      <c r="T759" s="54"/>
      <c r="U759" s="86"/>
      <c r="V759" s="54"/>
      <c r="W759" s="86"/>
      <c r="X759" s="54"/>
      <c r="Y759" s="78"/>
      <c r="Z759" s="54"/>
      <c r="AA759" s="70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54"/>
      <c r="AR759" s="83"/>
      <c r="AS759" s="83"/>
      <c r="AT759" s="93"/>
      <c r="AU759" s="93"/>
      <c r="AV759" s="93"/>
      <c r="AW759" s="83"/>
      <c r="AX759" s="83"/>
      <c r="AY759" s="83"/>
      <c r="AZ759" s="83"/>
      <c r="BA759" s="83"/>
      <c r="BB759" s="83"/>
      <c r="BC759" s="54"/>
      <c r="BD759" s="54" t="str">
        <f t="shared" si="1"/>
        <v/>
      </c>
      <c r="BE759" s="67"/>
      <c r="BF759" s="67"/>
      <c r="BG759" s="67"/>
      <c r="BH759" s="67"/>
      <c r="BI759" s="67"/>
      <c r="BJ759" s="67"/>
      <c r="BK759" s="67"/>
      <c r="BL759" s="67"/>
      <c r="BM759" s="67"/>
      <c r="BN759" s="100"/>
      <c r="BO759" s="102"/>
      <c r="BP759" s="67"/>
      <c r="BQ759" s="79"/>
      <c r="BR759" s="67"/>
      <c r="BS759" s="102"/>
      <c r="BT759" s="106"/>
      <c r="BU759" s="107"/>
      <c r="BV759" s="108" t="str">
        <f t="shared" si="17"/>
        <v/>
      </c>
      <c r="BW759" s="108" t="str">
        <f t="shared" si="16"/>
        <v/>
      </c>
      <c r="BX759" s="102" t="str">
        <f t="shared" si="15"/>
        <v/>
      </c>
      <c r="BY759" s="107" t="str">
        <f t="shared" si="5"/>
        <v/>
      </c>
      <c r="BZ759" s="107" t="str">
        <f t="array" ref="BZ759">IF($A759&lt;&gt;"",INDEX(LISTA!$M$2:$N$27,MATCH($BC759,LISTA!$N$2:$N$27,0),1),"")</f>
        <v/>
      </c>
      <c r="CA759" s="67" t="str">
        <f t="shared" si="6"/>
        <v/>
      </c>
      <c r="CB759" s="114" t="str">
        <f t="shared" si="7"/>
        <v/>
      </c>
      <c r="CC759" s="114"/>
    </row>
    <row r="760" ht="22.5" customHeight="1">
      <c r="A760" s="59"/>
      <c r="B760" s="115"/>
      <c r="C760" s="54"/>
      <c r="D760" s="56"/>
      <c r="E760" s="69"/>
      <c r="F760" s="73"/>
      <c r="G760" s="79"/>
      <c r="H760" s="79"/>
      <c r="I760" s="67"/>
      <c r="J760" s="79"/>
      <c r="K760" s="67"/>
      <c r="L760" s="79"/>
      <c r="M760" s="83"/>
      <c r="N760" s="78"/>
      <c r="O760" s="80"/>
      <c r="P760" s="70"/>
      <c r="Q760" s="54"/>
      <c r="R760" s="67"/>
      <c r="S760" s="67"/>
      <c r="T760" s="54"/>
      <c r="U760" s="86"/>
      <c r="V760" s="54"/>
      <c r="W760" s="86"/>
      <c r="X760" s="54"/>
      <c r="Y760" s="78"/>
      <c r="Z760" s="54"/>
      <c r="AA760" s="70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54"/>
      <c r="AR760" s="83"/>
      <c r="AS760" s="83"/>
      <c r="AT760" s="93"/>
      <c r="AU760" s="93"/>
      <c r="AV760" s="93"/>
      <c r="AW760" s="83"/>
      <c r="AX760" s="83"/>
      <c r="AY760" s="83"/>
      <c r="AZ760" s="83"/>
      <c r="BA760" s="83"/>
      <c r="BB760" s="83"/>
      <c r="BC760" s="54"/>
      <c r="BD760" s="54" t="str">
        <f t="shared" si="1"/>
        <v/>
      </c>
      <c r="BE760" s="67"/>
      <c r="BF760" s="67"/>
      <c r="BG760" s="67"/>
      <c r="BH760" s="67"/>
      <c r="BI760" s="67"/>
      <c r="BJ760" s="67"/>
      <c r="BK760" s="67"/>
      <c r="BL760" s="67"/>
      <c r="BM760" s="67"/>
      <c r="BN760" s="100"/>
      <c r="BO760" s="102"/>
      <c r="BP760" s="67"/>
      <c r="BQ760" s="79"/>
      <c r="BR760" s="67"/>
      <c r="BS760" s="102"/>
      <c r="BT760" s="106"/>
      <c r="BU760" s="107"/>
      <c r="BV760" s="108" t="str">
        <f t="shared" si="17"/>
        <v/>
      </c>
      <c r="BW760" s="108" t="str">
        <f t="shared" si="16"/>
        <v/>
      </c>
      <c r="BX760" s="102" t="str">
        <f t="shared" si="15"/>
        <v/>
      </c>
      <c r="BY760" s="107" t="str">
        <f t="shared" si="5"/>
        <v/>
      </c>
      <c r="BZ760" s="107" t="str">
        <f t="array" ref="BZ760">IF($A760&lt;&gt;"",INDEX(LISTA!$M$2:$N$27,MATCH($BC760,LISTA!$N$2:$N$27,0),1),"")</f>
        <v/>
      </c>
      <c r="CA760" s="67" t="str">
        <f t="shared" si="6"/>
        <v/>
      </c>
      <c r="CB760" s="114" t="str">
        <f t="shared" si="7"/>
        <v/>
      </c>
      <c r="CC760" s="114"/>
    </row>
    <row r="761" ht="22.5" customHeight="1">
      <c r="A761" s="59"/>
      <c r="B761" s="115"/>
      <c r="C761" s="54"/>
      <c r="D761" s="56"/>
      <c r="E761" s="69"/>
      <c r="F761" s="73"/>
      <c r="G761" s="79"/>
      <c r="H761" s="79"/>
      <c r="I761" s="67"/>
      <c r="J761" s="79"/>
      <c r="K761" s="67"/>
      <c r="L761" s="79"/>
      <c r="M761" s="83"/>
      <c r="N761" s="78"/>
      <c r="O761" s="80"/>
      <c r="P761" s="70"/>
      <c r="Q761" s="54"/>
      <c r="R761" s="67"/>
      <c r="S761" s="67"/>
      <c r="T761" s="54"/>
      <c r="U761" s="86"/>
      <c r="V761" s="54"/>
      <c r="W761" s="86"/>
      <c r="X761" s="54"/>
      <c r="Y761" s="78"/>
      <c r="Z761" s="54"/>
      <c r="AA761" s="70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54"/>
      <c r="AR761" s="83"/>
      <c r="AS761" s="83"/>
      <c r="AT761" s="93"/>
      <c r="AU761" s="93"/>
      <c r="AV761" s="93"/>
      <c r="AW761" s="83"/>
      <c r="AX761" s="83"/>
      <c r="AY761" s="83"/>
      <c r="AZ761" s="83"/>
      <c r="BA761" s="83"/>
      <c r="BB761" s="83"/>
      <c r="BC761" s="54"/>
      <c r="BD761" s="54" t="str">
        <f t="shared" si="1"/>
        <v/>
      </c>
      <c r="BE761" s="67"/>
      <c r="BF761" s="67"/>
      <c r="BG761" s="67"/>
      <c r="BH761" s="67"/>
      <c r="BI761" s="67"/>
      <c r="BJ761" s="67"/>
      <c r="BK761" s="67"/>
      <c r="BL761" s="67"/>
      <c r="BM761" s="67"/>
      <c r="BN761" s="100"/>
      <c r="BO761" s="102"/>
      <c r="BP761" s="67"/>
      <c r="BQ761" s="79"/>
      <c r="BR761" s="67"/>
      <c r="BS761" s="102"/>
      <c r="BT761" s="106"/>
      <c r="BU761" s="107"/>
      <c r="BV761" s="108" t="str">
        <f t="shared" si="17"/>
        <v/>
      </c>
      <c r="BW761" s="108" t="str">
        <f t="shared" si="16"/>
        <v/>
      </c>
      <c r="BX761" s="102" t="str">
        <f t="shared" si="15"/>
        <v/>
      </c>
      <c r="BY761" s="107" t="str">
        <f t="shared" si="5"/>
        <v/>
      </c>
      <c r="BZ761" s="107" t="str">
        <f t="array" ref="BZ761">IF($A761&lt;&gt;"",INDEX(LISTA!$M$2:$N$27,MATCH($BC761,LISTA!$N$2:$N$27,0),1),"")</f>
        <v/>
      </c>
      <c r="CA761" s="67" t="str">
        <f t="shared" si="6"/>
        <v/>
      </c>
      <c r="CB761" s="114" t="str">
        <f t="shared" si="7"/>
        <v/>
      </c>
      <c r="CC761" s="114"/>
    </row>
    <row r="762" ht="22.5" customHeight="1">
      <c r="A762" s="59"/>
      <c r="B762" s="115"/>
      <c r="C762" s="54"/>
      <c r="D762" s="56"/>
      <c r="E762" s="69"/>
      <c r="F762" s="73"/>
      <c r="G762" s="79"/>
      <c r="H762" s="79"/>
      <c r="I762" s="67"/>
      <c r="J762" s="79"/>
      <c r="K762" s="67"/>
      <c r="L762" s="79"/>
      <c r="M762" s="83"/>
      <c r="N762" s="78"/>
      <c r="O762" s="80"/>
      <c r="P762" s="70"/>
      <c r="Q762" s="54"/>
      <c r="R762" s="67"/>
      <c r="S762" s="67"/>
      <c r="T762" s="54"/>
      <c r="U762" s="86"/>
      <c r="V762" s="54"/>
      <c r="W762" s="86"/>
      <c r="X762" s="54"/>
      <c r="Y762" s="78"/>
      <c r="Z762" s="54"/>
      <c r="AA762" s="70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54"/>
      <c r="AR762" s="83"/>
      <c r="AS762" s="83"/>
      <c r="AT762" s="93"/>
      <c r="AU762" s="93"/>
      <c r="AV762" s="93"/>
      <c r="AW762" s="83"/>
      <c r="AX762" s="83"/>
      <c r="AY762" s="83"/>
      <c r="AZ762" s="83"/>
      <c r="BA762" s="83"/>
      <c r="BB762" s="83"/>
      <c r="BC762" s="54"/>
      <c r="BD762" s="54" t="str">
        <f t="shared" si="1"/>
        <v/>
      </c>
      <c r="BE762" s="67"/>
      <c r="BF762" s="67"/>
      <c r="BG762" s="67"/>
      <c r="BH762" s="67"/>
      <c r="BI762" s="67"/>
      <c r="BJ762" s="67"/>
      <c r="BK762" s="67"/>
      <c r="BL762" s="67"/>
      <c r="BM762" s="67"/>
      <c r="BN762" s="100"/>
      <c r="BO762" s="102"/>
      <c r="BP762" s="67"/>
      <c r="BQ762" s="79"/>
      <c r="BR762" s="67"/>
      <c r="BS762" s="102"/>
      <c r="BT762" s="106"/>
      <c r="BU762" s="107"/>
      <c r="BV762" s="108" t="str">
        <f t="shared" si="17"/>
        <v/>
      </c>
      <c r="BW762" s="108" t="str">
        <f t="shared" si="16"/>
        <v/>
      </c>
      <c r="BX762" s="102" t="str">
        <f t="shared" si="15"/>
        <v/>
      </c>
      <c r="BY762" s="107" t="str">
        <f t="shared" si="5"/>
        <v/>
      </c>
      <c r="BZ762" s="107" t="str">
        <f t="array" ref="BZ762">IF($A762&lt;&gt;"",INDEX(LISTA!$M$2:$N$27,MATCH($BC762,LISTA!$N$2:$N$27,0),1),"")</f>
        <v/>
      </c>
      <c r="CA762" s="67" t="str">
        <f t="shared" si="6"/>
        <v/>
      </c>
      <c r="CB762" s="114" t="str">
        <f t="shared" si="7"/>
        <v/>
      </c>
      <c r="CC762" s="114"/>
    </row>
    <row r="763" ht="22.5" customHeight="1">
      <c r="A763" s="59"/>
      <c r="B763" s="115"/>
      <c r="C763" s="54"/>
      <c r="D763" s="56"/>
      <c r="E763" s="69"/>
      <c r="F763" s="73"/>
      <c r="G763" s="79"/>
      <c r="H763" s="79"/>
      <c r="I763" s="67"/>
      <c r="J763" s="79"/>
      <c r="K763" s="67"/>
      <c r="L763" s="79"/>
      <c r="M763" s="83"/>
      <c r="N763" s="78"/>
      <c r="O763" s="80"/>
      <c r="P763" s="70"/>
      <c r="Q763" s="54"/>
      <c r="R763" s="67"/>
      <c r="S763" s="67"/>
      <c r="T763" s="54"/>
      <c r="U763" s="86"/>
      <c r="V763" s="54"/>
      <c r="W763" s="86"/>
      <c r="X763" s="54"/>
      <c r="Y763" s="78"/>
      <c r="Z763" s="54"/>
      <c r="AA763" s="70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54"/>
      <c r="AR763" s="83"/>
      <c r="AS763" s="83"/>
      <c r="AT763" s="93"/>
      <c r="AU763" s="93"/>
      <c r="AV763" s="93"/>
      <c r="AW763" s="83"/>
      <c r="AX763" s="83"/>
      <c r="AY763" s="83"/>
      <c r="AZ763" s="83"/>
      <c r="BA763" s="83"/>
      <c r="BB763" s="83"/>
      <c r="BC763" s="54"/>
      <c r="BD763" s="54" t="str">
        <f t="shared" si="1"/>
        <v/>
      </c>
      <c r="BE763" s="67"/>
      <c r="BF763" s="67"/>
      <c r="BG763" s="67"/>
      <c r="BH763" s="67"/>
      <c r="BI763" s="67"/>
      <c r="BJ763" s="67"/>
      <c r="BK763" s="67"/>
      <c r="BL763" s="67"/>
      <c r="BM763" s="67"/>
      <c r="BN763" s="100"/>
      <c r="BO763" s="102"/>
      <c r="BP763" s="67"/>
      <c r="BQ763" s="79"/>
      <c r="BR763" s="67"/>
      <c r="BS763" s="102"/>
      <c r="BT763" s="106"/>
      <c r="BU763" s="107"/>
      <c r="BV763" s="108" t="str">
        <f t="shared" si="17"/>
        <v/>
      </c>
      <c r="BW763" s="108" t="str">
        <f t="shared" si="16"/>
        <v/>
      </c>
      <c r="BX763" s="102" t="str">
        <f t="shared" si="15"/>
        <v/>
      </c>
      <c r="BY763" s="107" t="str">
        <f t="shared" si="5"/>
        <v/>
      </c>
      <c r="BZ763" s="107" t="str">
        <f t="array" ref="BZ763">IF($A763&lt;&gt;"",INDEX(LISTA!$M$2:$N$27,MATCH($BC763,LISTA!$N$2:$N$27,0),1),"")</f>
        <v/>
      </c>
      <c r="CA763" s="67" t="str">
        <f t="shared" si="6"/>
        <v/>
      </c>
      <c r="CB763" s="114" t="str">
        <f t="shared" si="7"/>
        <v/>
      </c>
      <c r="CC763" s="114"/>
    </row>
    <row r="764" ht="22.5" customHeight="1">
      <c r="A764" s="59"/>
      <c r="B764" s="115"/>
      <c r="C764" s="54"/>
      <c r="D764" s="56"/>
      <c r="E764" s="69"/>
      <c r="F764" s="73"/>
      <c r="G764" s="79"/>
      <c r="H764" s="79"/>
      <c r="I764" s="67"/>
      <c r="J764" s="79"/>
      <c r="K764" s="67"/>
      <c r="L764" s="79"/>
      <c r="M764" s="83"/>
      <c r="N764" s="78"/>
      <c r="O764" s="80"/>
      <c r="P764" s="70"/>
      <c r="Q764" s="54"/>
      <c r="R764" s="67"/>
      <c r="S764" s="67"/>
      <c r="T764" s="54"/>
      <c r="U764" s="86"/>
      <c r="V764" s="54"/>
      <c r="W764" s="86"/>
      <c r="X764" s="54"/>
      <c r="Y764" s="78"/>
      <c r="Z764" s="54"/>
      <c r="AA764" s="70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54"/>
      <c r="AR764" s="83"/>
      <c r="AS764" s="83"/>
      <c r="AT764" s="93"/>
      <c r="AU764" s="93"/>
      <c r="AV764" s="93"/>
      <c r="AW764" s="83"/>
      <c r="AX764" s="83"/>
      <c r="AY764" s="83"/>
      <c r="AZ764" s="83"/>
      <c r="BA764" s="83"/>
      <c r="BB764" s="83"/>
      <c r="BC764" s="54"/>
      <c r="BD764" s="54" t="str">
        <f t="shared" si="1"/>
        <v/>
      </c>
      <c r="BE764" s="67"/>
      <c r="BF764" s="67"/>
      <c r="BG764" s="67"/>
      <c r="BH764" s="67"/>
      <c r="BI764" s="67"/>
      <c r="BJ764" s="67"/>
      <c r="BK764" s="67"/>
      <c r="BL764" s="67"/>
      <c r="BM764" s="67"/>
      <c r="BN764" s="100"/>
      <c r="BO764" s="102"/>
      <c r="BP764" s="67"/>
      <c r="BQ764" s="79"/>
      <c r="BR764" s="67"/>
      <c r="BS764" s="102"/>
      <c r="BT764" s="106"/>
      <c r="BU764" s="107"/>
      <c r="BV764" s="108" t="str">
        <f t="shared" si="17"/>
        <v/>
      </c>
      <c r="BW764" s="108" t="str">
        <f t="shared" si="16"/>
        <v/>
      </c>
      <c r="BX764" s="102" t="str">
        <f t="shared" si="15"/>
        <v/>
      </c>
      <c r="BY764" s="107" t="str">
        <f t="shared" si="5"/>
        <v/>
      </c>
      <c r="BZ764" s="107" t="str">
        <f t="array" ref="BZ764">IF($A764&lt;&gt;"",INDEX(LISTA!$M$2:$N$27,MATCH($BC764,LISTA!$N$2:$N$27,0),1),"")</f>
        <v/>
      </c>
      <c r="CA764" s="67" t="str">
        <f t="shared" si="6"/>
        <v/>
      </c>
      <c r="CB764" s="114" t="str">
        <f t="shared" si="7"/>
        <v/>
      </c>
      <c r="CC764" s="114"/>
    </row>
    <row r="765" ht="22.5" customHeight="1">
      <c r="A765" s="59"/>
      <c r="B765" s="115"/>
      <c r="C765" s="54"/>
      <c r="D765" s="56"/>
      <c r="E765" s="69"/>
      <c r="F765" s="73"/>
      <c r="G765" s="79"/>
      <c r="H765" s="79"/>
      <c r="I765" s="67"/>
      <c r="J765" s="79"/>
      <c r="K765" s="67"/>
      <c r="L765" s="79"/>
      <c r="M765" s="83"/>
      <c r="N765" s="78"/>
      <c r="O765" s="80"/>
      <c r="P765" s="70"/>
      <c r="Q765" s="54"/>
      <c r="R765" s="67"/>
      <c r="S765" s="67"/>
      <c r="T765" s="54"/>
      <c r="U765" s="86"/>
      <c r="V765" s="54"/>
      <c r="W765" s="86"/>
      <c r="X765" s="54"/>
      <c r="Y765" s="78"/>
      <c r="Z765" s="54"/>
      <c r="AA765" s="70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54"/>
      <c r="AR765" s="83"/>
      <c r="AS765" s="83"/>
      <c r="AT765" s="93"/>
      <c r="AU765" s="93"/>
      <c r="AV765" s="93"/>
      <c r="AW765" s="83"/>
      <c r="AX765" s="83"/>
      <c r="AY765" s="83"/>
      <c r="AZ765" s="83"/>
      <c r="BA765" s="83"/>
      <c r="BB765" s="83"/>
      <c r="BC765" s="54"/>
      <c r="BD765" s="54" t="str">
        <f t="shared" si="1"/>
        <v/>
      </c>
      <c r="BE765" s="67"/>
      <c r="BF765" s="67"/>
      <c r="BG765" s="67"/>
      <c r="BH765" s="67"/>
      <c r="BI765" s="67"/>
      <c r="BJ765" s="67"/>
      <c r="BK765" s="67"/>
      <c r="BL765" s="67"/>
      <c r="BM765" s="67"/>
      <c r="BN765" s="100"/>
      <c r="BO765" s="102"/>
      <c r="BP765" s="67"/>
      <c r="BQ765" s="79"/>
      <c r="BR765" s="67"/>
      <c r="BS765" s="102"/>
      <c r="BT765" s="106"/>
      <c r="BU765" s="107"/>
      <c r="BV765" s="108" t="str">
        <f t="shared" si="17"/>
        <v/>
      </c>
      <c r="BW765" s="108" t="str">
        <f t="shared" si="16"/>
        <v/>
      </c>
      <c r="BX765" s="102" t="str">
        <f t="shared" si="15"/>
        <v/>
      </c>
      <c r="BY765" s="107" t="str">
        <f t="shared" si="5"/>
        <v/>
      </c>
      <c r="BZ765" s="107" t="str">
        <f t="array" ref="BZ765">IF($A765&lt;&gt;"",INDEX(LISTA!$M$2:$N$27,MATCH($BC765,LISTA!$N$2:$N$27,0),1),"")</f>
        <v/>
      </c>
      <c r="CA765" s="67" t="str">
        <f t="shared" si="6"/>
        <v/>
      </c>
      <c r="CB765" s="114" t="str">
        <f t="shared" si="7"/>
        <v/>
      </c>
      <c r="CC765" s="114"/>
    </row>
    <row r="766" ht="22.5" customHeight="1">
      <c r="A766" s="59"/>
      <c r="B766" s="115"/>
      <c r="C766" s="54"/>
      <c r="D766" s="56"/>
      <c r="E766" s="69"/>
      <c r="F766" s="73"/>
      <c r="G766" s="79"/>
      <c r="H766" s="79"/>
      <c r="I766" s="67"/>
      <c r="J766" s="79"/>
      <c r="K766" s="67"/>
      <c r="L766" s="79"/>
      <c r="M766" s="83"/>
      <c r="N766" s="78"/>
      <c r="O766" s="80"/>
      <c r="P766" s="70"/>
      <c r="Q766" s="54"/>
      <c r="R766" s="67"/>
      <c r="S766" s="67"/>
      <c r="T766" s="54"/>
      <c r="U766" s="86"/>
      <c r="V766" s="54"/>
      <c r="W766" s="86"/>
      <c r="X766" s="54"/>
      <c r="Y766" s="78"/>
      <c r="Z766" s="54"/>
      <c r="AA766" s="70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54"/>
      <c r="AR766" s="83"/>
      <c r="AS766" s="83"/>
      <c r="AT766" s="93"/>
      <c r="AU766" s="93"/>
      <c r="AV766" s="93"/>
      <c r="AW766" s="83"/>
      <c r="AX766" s="83"/>
      <c r="AY766" s="83"/>
      <c r="AZ766" s="83"/>
      <c r="BA766" s="83"/>
      <c r="BB766" s="83"/>
      <c r="BC766" s="54"/>
      <c r="BD766" s="54" t="str">
        <f t="shared" si="1"/>
        <v/>
      </c>
      <c r="BE766" s="67"/>
      <c r="BF766" s="67"/>
      <c r="BG766" s="67"/>
      <c r="BH766" s="67"/>
      <c r="BI766" s="67"/>
      <c r="BJ766" s="67"/>
      <c r="BK766" s="67"/>
      <c r="BL766" s="67"/>
      <c r="BM766" s="67"/>
      <c r="BN766" s="100"/>
      <c r="BO766" s="102"/>
      <c r="BP766" s="67"/>
      <c r="BQ766" s="79"/>
      <c r="BR766" s="67"/>
      <c r="BS766" s="102"/>
      <c r="BT766" s="106"/>
      <c r="BU766" s="107"/>
      <c r="BV766" s="108" t="str">
        <f t="shared" si="17"/>
        <v/>
      </c>
      <c r="BW766" s="108" t="str">
        <f t="shared" si="16"/>
        <v/>
      </c>
      <c r="BX766" s="102" t="str">
        <f t="shared" si="15"/>
        <v/>
      </c>
      <c r="BY766" s="107" t="str">
        <f t="shared" si="5"/>
        <v/>
      </c>
      <c r="BZ766" s="107" t="str">
        <f t="array" ref="BZ766">IF($A766&lt;&gt;"",INDEX(LISTA!$M$2:$N$27,MATCH($BC766,LISTA!$N$2:$N$27,0),1),"")</f>
        <v/>
      </c>
      <c r="CA766" s="67" t="str">
        <f t="shared" si="6"/>
        <v/>
      </c>
      <c r="CB766" s="114" t="str">
        <f t="shared" si="7"/>
        <v/>
      </c>
      <c r="CC766" s="114"/>
    </row>
    <row r="767" ht="22.5" customHeight="1">
      <c r="A767" s="59"/>
      <c r="B767" s="115"/>
      <c r="C767" s="54"/>
      <c r="D767" s="56"/>
      <c r="E767" s="69"/>
      <c r="F767" s="73"/>
      <c r="G767" s="79"/>
      <c r="H767" s="79"/>
      <c r="I767" s="67"/>
      <c r="J767" s="79"/>
      <c r="K767" s="67"/>
      <c r="L767" s="79"/>
      <c r="M767" s="83"/>
      <c r="N767" s="78"/>
      <c r="O767" s="80"/>
      <c r="P767" s="70"/>
      <c r="Q767" s="54"/>
      <c r="R767" s="67"/>
      <c r="S767" s="67"/>
      <c r="T767" s="54"/>
      <c r="U767" s="86"/>
      <c r="V767" s="54"/>
      <c r="W767" s="86"/>
      <c r="X767" s="54"/>
      <c r="Y767" s="78"/>
      <c r="Z767" s="54"/>
      <c r="AA767" s="70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54"/>
      <c r="AR767" s="83"/>
      <c r="AS767" s="83"/>
      <c r="AT767" s="93"/>
      <c r="AU767" s="93"/>
      <c r="AV767" s="93"/>
      <c r="AW767" s="83"/>
      <c r="AX767" s="83"/>
      <c r="AY767" s="83"/>
      <c r="AZ767" s="83"/>
      <c r="BA767" s="83"/>
      <c r="BB767" s="83"/>
      <c r="BC767" s="54"/>
      <c r="BD767" s="54" t="str">
        <f t="shared" si="1"/>
        <v/>
      </c>
      <c r="BE767" s="67"/>
      <c r="BF767" s="67"/>
      <c r="BG767" s="67"/>
      <c r="BH767" s="67"/>
      <c r="BI767" s="67"/>
      <c r="BJ767" s="67"/>
      <c r="BK767" s="67"/>
      <c r="BL767" s="67"/>
      <c r="BM767" s="67"/>
      <c r="BN767" s="100"/>
      <c r="BO767" s="102"/>
      <c r="BP767" s="67"/>
      <c r="BQ767" s="79"/>
      <c r="BR767" s="67"/>
      <c r="BS767" s="102"/>
      <c r="BT767" s="106"/>
      <c r="BU767" s="107"/>
      <c r="BV767" s="108" t="str">
        <f t="shared" si="17"/>
        <v/>
      </c>
      <c r="BW767" s="108" t="str">
        <f t="shared" si="16"/>
        <v/>
      </c>
      <c r="BX767" s="102" t="str">
        <f t="shared" si="15"/>
        <v/>
      </c>
      <c r="BY767" s="107" t="str">
        <f t="shared" si="5"/>
        <v/>
      </c>
      <c r="BZ767" s="107" t="str">
        <f t="array" ref="BZ767">IF($A767&lt;&gt;"",INDEX(LISTA!$M$2:$N$27,MATCH($BC767,LISTA!$N$2:$N$27,0),1),"")</f>
        <v/>
      </c>
      <c r="CA767" s="67" t="str">
        <f t="shared" si="6"/>
        <v/>
      </c>
      <c r="CB767" s="114" t="str">
        <f t="shared" si="7"/>
        <v/>
      </c>
      <c r="CC767" s="114"/>
    </row>
    <row r="768" ht="22.5" customHeight="1">
      <c r="A768" s="59"/>
      <c r="B768" s="115"/>
      <c r="C768" s="54"/>
      <c r="D768" s="56"/>
      <c r="E768" s="69"/>
      <c r="F768" s="73"/>
      <c r="G768" s="79"/>
      <c r="H768" s="79"/>
      <c r="I768" s="67"/>
      <c r="J768" s="79"/>
      <c r="K768" s="67"/>
      <c r="L768" s="79"/>
      <c r="M768" s="83"/>
      <c r="N768" s="78"/>
      <c r="O768" s="80"/>
      <c r="P768" s="70"/>
      <c r="Q768" s="54"/>
      <c r="R768" s="67"/>
      <c r="S768" s="67"/>
      <c r="T768" s="54"/>
      <c r="U768" s="86"/>
      <c r="V768" s="54"/>
      <c r="W768" s="86"/>
      <c r="X768" s="54"/>
      <c r="Y768" s="78"/>
      <c r="Z768" s="54"/>
      <c r="AA768" s="70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54"/>
      <c r="AR768" s="83"/>
      <c r="AS768" s="83"/>
      <c r="AT768" s="93"/>
      <c r="AU768" s="93"/>
      <c r="AV768" s="93"/>
      <c r="AW768" s="83"/>
      <c r="AX768" s="83"/>
      <c r="AY768" s="83"/>
      <c r="AZ768" s="83"/>
      <c r="BA768" s="83"/>
      <c r="BB768" s="83"/>
      <c r="BC768" s="54"/>
      <c r="BD768" s="54" t="str">
        <f t="shared" si="1"/>
        <v/>
      </c>
      <c r="BE768" s="67"/>
      <c r="BF768" s="67"/>
      <c r="BG768" s="67"/>
      <c r="BH768" s="67"/>
      <c r="BI768" s="67"/>
      <c r="BJ768" s="67"/>
      <c r="BK768" s="67"/>
      <c r="BL768" s="67"/>
      <c r="BM768" s="67"/>
      <c r="BN768" s="100"/>
      <c r="BO768" s="102"/>
      <c r="BP768" s="67"/>
      <c r="BQ768" s="79"/>
      <c r="BR768" s="67"/>
      <c r="BS768" s="102"/>
      <c r="BT768" s="106"/>
      <c r="BU768" s="107"/>
      <c r="BV768" s="108" t="str">
        <f t="shared" si="17"/>
        <v/>
      </c>
      <c r="BW768" s="108" t="str">
        <f t="shared" si="16"/>
        <v/>
      </c>
      <c r="BX768" s="102" t="str">
        <f t="shared" si="15"/>
        <v/>
      </c>
      <c r="BY768" s="107" t="str">
        <f t="shared" si="5"/>
        <v/>
      </c>
      <c r="BZ768" s="107" t="str">
        <f t="array" ref="BZ768">IF($A768&lt;&gt;"",INDEX(LISTA!$M$2:$N$27,MATCH($BC768,LISTA!$N$2:$N$27,0),1),"")</f>
        <v/>
      </c>
      <c r="CA768" s="67" t="str">
        <f t="shared" si="6"/>
        <v/>
      </c>
      <c r="CB768" s="114" t="str">
        <f t="shared" si="7"/>
        <v/>
      </c>
      <c r="CC768" s="114"/>
    </row>
    <row r="769" ht="22.5" customHeight="1">
      <c r="A769" s="59"/>
      <c r="B769" s="115"/>
      <c r="C769" s="54"/>
      <c r="D769" s="56"/>
      <c r="E769" s="69"/>
      <c r="F769" s="73"/>
      <c r="G769" s="79"/>
      <c r="H769" s="79"/>
      <c r="I769" s="67"/>
      <c r="J769" s="79"/>
      <c r="K769" s="67"/>
      <c r="L769" s="79"/>
      <c r="M769" s="83"/>
      <c r="N769" s="78"/>
      <c r="O769" s="80"/>
      <c r="P769" s="70"/>
      <c r="Q769" s="54"/>
      <c r="R769" s="67"/>
      <c r="S769" s="67"/>
      <c r="T769" s="54"/>
      <c r="U769" s="86"/>
      <c r="V769" s="54"/>
      <c r="W769" s="86"/>
      <c r="X769" s="54"/>
      <c r="Y769" s="78"/>
      <c r="Z769" s="54"/>
      <c r="AA769" s="70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54"/>
      <c r="AR769" s="83"/>
      <c r="AS769" s="83"/>
      <c r="AT769" s="93"/>
      <c r="AU769" s="93"/>
      <c r="AV769" s="93"/>
      <c r="AW769" s="83"/>
      <c r="AX769" s="83"/>
      <c r="AY769" s="83"/>
      <c r="AZ769" s="83"/>
      <c r="BA769" s="83"/>
      <c r="BB769" s="83"/>
      <c r="BC769" s="54"/>
      <c r="BD769" s="54" t="str">
        <f t="shared" si="1"/>
        <v/>
      </c>
      <c r="BE769" s="67"/>
      <c r="BF769" s="67"/>
      <c r="BG769" s="67"/>
      <c r="BH769" s="67"/>
      <c r="BI769" s="67"/>
      <c r="BJ769" s="67"/>
      <c r="BK769" s="67"/>
      <c r="BL769" s="67"/>
      <c r="BM769" s="67"/>
      <c r="BN769" s="100"/>
      <c r="BO769" s="102"/>
      <c r="BP769" s="67"/>
      <c r="BQ769" s="79"/>
      <c r="BR769" s="67"/>
      <c r="BS769" s="102"/>
      <c r="BT769" s="106"/>
      <c r="BU769" s="107"/>
      <c r="BV769" s="108" t="str">
        <f t="shared" si="17"/>
        <v/>
      </c>
      <c r="BW769" s="108" t="str">
        <f t="shared" si="16"/>
        <v/>
      </c>
      <c r="BX769" s="102" t="str">
        <f t="shared" si="15"/>
        <v/>
      </c>
      <c r="BY769" s="107" t="str">
        <f t="shared" si="5"/>
        <v/>
      </c>
      <c r="BZ769" s="107" t="str">
        <f t="array" ref="BZ769">IF($A769&lt;&gt;"",INDEX(LISTA!$M$2:$N$27,MATCH($BC769,LISTA!$N$2:$N$27,0),1),"")</f>
        <v/>
      </c>
      <c r="CA769" s="67" t="str">
        <f t="shared" si="6"/>
        <v/>
      </c>
      <c r="CB769" s="114" t="str">
        <f t="shared" si="7"/>
        <v/>
      </c>
      <c r="CC769" s="114"/>
    </row>
    <row r="770" ht="22.5" customHeight="1">
      <c r="A770" s="59"/>
      <c r="B770" s="115"/>
      <c r="C770" s="54"/>
      <c r="D770" s="56"/>
      <c r="E770" s="69"/>
      <c r="F770" s="73"/>
      <c r="G770" s="79"/>
      <c r="H770" s="79"/>
      <c r="I770" s="67"/>
      <c r="J770" s="79"/>
      <c r="K770" s="67"/>
      <c r="L770" s="79"/>
      <c r="M770" s="83"/>
      <c r="N770" s="78"/>
      <c r="O770" s="80"/>
      <c r="P770" s="70"/>
      <c r="Q770" s="54"/>
      <c r="R770" s="67"/>
      <c r="S770" s="67"/>
      <c r="T770" s="54"/>
      <c r="U770" s="86"/>
      <c r="V770" s="54"/>
      <c r="W770" s="86"/>
      <c r="X770" s="54"/>
      <c r="Y770" s="78"/>
      <c r="Z770" s="54"/>
      <c r="AA770" s="70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54"/>
      <c r="AR770" s="83"/>
      <c r="AS770" s="83"/>
      <c r="AT770" s="93"/>
      <c r="AU770" s="93"/>
      <c r="AV770" s="93"/>
      <c r="AW770" s="83"/>
      <c r="AX770" s="83"/>
      <c r="AY770" s="83"/>
      <c r="AZ770" s="83"/>
      <c r="BA770" s="83"/>
      <c r="BB770" s="83"/>
      <c r="BC770" s="54"/>
      <c r="BD770" s="54" t="str">
        <f t="shared" si="1"/>
        <v/>
      </c>
      <c r="BE770" s="67"/>
      <c r="BF770" s="67"/>
      <c r="BG770" s="67"/>
      <c r="BH770" s="67"/>
      <c r="BI770" s="67"/>
      <c r="BJ770" s="67"/>
      <c r="BK770" s="67"/>
      <c r="BL770" s="67"/>
      <c r="BM770" s="67"/>
      <c r="BN770" s="100"/>
      <c r="BO770" s="102"/>
      <c r="BP770" s="67"/>
      <c r="BQ770" s="79"/>
      <c r="BR770" s="67"/>
      <c r="BS770" s="102"/>
      <c r="BT770" s="106"/>
      <c r="BU770" s="107"/>
      <c r="BV770" s="108" t="str">
        <f t="shared" si="17"/>
        <v/>
      </c>
      <c r="BW770" s="108" t="str">
        <f t="shared" si="16"/>
        <v/>
      </c>
      <c r="BX770" s="102" t="str">
        <f t="shared" si="15"/>
        <v/>
      </c>
      <c r="BY770" s="107" t="str">
        <f t="shared" si="5"/>
        <v/>
      </c>
      <c r="BZ770" s="107" t="str">
        <f t="array" ref="BZ770">IF($A770&lt;&gt;"",INDEX(LISTA!$M$2:$N$27,MATCH($BC770,LISTA!$N$2:$N$27,0),1),"")</f>
        <v/>
      </c>
      <c r="CA770" s="67" t="str">
        <f t="shared" si="6"/>
        <v/>
      </c>
      <c r="CB770" s="114" t="str">
        <f t="shared" si="7"/>
        <v/>
      </c>
      <c r="CC770" s="114"/>
    </row>
    <row r="771" ht="22.5" customHeight="1">
      <c r="A771" s="59"/>
      <c r="B771" s="115"/>
      <c r="C771" s="54"/>
      <c r="D771" s="56"/>
      <c r="E771" s="69"/>
      <c r="F771" s="73"/>
      <c r="G771" s="79"/>
      <c r="H771" s="79"/>
      <c r="I771" s="67"/>
      <c r="J771" s="79"/>
      <c r="K771" s="67"/>
      <c r="L771" s="79"/>
      <c r="M771" s="83"/>
      <c r="N771" s="78"/>
      <c r="O771" s="80"/>
      <c r="P771" s="70"/>
      <c r="Q771" s="54"/>
      <c r="R771" s="67"/>
      <c r="S771" s="67"/>
      <c r="T771" s="54"/>
      <c r="U771" s="86"/>
      <c r="V771" s="54"/>
      <c r="W771" s="86"/>
      <c r="X771" s="54"/>
      <c r="Y771" s="78"/>
      <c r="Z771" s="54"/>
      <c r="AA771" s="70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54"/>
      <c r="AR771" s="83"/>
      <c r="AS771" s="83"/>
      <c r="AT771" s="93"/>
      <c r="AU771" s="93"/>
      <c r="AV771" s="93"/>
      <c r="AW771" s="83"/>
      <c r="AX771" s="83"/>
      <c r="AY771" s="83"/>
      <c r="AZ771" s="83"/>
      <c r="BA771" s="83"/>
      <c r="BB771" s="83"/>
      <c r="BC771" s="54"/>
      <c r="BD771" s="54" t="str">
        <f t="shared" si="1"/>
        <v/>
      </c>
      <c r="BE771" s="67"/>
      <c r="BF771" s="67"/>
      <c r="BG771" s="67"/>
      <c r="BH771" s="67"/>
      <c r="BI771" s="67"/>
      <c r="BJ771" s="67"/>
      <c r="BK771" s="67"/>
      <c r="BL771" s="67"/>
      <c r="BM771" s="67"/>
      <c r="BN771" s="100"/>
      <c r="BO771" s="102"/>
      <c r="BP771" s="67"/>
      <c r="BQ771" s="79"/>
      <c r="BR771" s="67"/>
      <c r="BS771" s="102"/>
      <c r="BT771" s="106"/>
      <c r="BU771" s="107"/>
      <c r="BV771" s="108" t="str">
        <f t="shared" si="17"/>
        <v/>
      </c>
      <c r="BW771" s="108" t="str">
        <f t="shared" si="16"/>
        <v/>
      </c>
      <c r="BX771" s="102" t="str">
        <f t="shared" si="15"/>
        <v/>
      </c>
      <c r="BY771" s="107" t="str">
        <f t="shared" si="5"/>
        <v/>
      </c>
      <c r="BZ771" s="107" t="str">
        <f t="array" ref="BZ771">IF($A771&lt;&gt;"",INDEX(LISTA!$M$2:$N$27,MATCH($BC771,LISTA!$N$2:$N$27,0),1),"")</f>
        <v/>
      </c>
      <c r="CA771" s="67" t="str">
        <f t="shared" si="6"/>
        <v/>
      </c>
      <c r="CB771" s="114" t="str">
        <f t="shared" si="7"/>
        <v/>
      </c>
      <c r="CC771" s="114"/>
    </row>
    <row r="772" ht="22.5" customHeight="1">
      <c r="A772" s="59"/>
      <c r="B772" s="115"/>
      <c r="C772" s="54"/>
      <c r="D772" s="56"/>
      <c r="E772" s="69"/>
      <c r="F772" s="73"/>
      <c r="G772" s="79"/>
      <c r="H772" s="79"/>
      <c r="I772" s="67"/>
      <c r="J772" s="79"/>
      <c r="K772" s="67"/>
      <c r="L772" s="79"/>
      <c r="M772" s="83"/>
      <c r="N772" s="78"/>
      <c r="O772" s="80"/>
      <c r="P772" s="70"/>
      <c r="Q772" s="54"/>
      <c r="R772" s="67"/>
      <c r="S772" s="67"/>
      <c r="T772" s="54"/>
      <c r="U772" s="86"/>
      <c r="V772" s="54"/>
      <c r="W772" s="86"/>
      <c r="X772" s="54"/>
      <c r="Y772" s="78"/>
      <c r="Z772" s="54"/>
      <c r="AA772" s="70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54"/>
      <c r="AR772" s="83"/>
      <c r="AS772" s="83"/>
      <c r="AT772" s="93"/>
      <c r="AU772" s="93"/>
      <c r="AV772" s="93"/>
      <c r="AW772" s="83"/>
      <c r="AX772" s="83"/>
      <c r="AY772" s="83"/>
      <c r="AZ772" s="83"/>
      <c r="BA772" s="83"/>
      <c r="BB772" s="83"/>
      <c r="BC772" s="54"/>
      <c r="BD772" s="54" t="str">
        <f t="shared" si="1"/>
        <v/>
      </c>
      <c r="BE772" s="67"/>
      <c r="BF772" s="67"/>
      <c r="BG772" s="67"/>
      <c r="BH772" s="67"/>
      <c r="BI772" s="67"/>
      <c r="BJ772" s="67"/>
      <c r="BK772" s="67"/>
      <c r="BL772" s="67"/>
      <c r="BM772" s="67"/>
      <c r="BN772" s="100"/>
      <c r="BO772" s="102"/>
      <c r="BP772" s="67"/>
      <c r="BQ772" s="79"/>
      <c r="BR772" s="67"/>
      <c r="BS772" s="102"/>
      <c r="BT772" s="106"/>
      <c r="BU772" s="107"/>
      <c r="BV772" s="108" t="str">
        <f t="shared" si="17"/>
        <v/>
      </c>
      <c r="BW772" s="108" t="str">
        <f t="shared" si="16"/>
        <v/>
      </c>
      <c r="BX772" s="102" t="str">
        <f t="shared" si="15"/>
        <v/>
      </c>
      <c r="BY772" s="107" t="str">
        <f t="shared" si="5"/>
        <v/>
      </c>
      <c r="BZ772" s="107" t="str">
        <f t="array" ref="BZ772">IF($A772&lt;&gt;"",INDEX(LISTA!$M$2:$N$27,MATCH($BC772,LISTA!$N$2:$N$27,0),1),"")</f>
        <v/>
      </c>
      <c r="CA772" s="67" t="str">
        <f t="shared" si="6"/>
        <v/>
      </c>
      <c r="CB772" s="114" t="str">
        <f t="shared" si="7"/>
        <v/>
      </c>
      <c r="CC772" s="114"/>
    </row>
    <row r="773" ht="22.5" customHeight="1">
      <c r="A773" s="59"/>
      <c r="B773" s="115"/>
      <c r="C773" s="54"/>
      <c r="D773" s="56"/>
      <c r="E773" s="69"/>
      <c r="F773" s="73"/>
      <c r="G773" s="79"/>
      <c r="H773" s="79"/>
      <c r="I773" s="67"/>
      <c r="J773" s="79"/>
      <c r="K773" s="67"/>
      <c r="L773" s="79"/>
      <c r="M773" s="83"/>
      <c r="N773" s="78"/>
      <c r="O773" s="80"/>
      <c r="P773" s="70"/>
      <c r="Q773" s="54"/>
      <c r="R773" s="67"/>
      <c r="S773" s="67"/>
      <c r="T773" s="54"/>
      <c r="U773" s="86"/>
      <c r="V773" s="54"/>
      <c r="W773" s="86"/>
      <c r="X773" s="54"/>
      <c r="Y773" s="78"/>
      <c r="Z773" s="54"/>
      <c r="AA773" s="70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54"/>
      <c r="AR773" s="83"/>
      <c r="AS773" s="83"/>
      <c r="AT773" s="93"/>
      <c r="AU773" s="93"/>
      <c r="AV773" s="93"/>
      <c r="AW773" s="83"/>
      <c r="AX773" s="83"/>
      <c r="AY773" s="83"/>
      <c r="AZ773" s="83"/>
      <c r="BA773" s="83"/>
      <c r="BB773" s="83"/>
      <c r="BC773" s="54"/>
      <c r="BD773" s="54" t="str">
        <f t="shared" si="1"/>
        <v/>
      </c>
      <c r="BE773" s="67"/>
      <c r="BF773" s="67"/>
      <c r="BG773" s="67"/>
      <c r="BH773" s="67"/>
      <c r="BI773" s="67"/>
      <c r="BJ773" s="67"/>
      <c r="BK773" s="67"/>
      <c r="BL773" s="67"/>
      <c r="BM773" s="67"/>
      <c r="BN773" s="100"/>
      <c r="BO773" s="102"/>
      <c r="BP773" s="67"/>
      <c r="BQ773" s="79"/>
      <c r="BR773" s="67"/>
      <c r="BS773" s="102"/>
      <c r="BT773" s="106"/>
      <c r="BU773" s="107"/>
      <c r="BV773" s="108" t="str">
        <f t="shared" si="17"/>
        <v/>
      </c>
      <c r="BW773" s="108" t="str">
        <f t="shared" si="16"/>
        <v/>
      </c>
      <c r="BX773" s="102" t="str">
        <f t="shared" si="15"/>
        <v/>
      </c>
      <c r="BY773" s="107" t="str">
        <f t="shared" si="5"/>
        <v/>
      </c>
      <c r="BZ773" s="107" t="str">
        <f t="array" ref="BZ773">IF($A773&lt;&gt;"",INDEX(LISTA!$M$2:$N$27,MATCH($BC773,LISTA!$N$2:$N$27,0),1),"")</f>
        <v/>
      </c>
      <c r="CA773" s="67" t="str">
        <f t="shared" si="6"/>
        <v/>
      </c>
      <c r="CB773" s="114" t="str">
        <f t="shared" si="7"/>
        <v/>
      </c>
      <c r="CC773" s="114"/>
    </row>
    <row r="774" ht="22.5" customHeight="1">
      <c r="A774" s="59"/>
      <c r="B774" s="115"/>
      <c r="C774" s="54"/>
      <c r="D774" s="56"/>
      <c r="E774" s="69"/>
      <c r="F774" s="73"/>
      <c r="G774" s="79"/>
      <c r="H774" s="79"/>
      <c r="I774" s="67"/>
      <c r="J774" s="79"/>
      <c r="K774" s="67"/>
      <c r="L774" s="79"/>
      <c r="M774" s="83"/>
      <c r="N774" s="78"/>
      <c r="O774" s="80"/>
      <c r="P774" s="70"/>
      <c r="Q774" s="54"/>
      <c r="R774" s="67"/>
      <c r="S774" s="67"/>
      <c r="T774" s="54"/>
      <c r="U774" s="86"/>
      <c r="V774" s="54"/>
      <c r="W774" s="86"/>
      <c r="X774" s="54"/>
      <c r="Y774" s="78"/>
      <c r="Z774" s="54"/>
      <c r="AA774" s="70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54"/>
      <c r="AR774" s="83"/>
      <c r="AS774" s="83"/>
      <c r="AT774" s="93"/>
      <c r="AU774" s="93"/>
      <c r="AV774" s="93"/>
      <c r="AW774" s="83"/>
      <c r="AX774" s="83"/>
      <c r="AY774" s="83"/>
      <c r="AZ774" s="83"/>
      <c r="BA774" s="83"/>
      <c r="BB774" s="83"/>
      <c r="BC774" s="54"/>
      <c r="BD774" s="54" t="str">
        <f t="shared" si="1"/>
        <v/>
      </c>
      <c r="BE774" s="67"/>
      <c r="BF774" s="67"/>
      <c r="BG774" s="67"/>
      <c r="BH774" s="67"/>
      <c r="BI774" s="67"/>
      <c r="BJ774" s="67"/>
      <c r="BK774" s="67"/>
      <c r="BL774" s="67"/>
      <c r="BM774" s="67"/>
      <c r="BN774" s="100"/>
      <c r="BO774" s="102"/>
      <c r="BP774" s="67"/>
      <c r="BQ774" s="79"/>
      <c r="BR774" s="67"/>
      <c r="BS774" s="102"/>
      <c r="BT774" s="106"/>
      <c r="BU774" s="107"/>
      <c r="BV774" s="108" t="str">
        <f t="shared" si="17"/>
        <v/>
      </c>
      <c r="BW774" s="108" t="str">
        <f t="shared" si="16"/>
        <v/>
      </c>
      <c r="BX774" s="102" t="str">
        <f t="shared" si="15"/>
        <v/>
      </c>
      <c r="BY774" s="107" t="str">
        <f t="shared" si="5"/>
        <v/>
      </c>
      <c r="BZ774" s="107" t="str">
        <f t="array" ref="BZ774">IF($A774&lt;&gt;"",INDEX(LISTA!$M$2:$N$27,MATCH($BC774,LISTA!$N$2:$N$27,0),1),"")</f>
        <v/>
      </c>
      <c r="CA774" s="67" t="str">
        <f t="shared" si="6"/>
        <v/>
      </c>
      <c r="CB774" s="114" t="str">
        <f t="shared" si="7"/>
        <v/>
      </c>
      <c r="CC774" s="114"/>
    </row>
    <row r="775" ht="22.5" customHeight="1">
      <c r="A775" s="59"/>
      <c r="B775" s="115"/>
      <c r="C775" s="54"/>
      <c r="D775" s="56"/>
      <c r="E775" s="69"/>
      <c r="F775" s="73"/>
      <c r="G775" s="79"/>
      <c r="H775" s="79"/>
      <c r="I775" s="67"/>
      <c r="J775" s="79"/>
      <c r="K775" s="67"/>
      <c r="L775" s="79"/>
      <c r="M775" s="83"/>
      <c r="N775" s="78"/>
      <c r="O775" s="80"/>
      <c r="P775" s="70"/>
      <c r="Q775" s="54"/>
      <c r="R775" s="67"/>
      <c r="S775" s="67"/>
      <c r="T775" s="54"/>
      <c r="U775" s="86"/>
      <c r="V775" s="54"/>
      <c r="W775" s="86"/>
      <c r="X775" s="54"/>
      <c r="Y775" s="78"/>
      <c r="Z775" s="54"/>
      <c r="AA775" s="70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54"/>
      <c r="AR775" s="83"/>
      <c r="AS775" s="83"/>
      <c r="AT775" s="93"/>
      <c r="AU775" s="93"/>
      <c r="AV775" s="93"/>
      <c r="AW775" s="83"/>
      <c r="AX775" s="83"/>
      <c r="AY775" s="83"/>
      <c r="AZ775" s="83"/>
      <c r="BA775" s="83"/>
      <c r="BB775" s="83"/>
      <c r="BC775" s="54"/>
      <c r="BD775" s="54" t="str">
        <f t="shared" si="1"/>
        <v/>
      </c>
      <c r="BE775" s="67"/>
      <c r="BF775" s="67"/>
      <c r="BG775" s="67"/>
      <c r="BH775" s="67"/>
      <c r="BI775" s="67"/>
      <c r="BJ775" s="67"/>
      <c r="BK775" s="67"/>
      <c r="BL775" s="67"/>
      <c r="BM775" s="67"/>
      <c r="BN775" s="100"/>
      <c r="BO775" s="102"/>
      <c r="BP775" s="67"/>
      <c r="BQ775" s="79"/>
      <c r="BR775" s="67"/>
      <c r="BS775" s="102"/>
      <c r="BT775" s="106"/>
      <c r="BU775" s="107"/>
      <c r="BV775" s="108" t="str">
        <f t="shared" si="17"/>
        <v/>
      </c>
      <c r="BW775" s="108" t="str">
        <f t="shared" si="16"/>
        <v/>
      </c>
      <c r="BX775" s="102" t="str">
        <f t="shared" si="15"/>
        <v/>
      </c>
      <c r="BY775" s="107" t="str">
        <f t="shared" si="5"/>
        <v/>
      </c>
      <c r="BZ775" s="107" t="str">
        <f t="array" ref="BZ775">IF($A775&lt;&gt;"",INDEX(LISTA!$M$2:$N$27,MATCH($BC775,LISTA!$N$2:$N$27,0),1),"")</f>
        <v/>
      </c>
      <c r="CA775" s="67" t="str">
        <f t="shared" si="6"/>
        <v/>
      </c>
      <c r="CB775" s="114" t="str">
        <f t="shared" si="7"/>
        <v/>
      </c>
      <c r="CC775" s="114"/>
    </row>
    <row r="776" ht="22.5" customHeight="1">
      <c r="A776" s="59"/>
      <c r="B776" s="115"/>
      <c r="C776" s="54"/>
      <c r="D776" s="56"/>
      <c r="E776" s="69"/>
      <c r="F776" s="73"/>
      <c r="G776" s="79"/>
      <c r="H776" s="79"/>
      <c r="I776" s="67"/>
      <c r="J776" s="79"/>
      <c r="K776" s="67"/>
      <c r="L776" s="79"/>
      <c r="M776" s="83"/>
      <c r="N776" s="78"/>
      <c r="O776" s="80"/>
      <c r="P776" s="70"/>
      <c r="Q776" s="54"/>
      <c r="R776" s="67"/>
      <c r="S776" s="67"/>
      <c r="T776" s="54"/>
      <c r="U776" s="86"/>
      <c r="V776" s="54"/>
      <c r="W776" s="86"/>
      <c r="X776" s="54"/>
      <c r="Y776" s="78"/>
      <c r="Z776" s="54"/>
      <c r="AA776" s="70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54"/>
      <c r="AR776" s="83"/>
      <c r="AS776" s="83"/>
      <c r="AT776" s="93"/>
      <c r="AU776" s="93"/>
      <c r="AV776" s="93"/>
      <c r="AW776" s="83"/>
      <c r="AX776" s="83"/>
      <c r="AY776" s="83"/>
      <c r="AZ776" s="83"/>
      <c r="BA776" s="83"/>
      <c r="BB776" s="83"/>
      <c r="BC776" s="54"/>
      <c r="BD776" s="54" t="str">
        <f t="shared" si="1"/>
        <v/>
      </c>
      <c r="BE776" s="67"/>
      <c r="BF776" s="67"/>
      <c r="BG776" s="67"/>
      <c r="BH776" s="67"/>
      <c r="BI776" s="67"/>
      <c r="BJ776" s="67"/>
      <c r="BK776" s="67"/>
      <c r="BL776" s="67"/>
      <c r="BM776" s="67"/>
      <c r="BN776" s="100"/>
      <c r="BO776" s="102"/>
      <c r="BP776" s="67"/>
      <c r="BQ776" s="79"/>
      <c r="BR776" s="67"/>
      <c r="BS776" s="102"/>
      <c r="BT776" s="106"/>
      <c r="BU776" s="107"/>
      <c r="BV776" s="108" t="str">
        <f t="shared" si="17"/>
        <v/>
      </c>
      <c r="BW776" s="108" t="str">
        <f t="shared" si="16"/>
        <v/>
      </c>
      <c r="BX776" s="102" t="str">
        <f t="shared" si="15"/>
        <v/>
      </c>
      <c r="BY776" s="107" t="str">
        <f t="shared" si="5"/>
        <v/>
      </c>
      <c r="BZ776" s="107" t="str">
        <f t="array" ref="BZ776">IF($A776&lt;&gt;"",INDEX(LISTA!$M$2:$N$27,MATCH($BC776,LISTA!$N$2:$N$27,0),1),"")</f>
        <v/>
      </c>
      <c r="CA776" s="67" t="str">
        <f t="shared" si="6"/>
        <v/>
      </c>
      <c r="CB776" s="114" t="str">
        <f t="shared" si="7"/>
        <v/>
      </c>
      <c r="CC776" s="114"/>
    </row>
    <row r="777" ht="22.5" customHeight="1">
      <c r="A777" s="59"/>
      <c r="B777" s="115"/>
      <c r="C777" s="54"/>
      <c r="D777" s="56"/>
      <c r="E777" s="69"/>
      <c r="F777" s="73"/>
      <c r="G777" s="79"/>
      <c r="H777" s="79"/>
      <c r="I777" s="67"/>
      <c r="J777" s="79"/>
      <c r="K777" s="67"/>
      <c r="L777" s="79"/>
      <c r="M777" s="83"/>
      <c r="N777" s="78"/>
      <c r="O777" s="80"/>
      <c r="P777" s="70"/>
      <c r="Q777" s="54"/>
      <c r="R777" s="67"/>
      <c r="S777" s="67"/>
      <c r="T777" s="54"/>
      <c r="U777" s="86"/>
      <c r="V777" s="54"/>
      <c r="W777" s="86"/>
      <c r="X777" s="54"/>
      <c r="Y777" s="78"/>
      <c r="Z777" s="54"/>
      <c r="AA777" s="70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54"/>
      <c r="AR777" s="83"/>
      <c r="AS777" s="83"/>
      <c r="AT777" s="93"/>
      <c r="AU777" s="93"/>
      <c r="AV777" s="93"/>
      <c r="AW777" s="83"/>
      <c r="AX777" s="83"/>
      <c r="AY777" s="83"/>
      <c r="AZ777" s="83"/>
      <c r="BA777" s="83"/>
      <c r="BB777" s="83"/>
      <c r="BC777" s="54"/>
      <c r="BD777" s="54" t="str">
        <f t="shared" si="1"/>
        <v/>
      </c>
      <c r="BE777" s="67"/>
      <c r="BF777" s="67"/>
      <c r="BG777" s="67"/>
      <c r="BH777" s="67"/>
      <c r="BI777" s="67"/>
      <c r="BJ777" s="67"/>
      <c r="BK777" s="67"/>
      <c r="BL777" s="67"/>
      <c r="BM777" s="67"/>
      <c r="BN777" s="100"/>
      <c r="BO777" s="102"/>
      <c r="BP777" s="67"/>
      <c r="BQ777" s="79"/>
      <c r="BR777" s="67"/>
      <c r="BS777" s="102"/>
      <c r="BT777" s="106"/>
      <c r="BU777" s="107"/>
      <c r="BV777" s="108" t="str">
        <f t="shared" si="17"/>
        <v/>
      </c>
      <c r="BW777" s="108" t="str">
        <f t="shared" si="16"/>
        <v/>
      </c>
      <c r="BX777" s="102" t="str">
        <f t="shared" si="15"/>
        <v/>
      </c>
      <c r="BY777" s="107" t="str">
        <f t="shared" si="5"/>
        <v/>
      </c>
      <c r="BZ777" s="107" t="str">
        <f t="array" ref="BZ777">IF($A777&lt;&gt;"",INDEX(LISTA!$M$2:$N$27,MATCH($BC777,LISTA!$N$2:$N$27,0),1),"")</f>
        <v/>
      </c>
      <c r="CA777" s="67" t="str">
        <f t="shared" si="6"/>
        <v/>
      </c>
      <c r="CB777" s="114" t="str">
        <f t="shared" si="7"/>
        <v/>
      </c>
      <c r="CC777" s="114"/>
    </row>
    <row r="778" ht="22.5" customHeight="1">
      <c r="A778" s="59"/>
      <c r="B778" s="115"/>
      <c r="C778" s="54"/>
      <c r="D778" s="56"/>
      <c r="E778" s="69"/>
      <c r="F778" s="73"/>
      <c r="G778" s="79"/>
      <c r="H778" s="79"/>
      <c r="I778" s="67"/>
      <c r="J778" s="79"/>
      <c r="K778" s="67"/>
      <c r="L778" s="79"/>
      <c r="M778" s="83"/>
      <c r="N778" s="78"/>
      <c r="O778" s="80"/>
      <c r="P778" s="70"/>
      <c r="Q778" s="54"/>
      <c r="R778" s="67"/>
      <c r="S778" s="67"/>
      <c r="T778" s="54"/>
      <c r="U778" s="86"/>
      <c r="V778" s="54"/>
      <c r="W778" s="86"/>
      <c r="X778" s="54"/>
      <c r="Y778" s="78"/>
      <c r="Z778" s="54"/>
      <c r="AA778" s="70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54"/>
      <c r="AR778" s="83"/>
      <c r="AS778" s="83"/>
      <c r="AT778" s="93"/>
      <c r="AU778" s="93"/>
      <c r="AV778" s="93"/>
      <c r="AW778" s="83"/>
      <c r="AX778" s="83"/>
      <c r="AY778" s="83"/>
      <c r="AZ778" s="83"/>
      <c r="BA778" s="83"/>
      <c r="BB778" s="83"/>
      <c r="BC778" s="54"/>
      <c r="BD778" s="54" t="str">
        <f t="shared" si="1"/>
        <v/>
      </c>
      <c r="BE778" s="67"/>
      <c r="BF778" s="67"/>
      <c r="BG778" s="67"/>
      <c r="BH778" s="67"/>
      <c r="BI778" s="67"/>
      <c r="BJ778" s="67"/>
      <c r="BK778" s="67"/>
      <c r="BL778" s="67"/>
      <c r="BM778" s="67"/>
      <c r="BN778" s="100"/>
      <c r="BO778" s="102"/>
      <c r="BP778" s="67"/>
      <c r="BQ778" s="79"/>
      <c r="BR778" s="67"/>
      <c r="BS778" s="102"/>
      <c r="BT778" s="106"/>
      <c r="BU778" s="107"/>
      <c r="BV778" s="108" t="str">
        <f t="shared" si="17"/>
        <v/>
      </c>
      <c r="BW778" s="108" t="str">
        <f t="shared" si="16"/>
        <v/>
      </c>
      <c r="BX778" s="102" t="str">
        <f t="shared" si="15"/>
        <v/>
      </c>
      <c r="BY778" s="107" t="str">
        <f t="shared" si="5"/>
        <v/>
      </c>
      <c r="BZ778" s="107" t="str">
        <f t="array" ref="BZ778">IF($A778&lt;&gt;"",INDEX(LISTA!$M$2:$N$27,MATCH($BC778,LISTA!$N$2:$N$27,0),1),"")</f>
        <v/>
      </c>
      <c r="CA778" s="67" t="str">
        <f t="shared" si="6"/>
        <v/>
      </c>
      <c r="CB778" s="114" t="str">
        <f t="shared" si="7"/>
        <v/>
      </c>
      <c r="CC778" s="114"/>
    </row>
    <row r="779" ht="22.5" customHeight="1">
      <c r="A779" s="59"/>
      <c r="B779" s="115"/>
      <c r="C779" s="54"/>
      <c r="D779" s="56"/>
      <c r="E779" s="69"/>
      <c r="F779" s="73"/>
      <c r="G779" s="79"/>
      <c r="H779" s="79"/>
      <c r="I779" s="67"/>
      <c r="J779" s="79"/>
      <c r="K779" s="67"/>
      <c r="L779" s="79"/>
      <c r="M779" s="83"/>
      <c r="N779" s="78"/>
      <c r="O779" s="80"/>
      <c r="P779" s="70"/>
      <c r="Q779" s="54"/>
      <c r="R779" s="67"/>
      <c r="S779" s="67"/>
      <c r="T779" s="54"/>
      <c r="U779" s="86"/>
      <c r="V779" s="54"/>
      <c r="W779" s="86"/>
      <c r="X779" s="54"/>
      <c r="Y779" s="78"/>
      <c r="Z779" s="54"/>
      <c r="AA779" s="70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54"/>
      <c r="AR779" s="83"/>
      <c r="AS779" s="83"/>
      <c r="AT779" s="93"/>
      <c r="AU779" s="93"/>
      <c r="AV779" s="93"/>
      <c r="AW779" s="83"/>
      <c r="AX779" s="83"/>
      <c r="AY779" s="83"/>
      <c r="AZ779" s="83"/>
      <c r="BA779" s="83"/>
      <c r="BB779" s="83"/>
      <c r="BC779" s="54"/>
      <c r="BD779" s="54" t="str">
        <f t="shared" si="1"/>
        <v/>
      </c>
      <c r="BE779" s="67"/>
      <c r="BF779" s="67"/>
      <c r="BG779" s="67"/>
      <c r="BH779" s="67"/>
      <c r="BI779" s="67"/>
      <c r="BJ779" s="67"/>
      <c r="BK779" s="67"/>
      <c r="BL779" s="67"/>
      <c r="BM779" s="67"/>
      <c r="BN779" s="100"/>
      <c r="BO779" s="102"/>
      <c r="BP779" s="67"/>
      <c r="BQ779" s="79"/>
      <c r="BR779" s="67"/>
      <c r="BS779" s="102"/>
      <c r="BT779" s="106"/>
      <c r="BU779" s="107"/>
      <c r="BV779" s="108" t="str">
        <f t="shared" si="17"/>
        <v/>
      </c>
      <c r="BW779" s="108" t="str">
        <f t="shared" si="16"/>
        <v/>
      </c>
      <c r="BX779" s="102" t="str">
        <f t="shared" si="15"/>
        <v/>
      </c>
      <c r="BY779" s="107" t="str">
        <f t="shared" si="5"/>
        <v/>
      </c>
      <c r="BZ779" s="107" t="str">
        <f t="array" ref="BZ779">IF($A779&lt;&gt;"",INDEX(LISTA!$M$2:$N$27,MATCH($BC779,LISTA!$N$2:$N$27,0),1),"")</f>
        <v/>
      </c>
      <c r="CA779" s="67" t="str">
        <f t="shared" si="6"/>
        <v/>
      </c>
      <c r="CB779" s="114" t="str">
        <f t="shared" si="7"/>
        <v/>
      </c>
      <c r="CC779" s="114"/>
    </row>
    <row r="780" ht="22.5" customHeight="1">
      <c r="A780" s="59"/>
      <c r="B780" s="115"/>
      <c r="C780" s="54"/>
      <c r="D780" s="56"/>
      <c r="E780" s="69"/>
      <c r="F780" s="73"/>
      <c r="G780" s="79"/>
      <c r="H780" s="79"/>
      <c r="I780" s="67"/>
      <c r="J780" s="79"/>
      <c r="K780" s="67"/>
      <c r="L780" s="79"/>
      <c r="M780" s="83"/>
      <c r="N780" s="78"/>
      <c r="O780" s="80"/>
      <c r="P780" s="70"/>
      <c r="Q780" s="54"/>
      <c r="R780" s="67"/>
      <c r="S780" s="67"/>
      <c r="T780" s="54"/>
      <c r="U780" s="86"/>
      <c r="V780" s="54"/>
      <c r="W780" s="86"/>
      <c r="X780" s="54"/>
      <c r="Y780" s="78"/>
      <c r="Z780" s="54"/>
      <c r="AA780" s="70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54"/>
      <c r="AR780" s="83"/>
      <c r="AS780" s="83"/>
      <c r="AT780" s="93"/>
      <c r="AU780" s="93"/>
      <c r="AV780" s="93"/>
      <c r="AW780" s="83"/>
      <c r="AX780" s="83"/>
      <c r="AY780" s="83"/>
      <c r="AZ780" s="83"/>
      <c r="BA780" s="83"/>
      <c r="BB780" s="83"/>
      <c r="BC780" s="54"/>
      <c r="BD780" s="54" t="str">
        <f t="shared" si="1"/>
        <v/>
      </c>
      <c r="BE780" s="67"/>
      <c r="BF780" s="67"/>
      <c r="BG780" s="67"/>
      <c r="BH780" s="67"/>
      <c r="BI780" s="67"/>
      <c r="BJ780" s="67"/>
      <c r="BK780" s="67"/>
      <c r="BL780" s="67"/>
      <c r="BM780" s="67"/>
      <c r="BN780" s="100"/>
      <c r="BO780" s="102"/>
      <c r="BP780" s="67"/>
      <c r="BQ780" s="79"/>
      <c r="BR780" s="67"/>
      <c r="BS780" s="102"/>
      <c r="BT780" s="106"/>
      <c r="BU780" s="107"/>
      <c r="BV780" s="108" t="str">
        <f t="shared" si="17"/>
        <v/>
      </c>
      <c r="BW780" s="108" t="str">
        <f t="shared" si="16"/>
        <v/>
      </c>
      <c r="BX780" s="102" t="str">
        <f t="shared" si="15"/>
        <v/>
      </c>
      <c r="BY780" s="107" t="str">
        <f t="shared" si="5"/>
        <v/>
      </c>
      <c r="BZ780" s="107" t="str">
        <f t="array" ref="BZ780">IF($A780&lt;&gt;"",INDEX(LISTA!$M$2:$N$27,MATCH($BC780,LISTA!$N$2:$N$27,0),1),"")</f>
        <v/>
      </c>
      <c r="CA780" s="67" t="str">
        <f t="shared" si="6"/>
        <v/>
      </c>
      <c r="CB780" s="114" t="str">
        <f t="shared" si="7"/>
        <v/>
      </c>
      <c r="CC780" s="114"/>
    </row>
    <row r="781" ht="22.5" customHeight="1">
      <c r="A781" s="59"/>
      <c r="B781" s="115"/>
      <c r="C781" s="54"/>
      <c r="D781" s="56"/>
      <c r="E781" s="69"/>
      <c r="F781" s="73"/>
      <c r="G781" s="79"/>
      <c r="H781" s="79"/>
      <c r="I781" s="67"/>
      <c r="J781" s="79"/>
      <c r="K781" s="67"/>
      <c r="L781" s="79"/>
      <c r="M781" s="83"/>
      <c r="N781" s="78"/>
      <c r="O781" s="80"/>
      <c r="P781" s="70"/>
      <c r="Q781" s="54"/>
      <c r="R781" s="67"/>
      <c r="S781" s="67"/>
      <c r="T781" s="54"/>
      <c r="U781" s="86"/>
      <c r="V781" s="54"/>
      <c r="W781" s="86"/>
      <c r="X781" s="54"/>
      <c r="Y781" s="78"/>
      <c r="Z781" s="54"/>
      <c r="AA781" s="70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54"/>
      <c r="AR781" s="83"/>
      <c r="AS781" s="83"/>
      <c r="AT781" s="93"/>
      <c r="AU781" s="93"/>
      <c r="AV781" s="93"/>
      <c r="AW781" s="83"/>
      <c r="AX781" s="83"/>
      <c r="AY781" s="83"/>
      <c r="AZ781" s="83"/>
      <c r="BA781" s="83"/>
      <c r="BB781" s="83"/>
      <c r="BC781" s="54"/>
      <c r="BD781" s="54" t="str">
        <f t="shared" si="1"/>
        <v/>
      </c>
      <c r="BE781" s="67"/>
      <c r="BF781" s="67"/>
      <c r="BG781" s="67"/>
      <c r="BH781" s="67"/>
      <c r="BI781" s="67"/>
      <c r="BJ781" s="67"/>
      <c r="BK781" s="67"/>
      <c r="BL781" s="67"/>
      <c r="BM781" s="67"/>
      <c r="BN781" s="100"/>
      <c r="BO781" s="102"/>
      <c r="BP781" s="67"/>
      <c r="BQ781" s="79"/>
      <c r="BR781" s="67"/>
      <c r="BS781" s="102"/>
      <c r="BT781" s="106"/>
      <c r="BU781" s="107"/>
      <c r="BV781" s="108" t="str">
        <f t="shared" si="17"/>
        <v/>
      </c>
      <c r="BW781" s="108" t="str">
        <f t="shared" si="16"/>
        <v/>
      </c>
      <c r="BX781" s="102" t="str">
        <f t="shared" si="15"/>
        <v/>
      </c>
      <c r="BY781" s="107" t="str">
        <f t="shared" si="5"/>
        <v/>
      </c>
      <c r="BZ781" s="107" t="str">
        <f t="array" ref="BZ781">IF($A781&lt;&gt;"",INDEX(LISTA!$M$2:$N$27,MATCH($BC781,LISTA!$N$2:$N$27,0),1),"")</f>
        <v/>
      </c>
      <c r="CA781" s="67" t="str">
        <f t="shared" si="6"/>
        <v/>
      </c>
      <c r="CB781" s="114" t="str">
        <f t="shared" si="7"/>
        <v/>
      </c>
      <c r="CC781" s="114"/>
    </row>
    <row r="782" ht="22.5" customHeight="1">
      <c r="A782" s="59"/>
      <c r="B782" s="115"/>
      <c r="C782" s="54"/>
      <c r="D782" s="56"/>
      <c r="E782" s="69"/>
      <c r="F782" s="73"/>
      <c r="G782" s="79"/>
      <c r="H782" s="79"/>
      <c r="I782" s="67"/>
      <c r="J782" s="79"/>
      <c r="K782" s="67"/>
      <c r="L782" s="79"/>
      <c r="M782" s="83"/>
      <c r="N782" s="78"/>
      <c r="O782" s="80"/>
      <c r="P782" s="70"/>
      <c r="Q782" s="54"/>
      <c r="R782" s="67"/>
      <c r="S782" s="67"/>
      <c r="T782" s="54"/>
      <c r="U782" s="86"/>
      <c r="V782" s="54"/>
      <c r="W782" s="86"/>
      <c r="X782" s="54"/>
      <c r="Y782" s="78"/>
      <c r="Z782" s="54"/>
      <c r="AA782" s="70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54"/>
      <c r="AR782" s="83"/>
      <c r="AS782" s="83"/>
      <c r="AT782" s="93"/>
      <c r="AU782" s="93"/>
      <c r="AV782" s="93"/>
      <c r="AW782" s="83"/>
      <c r="AX782" s="83"/>
      <c r="AY782" s="83"/>
      <c r="AZ782" s="83"/>
      <c r="BA782" s="83"/>
      <c r="BB782" s="83"/>
      <c r="BC782" s="54"/>
      <c r="BD782" s="54" t="str">
        <f t="shared" si="1"/>
        <v/>
      </c>
      <c r="BE782" s="67"/>
      <c r="BF782" s="67"/>
      <c r="BG782" s="67"/>
      <c r="BH782" s="67"/>
      <c r="BI782" s="67"/>
      <c r="BJ782" s="67"/>
      <c r="BK782" s="67"/>
      <c r="BL782" s="67"/>
      <c r="BM782" s="67"/>
      <c r="BN782" s="100"/>
      <c r="BO782" s="102"/>
      <c r="BP782" s="67"/>
      <c r="BQ782" s="79"/>
      <c r="BR782" s="67"/>
      <c r="BS782" s="102"/>
      <c r="BT782" s="106"/>
      <c r="BU782" s="107"/>
      <c r="BV782" s="108" t="str">
        <f t="shared" si="17"/>
        <v/>
      </c>
      <c r="BW782" s="108" t="str">
        <f t="shared" si="16"/>
        <v/>
      </c>
      <c r="BX782" s="102" t="str">
        <f t="shared" si="15"/>
        <v/>
      </c>
      <c r="BY782" s="107" t="str">
        <f t="shared" si="5"/>
        <v/>
      </c>
      <c r="BZ782" s="107" t="str">
        <f t="array" ref="BZ782">IF($A782&lt;&gt;"",INDEX(LISTA!$M$2:$N$27,MATCH($BC782,LISTA!$N$2:$N$27,0),1),"")</f>
        <v/>
      </c>
      <c r="CA782" s="67" t="str">
        <f t="shared" si="6"/>
        <v/>
      </c>
      <c r="CB782" s="114" t="str">
        <f t="shared" si="7"/>
        <v/>
      </c>
      <c r="CC782" s="114"/>
    </row>
    <row r="783" ht="22.5" customHeight="1">
      <c r="A783" s="59"/>
      <c r="B783" s="115"/>
      <c r="C783" s="54"/>
      <c r="D783" s="56"/>
      <c r="E783" s="69"/>
      <c r="F783" s="73"/>
      <c r="G783" s="79"/>
      <c r="H783" s="79"/>
      <c r="I783" s="67"/>
      <c r="J783" s="79"/>
      <c r="K783" s="67"/>
      <c r="L783" s="79"/>
      <c r="M783" s="83"/>
      <c r="N783" s="78"/>
      <c r="O783" s="80"/>
      <c r="P783" s="70"/>
      <c r="Q783" s="54"/>
      <c r="R783" s="67"/>
      <c r="S783" s="67"/>
      <c r="T783" s="54"/>
      <c r="U783" s="86"/>
      <c r="V783" s="54"/>
      <c r="W783" s="86"/>
      <c r="X783" s="54"/>
      <c r="Y783" s="78"/>
      <c r="Z783" s="54"/>
      <c r="AA783" s="70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54"/>
      <c r="AR783" s="83"/>
      <c r="AS783" s="83"/>
      <c r="AT783" s="93"/>
      <c r="AU783" s="93"/>
      <c r="AV783" s="93"/>
      <c r="AW783" s="83"/>
      <c r="AX783" s="83"/>
      <c r="AY783" s="83"/>
      <c r="AZ783" s="83"/>
      <c r="BA783" s="83"/>
      <c r="BB783" s="83"/>
      <c r="BC783" s="54"/>
      <c r="BD783" s="54" t="str">
        <f t="shared" si="1"/>
        <v/>
      </c>
      <c r="BE783" s="67"/>
      <c r="BF783" s="67"/>
      <c r="BG783" s="67"/>
      <c r="BH783" s="67"/>
      <c r="BI783" s="67"/>
      <c r="BJ783" s="67"/>
      <c r="BK783" s="67"/>
      <c r="BL783" s="67"/>
      <c r="BM783" s="67"/>
      <c r="BN783" s="100"/>
      <c r="BO783" s="102"/>
      <c r="BP783" s="67"/>
      <c r="BQ783" s="79"/>
      <c r="BR783" s="67"/>
      <c r="BS783" s="102"/>
      <c r="BT783" s="106"/>
      <c r="BU783" s="107"/>
      <c r="BV783" s="108" t="str">
        <f t="shared" si="17"/>
        <v/>
      </c>
      <c r="BW783" s="108" t="str">
        <f t="shared" si="16"/>
        <v/>
      </c>
      <c r="BX783" s="102" t="str">
        <f t="shared" si="15"/>
        <v/>
      </c>
      <c r="BY783" s="107" t="str">
        <f t="shared" si="5"/>
        <v/>
      </c>
      <c r="BZ783" s="107" t="str">
        <f t="array" ref="BZ783">IF($A783&lt;&gt;"",INDEX(LISTA!$M$2:$N$27,MATCH($BC783,LISTA!$N$2:$N$27,0),1),"")</f>
        <v/>
      </c>
      <c r="CA783" s="67" t="str">
        <f t="shared" si="6"/>
        <v/>
      </c>
      <c r="CB783" s="114" t="str">
        <f t="shared" si="7"/>
        <v/>
      </c>
      <c r="CC783" s="114"/>
    </row>
    <row r="784" ht="22.5" customHeight="1">
      <c r="A784" s="59"/>
      <c r="B784" s="115"/>
      <c r="C784" s="54"/>
      <c r="D784" s="56"/>
      <c r="E784" s="69"/>
      <c r="F784" s="73"/>
      <c r="G784" s="79"/>
      <c r="H784" s="79"/>
      <c r="I784" s="67"/>
      <c r="J784" s="79"/>
      <c r="K784" s="67"/>
      <c r="L784" s="79"/>
      <c r="M784" s="83"/>
      <c r="N784" s="78"/>
      <c r="O784" s="80"/>
      <c r="P784" s="70"/>
      <c r="Q784" s="54"/>
      <c r="R784" s="67"/>
      <c r="S784" s="67"/>
      <c r="T784" s="54"/>
      <c r="U784" s="86"/>
      <c r="V784" s="54"/>
      <c r="W784" s="86"/>
      <c r="X784" s="54"/>
      <c r="Y784" s="78"/>
      <c r="Z784" s="54"/>
      <c r="AA784" s="70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54"/>
      <c r="AR784" s="83"/>
      <c r="AS784" s="83"/>
      <c r="AT784" s="93"/>
      <c r="AU784" s="93"/>
      <c r="AV784" s="93"/>
      <c r="AW784" s="83"/>
      <c r="AX784" s="83"/>
      <c r="AY784" s="83"/>
      <c r="AZ784" s="83"/>
      <c r="BA784" s="83"/>
      <c r="BB784" s="83"/>
      <c r="BC784" s="54"/>
      <c r="BD784" s="54" t="str">
        <f t="shared" si="1"/>
        <v/>
      </c>
      <c r="BE784" s="67"/>
      <c r="BF784" s="67"/>
      <c r="BG784" s="67"/>
      <c r="BH784" s="67"/>
      <c r="BI784" s="67"/>
      <c r="BJ784" s="67"/>
      <c r="BK784" s="67"/>
      <c r="BL784" s="67"/>
      <c r="BM784" s="67"/>
      <c r="BN784" s="100"/>
      <c r="BO784" s="102"/>
      <c r="BP784" s="67"/>
      <c r="BQ784" s="79"/>
      <c r="BR784" s="67"/>
      <c r="BS784" s="102"/>
      <c r="BT784" s="106"/>
      <c r="BU784" s="107"/>
      <c r="BV784" s="108" t="str">
        <f t="shared" si="17"/>
        <v/>
      </c>
      <c r="BW784" s="108" t="str">
        <f t="shared" si="16"/>
        <v/>
      </c>
      <c r="BX784" s="102" t="str">
        <f t="shared" si="15"/>
        <v/>
      </c>
      <c r="BY784" s="107" t="str">
        <f t="shared" si="5"/>
        <v/>
      </c>
      <c r="BZ784" s="107" t="str">
        <f t="array" ref="BZ784">IF($A784&lt;&gt;"",INDEX(LISTA!$M$2:$N$27,MATCH($BC784,LISTA!$N$2:$N$27,0),1),"")</f>
        <v/>
      </c>
      <c r="CA784" s="67" t="str">
        <f t="shared" si="6"/>
        <v/>
      </c>
      <c r="CB784" s="114" t="str">
        <f t="shared" si="7"/>
        <v/>
      </c>
      <c r="CC784" s="114"/>
    </row>
    <row r="785" ht="22.5" customHeight="1">
      <c r="A785" s="59"/>
      <c r="B785" s="115"/>
      <c r="C785" s="54"/>
      <c r="D785" s="56"/>
      <c r="E785" s="69"/>
      <c r="F785" s="73"/>
      <c r="G785" s="79"/>
      <c r="H785" s="79"/>
      <c r="I785" s="67"/>
      <c r="J785" s="79"/>
      <c r="K785" s="67"/>
      <c r="L785" s="79"/>
      <c r="M785" s="83"/>
      <c r="N785" s="78"/>
      <c r="O785" s="80"/>
      <c r="P785" s="70"/>
      <c r="Q785" s="54"/>
      <c r="R785" s="67"/>
      <c r="S785" s="67"/>
      <c r="T785" s="54"/>
      <c r="U785" s="86"/>
      <c r="V785" s="54"/>
      <c r="W785" s="86"/>
      <c r="X785" s="54"/>
      <c r="Y785" s="78"/>
      <c r="Z785" s="54"/>
      <c r="AA785" s="70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54"/>
      <c r="AR785" s="83"/>
      <c r="AS785" s="83"/>
      <c r="AT785" s="93"/>
      <c r="AU785" s="93"/>
      <c r="AV785" s="93"/>
      <c r="AW785" s="83"/>
      <c r="AX785" s="83"/>
      <c r="AY785" s="83"/>
      <c r="AZ785" s="83"/>
      <c r="BA785" s="83"/>
      <c r="BB785" s="83"/>
      <c r="BC785" s="54"/>
      <c r="BD785" s="54" t="str">
        <f t="shared" si="1"/>
        <v/>
      </c>
      <c r="BE785" s="67"/>
      <c r="BF785" s="67"/>
      <c r="BG785" s="67"/>
      <c r="BH785" s="67"/>
      <c r="BI785" s="67"/>
      <c r="BJ785" s="67"/>
      <c r="BK785" s="67"/>
      <c r="BL785" s="67"/>
      <c r="BM785" s="67"/>
      <c r="BN785" s="100"/>
      <c r="BO785" s="102"/>
      <c r="BP785" s="67"/>
      <c r="BQ785" s="79"/>
      <c r="BR785" s="67"/>
      <c r="BS785" s="102"/>
      <c r="BT785" s="106"/>
      <c r="BU785" s="107"/>
      <c r="BV785" s="108" t="str">
        <f t="shared" si="17"/>
        <v/>
      </c>
      <c r="BW785" s="108" t="str">
        <f t="shared" si="16"/>
        <v/>
      </c>
      <c r="BX785" s="102" t="str">
        <f t="shared" si="15"/>
        <v/>
      </c>
      <c r="BY785" s="107" t="str">
        <f t="shared" si="5"/>
        <v/>
      </c>
      <c r="BZ785" s="107" t="str">
        <f t="array" ref="BZ785">IF($A785&lt;&gt;"",INDEX(LISTA!$M$2:$N$27,MATCH($BC785,LISTA!$N$2:$N$27,0),1),"")</f>
        <v/>
      </c>
      <c r="CA785" s="67" t="str">
        <f t="shared" si="6"/>
        <v/>
      </c>
      <c r="CB785" s="114" t="str">
        <f t="shared" si="7"/>
        <v/>
      </c>
      <c r="CC785" s="114"/>
    </row>
    <row r="786" ht="22.5" customHeight="1">
      <c r="A786" s="59"/>
      <c r="B786" s="115"/>
      <c r="C786" s="54"/>
      <c r="D786" s="56"/>
      <c r="E786" s="69"/>
      <c r="F786" s="73"/>
      <c r="G786" s="79"/>
      <c r="H786" s="79"/>
      <c r="I786" s="67"/>
      <c r="J786" s="79"/>
      <c r="K786" s="67"/>
      <c r="L786" s="79"/>
      <c r="M786" s="83"/>
      <c r="N786" s="78"/>
      <c r="O786" s="80"/>
      <c r="P786" s="70"/>
      <c r="Q786" s="54"/>
      <c r="R786" s="67"/>
      <c r="S786" s="67"/>
      <c r="T786" s="54"/>
      <c r="U786" s="86"/>
      <c r="V786" s="54"/>
      <c r="W786" s="86"/>
      <c r="X786" s="54"/>
      <c r="Y786" s="78"/>
      <c r="Z786" s="54"/>
      <c r="AA786" s="70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54"/>
      <c r="AR786" s="83"/>
      <c r="AS786" s="83"/>
      <c r="AT786" s="93"/>
      <c r="AU786" s="93"/>
      <c r="AV786" s="93"/>
      <c r="AW786" s="83"/>
      <c r="AX786" s="83"/>
      <c r="AY786" s="83"/>
      <c r="AZ786" s="83"/>
      <c r="BA786" s="83"/>
      <c r="BB786" s="83"/>
      <c r="BC786" s="54"/>
      <c r="BD786" s="54" t="str">
        <f t="shared" si="1"/>
        <v/>
      </c>
      <c r="BE786" s="67"/>
      <c r="BF786" s="67"/>
      <c r="BG786" s="67"/>
      <c r="BH786" s="67"/>
      <c r="BI786" s="67"/>
      <c r="BJ786" s="67"/>
      <c r="BK786" s="67"/>
      <c r="BL786" s="67"/>
      <c r="BM786" s="67"/>
      <c r="BN786" s="100"/>
      <c r="BO786" s="102"/>
      <c r="BP786" s="67"/>
      <c r="BQ786" s="79"/>
      <c r="BR786" s="67"/>
      <c r="BS786" s="102"/>
      <c r="BT786" s="106"/>
      <c r="BU786" s="107"/>
      <c r="BV786" s="108" t="str">
        <f t="shared" si="17"/>
        <v/>
      </c>
      <c r="BW786" s="108" t="str">
        <f t="shared" si="16"/>
        <v/>
      </c>
      <c r="BX786" s="102" t="str">
        <f t="shared" si="15"/>
        <v/>
      </c>
      <c r="BY786" s="107" t="str">
        <f t="shared" si="5"/>
        <v/>
      </c>
      <c r="BZ786" s="107" t="str">
        <f t="array" ref="BZ786">IF($A786&lt;&gt;"",INDEX(LISTA!$M$2:$N$27,MATCH($BC786,LISTA!$N$2:$N$27,0),1),"")</f>
        <v/>
      </c>
      <c r="CA786" s="67" t="str">
        <f t="shared" si="6"/>
        <v/>
      </c>
      <c r="CB786" s="114" t="str">
        <f t="shared" si="7"/>
        <v/>
      </c>
      <c r="CC786" s="114"/>
    </row>
    <row r="787" ht="22.5" customHeight="1">
      <c r="A787" s="59"/>
      <c r="B787" s="115"/>
      <c r="C787" s="54"/>
      <c r="D787" s="56"/>
      <c r="E787" s="69"/>
      <c r="F787" s="73"/>
      <c r="G787" s="79"/>
      <c r="H787" s="79"/>
      <c r="I787" s="67"/>
      <c r="J787" s="79"/>
      <c r="K787" s="67"/>
      <c r="L787" s="79"/>
      <c r="M787" s="83"/>
      <c r="N787" s="78"/>
      <c r="O787" s="80"/>
      <c r="P787" s="70"/>
      <c r="Q787" s="54"/>
      <c r="R787" s="67"/>
      <c r="S787" s="67"/>
      <c r="T787" s="54"/>
      <c r="U787" s="86"/>
      <c r="V787" s="54"/>
      <c r="W787" s="86"/>
      <c r="X787" s="54"/>
      <c r="Y787" s="78"/>
      <c r="Z787" s="54"/>
      <c r="AA787" s="70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54"/>
      <c r="AR787" s="83"/>
      <c r="AS787" s="83"/>
      <c r="AT787" s="93"/>
      <c r="AU787" s="93"/>
      <c r="AV787" s="93"/>
      <c r="AW787" s="83"/>
      <c r="AX787" s="83"/>
      <c r="AY787" s="83"/>
      <c r="AZ787" s="83"/>
      <c r="BA787" s="83"/>
      <c r="BB787" s="83"/>
      <c r="BC787" s="54"/>
      <c r="BD787" s="54" t="str">
        <f t="shared" si="1"/>
        <v/>
      </c>
      <c r="BE787" s="67"/>
      <c r="BF787" s="67"/>
      <c r="BG787" s="67"/>
      <c r="BH787" s="67"/>
      <c r="BI787" s="67"/>
      <c r="BJ787" s="67"/>
      <c r="BK787" s="67"/>
      <c r="BL787" s="67"/>
      <c r="BM787" s="67"/>
      <c r="BN787" s="100"/>
      <c r="BO787" s="102"/>
      <c r="BP787" s="67"/>
      <c r="BQ787" s="79"/>
      <c r="BR787" s="67"/>
      <c r="BS787" s="102"/>
      <c r="BT787" s="106"/>
      <c r="BU787" s="107"/>
      <c r="BV787" s="108" t="str">
        <f t="shared" si="17"/>
        <v/>
      </c>
      <c r="BW787" s="108" t="str">
        <f t="shared" si="16"/>
        <v/>
      </c>
      <c r="BX787" s="102" t="str">
        <f t="shared" si="15"/>
        <v/>
      </c>
      <c r="BY787" s="107" t="str">
        <f t="shared" si="5"/>
        <v/>
      </c>
      <c r="BZ787" s="107" t="str">
        <f t="array" ref="BZ787">IF($A787&lt;&gt;"",INDEX(LISTA!$M$2:$N$27,MATCH($BC787,LISTA!$N$2:$N$27,0),1),"")</f>
        <v/>
      </c>
      <c r="CA787" s="67" t="str">
        <f t="shared" si="6"/>
        <v/>
      </c>
      <c r="CB787" s="114" t="str">
        <f t="shared" si="7"/>
        <v/>
      </c>
      <c r="CC787" s="114"/>
    </row>
    <row r="788" ht="22.5" customHeight="1">
      <c r="A788" s="59"/>
      <c r="B788" s="115"/>
      <c r="C788" s="54"/>
      <c r="D788" s="56"/>
      <c r="E788" s="69"/>
      <c r="F788" s="73"/>
      <c r="G788" s="79"/>
      <c r="H788" s="79"/>
      <c r="I788" s="67"/>
      <c r="J788" s="79"/>
      <c r="K788" s="67"/>
      <c r="L788" s="79"/>
      <c r="M788" s="83"/>
      <c r="N788" s="78"/>
      <c r="O788" s="80"/>
      <c r="P788" s="70"/>
      <c r="Q788" s="54"/>
      <c r="R788" s="67"/>
      <c r="S788" s="67"/>
      <c r="T788" s="54"/>
      <c r="U788" s="86"/>
      <c r="V788" s="54"/>
      <c r="W788" s="86"/>
      <c r="X788" s="54"/>
      <c r="Y788" s="78"/>
      <c r="Z788" s="54"/>
      <c r="AA788" s="70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54"/>
      <c r="AR788" s="83"/>
      <c r="AS788" s="83"/>
      <c r="AT788" s="93"/>
      <c r="AU788" s="93"/>
      <c r="AV788" s="93"/>
      <c r="AW788" s="83"/>
      <c r="AX788" s="83"/>
      <c r="AY788" s="83"/>
      <c r="AZ788" s="83"/>
      <c r="BA788" s="83"/>
      <c r="BB788" s="83"/>
      <c r="BC788" s="54"/>
      <c r="BD788" s="54" t="str">
        <f t="shared" si="1"/>
        <v/>
      </c>
      <c r="BE788" s="67"/>
      <c r="BF788" s="67"/>
      <c r="BG788" s="67"/>
      <c r="BH788" s="67"/>
      <c r="BI788" s="67"/>
      <c r="BJ788" s="67"/>
      <c r="BK788" s="67"/>
      <c r="BL788" s="67"/>
      <c r="BM788" s="67"/>
      <c r="BN788" s="100"/>
      <c r="BO788" s="102"/>
      <c r="BP788" s="67"/>
      <c r="BQ788" s="79"/>
      <c r="BR788" s="67"/>
      <c r="BS788" s="102"/>
      <c r="BT788" s="106"/>
      <c r="BU788" s="107"/>
      <c r="BV788" s="108" t="str">
        <f t="shared" si="17"/>
        <v/>
      </c>
      <c r="BW788" s="108" t="str">
        <f t="shared" si="16"/>
        <v/>
      </c>
      <c r="BX788" s="102" t="str">
        <f t="shared" si="15"/>
        <v/>
      </c>
      <c r="BY788" s="107" t="str">
        <f t="shared" si="5"/>
        <v/>
      </c>
      <c r="BZ788" s="107" t="str">
        <f t="array" ref="BZ788">IF($A788&lt;&gt;"",INDEX(LISTA!$M$2:$N$27,MATCH($BC788,LISTA!$N$2:$N$27,0),1),"")</f>
        <v/>
      </c>
      <c r="CA788" s="67" t="str">
        <f t="shared" si="6"/>
        <v/>
      </c>
      <c r="CB788" s="114" t="str">
        <f t="shared" si="7"/>
        <v/>
      </c>
      <c r="CC788" s="114"/>
    </row>
    <row r="789" ht="22.5" customHeight="1">
      <c r="A789" s="59"/>
      <c r="B789" s="115"/>
      <c r="C789" s="54"/>
      <c r="D789" s="56"/>
      <c r="E789" s="69"/>
      <c r="F789" s="73"/>
      <c r="G789" s="79"/>
      <c r="H789" s="79"/>
      <c r="I789" s="67"/>
      <c r="J789" s="79"/>
      <c r="K789" s="67"/>
      <c r="L789" s="79"/>
      <c r="M789" s="83"/>
      <c r="N789" s="78"/>
      <c r="O789" s="80"/>
      <c r="P789" s="70"/>
      <c r="Q789" s="54"/>
      <c r="R789" s="67"/>
      <c r="S789" s="67"/>
      <c r="T789" s="54"/>
      <c r="U789" s="86"/>
      <c r="V789" s="54"/>
      <c r="W789" s="86"/>
      <c r="X789" s="54"/>
      <c r="Y789" s="78"/>
      <c r="Z789" s="54"/>
      <c r="AA789" s="70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54"/>
      <c r="AR789" s="83"/>
      <c r="AS789" s="83"/>
      <c r="AT789" s="93"/>
      <c r="AU789" s="93"/>
      <c r="AV789" s="93"/>
      <c r="AW789" s="83"/>
      <c r="AX789" s="83"/>
      <c r="AY789" s="83"/>
      <c r="AZ789" s="83"/>
      <c r="BA789" s="83"/>
      <c r="BB789" s="83"/>
      <c r="BC789" s="54"/>
      <c r="BD789" s="54" t="str">
        <f t="shared" si="1"/>
        <v/>
      </c>
      <c r="BE789" s="67"/>
      <c r="BF789" s="67"/>
      <c r="BG789" s="67"/>
      <c r="BH789" s="67"/>
      <c r="BI789" s="67"/>
      <c r="BJ789" s="67"/>
      <c r="BK789" s="67"/>
      <c r="BL789" s="67"/>
      <c r="BM789" s="67"/>
      <c r="BN789" s="100"/>
      <c r="BO789" s="102"/>
      <c r="BP789" s="67"/>
      <c r="BQ789" s="79"/>
      <c r="BR789" s="67"/>
      <c r="BS789" s="102"/>
      <c r="BT789" s="106"/>
      <c r="BU789" s="107"/>
      <c r="BV789" s="108" t="str">
        <f t="shared" si="17"/>
        <v/>
      </c>
      <c r="BW789" s="108" t="str">
        <f t="shared" si="16"/>
        <v/>
      </c>
      <c r="BX789" s="102" t="str">
        <f t="shared" si="15"/>
        <v/>
      </c>
      <c r="BY789" s="107" t="str">
        <f t="shared" si="5"/>
        <v/>
      </c>
      <c r="BZ789" s="107" t="str">
        <f t="array" ref="BZ789">IF($A789&lt;&gt;"",INDEX(LISTA!$M$2:$N$27,MATCH($BC789,LISTA!$N$2:$N$27,0),1),"")</f>
        <v/>
      </c>
      <c r="CA789" s="67" t="str">
        <f t="shared" si="6"/>
        <v/>
      </c>
      <c r="CB789" s="114" t="str">
        <f t="shared" si="7"/>
        <v/>
      </c>
      <c r="CC789" s="114"/>
    </row>
    <row r="790" ht="22.5" customHeight="1">
      <c r="A790" s="59"/>
      <c r="B790" s="115"/>
      <c r="C790" s="54"/>
      <c r="D790" s="56"/>
      <c r="E790" s="69"/>
      <c r="F790" s="73"/>
      <c r="G790" s="79"/>
      <c r="H790" s="79"/>
      <c r="I790" s="67"/>
      <c r="J790" s="79"/>
      <c r="K790" s="67"/>
      <c r="L790" s="79"/>
      <c r="M790" s="83"/>
      <c r="N790" s="78"/>
      <c r="O790" s="80"/>
      <c r="P790" s="70"/>
      <c r="Q790" s="54"/>
      <c r="R790" s="67"/>
      <c r="S790" s="67"/>
      <c r="T790" s="54"/>
      <c r="U790" s="86"/>
      <c r="V790" s="54"/>
      <c r="W790" s="86"/>
      <c r="X790" s="54"/>
      <c r="Y790" s="78"/>
      <c r="Z790" s="54"/>
      <c r="AA790" s="70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54"/>
      <c r="AR790" s="83"/>
      <c r="AS790" s="83"/>
      <c r="AT790" s="93"/>
      <c r="AU790" s="93"/>
      <c r="AV790" s="93"/>
      <c r="AW790" s="83"/>
      <c r="AX790" s="83"/>
      <c r="AY790" s="83"/>
      <c r="AZ790" s="83"/>
      <c r="BA790" s="83"/>
      <c r="BB790" s="83"/>
      <c r="BC790" s="54"/>
      <c r="BD790" s="54" t="str">
        <f t="shared" si="1"/>
        <v/>
      </c>
      <c r="BE790" s="67"/>
      <c r="BF790" s="67"/>
      <c r="BG790" s="67"/>
      <c r="BH790" s="67"/>
      <c r="BI790" s="67"/>
      <c r="BJ790" s="67"/>
      <c r="BK790" s="67"/>
      <c r="BL790" s="67"/>
      <c r="BM790" s="67"/>
      <c r="BN790" s="100"/>
      <c r="BO790" s="102"/>
      <c r="BP790" s="67"/>
      <c r="BQ790" s="79"/>
      <c r="BR790" s="67"/>
      <c r="BS790" s="102"/>
      <c r="BT790" s="106"/>
      <c r="BU790" s="107"/>
      <c r="BV790" s="108" t="str">
        <f t="shared" si="17"/>
        <v/>
      </c>
      <c r="BW790" s="108" t="str">
        <f t="shared" si="16"/>
        <v/>
      </c>
      <c r="BX790" s="102" t="str">
        <f t="shared" si="15"/>
        <v/>
      </c>
      <c r="BY790" s="107" t="str">
        <f t="shared" si="5"/>
        <v/>
      </c>
      <c r="BZ790" s="107" t="str">
        <f t="array" ref="BZ790">IF($A790&lt;&gt;"",INDEX(LISTA!$M$2:$N$27,MATCH($BC790,LISTA!$N$2:$N$27,0),1),"")</f>
        <v/>
      </c>
      <c r="CA790" s="67" t="str">
        <f t="shared" si="6"/>
        <v/>
      </c>
      <c r="CB790" s="114" t="str">
        <f t="shared" si="7"/>
        <v/>
      </c>
      <c r="CC790" s="114"/>
    </row>
    <row r="791" ht="22.5" customHeight="1">
      <c r="A791" s="59"/>
      <c r="B791" s="115"/>
      <c r="C791" s="54"/>
      <c r="D791" s="56"/>
      <c r="E791" s="69"/>
      <c r="F791" s="73"/>
      <c r="G791" s="79"/>
      <c r="H791" s="79"/>
      <c r="I791" s="67"/>
      <c r="J791" s="79"/>
      <c r="K791" s="67"/>
      <c r="L791" s="79"/>
      <c r="M791" s="83"/>
      <c r="N791" s="78"/>
      <c r="O791" s="80"/>
      <c r="P791" s="70"/>
      <c r="Q791" s="54"/>
      <c r="R791" s="67"/>
      <c r="S791" s="67"/>
      <c r="T791" s="54"/>
      <c r="U791" s="86"/>
      <c r="V791" s="54"/>
      <c r="W791" s="86"/>
      <c r="X791" s="54"/>
      <c r="Y791" s="78"/>
      <c r="Z791" s="54"/>
      <c r="AA791" s="70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54"/>
      <c r="AR791" s="83"/>
      <c r="AS791" s="83"/>
      <c r="AT791" s="93"/>
      <c r="AU791" s="93"/>
      <c r="AV791" s="93"/>
      <c r="AW791" s="83"/>
      <c r="AX791" s="83"/>
      <c r="AY791" s="83"/>
      <c r="AZ791" s="83"/>
      <c r="BA791" s="83"/>
      <c r="BB791" s="83"/>
      <c r="BC791" s="54"/>
      <c r="BD791" s="54" t="str">
        <f t="shared" si="1"/>
        <v/>
      </c>
      <c r="BE791" s="67"/>
      <c r="BF791" s="67"/>
      <c r="BG791" s="67"/>
      <c r="BH791" s="67"/>
      <c r="BI791" s="67"/>
      <c r="BJ791" s="67"/>
      <c r="BK791" s="67"/>
      <c r="BL791" s="67"/>
      <c r="BM791" s="67"/>
      <c r="BN791" s="100"/>
      <c r="BO791" s="102"/>
      <c r="BP791" s="67"/>
      <c r="BQ791" s="79"/>
      <c r="BR791" s="67"/>
      <c r="BS791" s="102"/>
      <c r="BT791" s="106"/>
      <c r="BU791" s="107"/>
      <c r="BV791" s="108" t="str">
        <f t="shared" si="17"/>
        <v/>
      </c>
      <c r="BW791" s="108" t="str">
        <f t="shared" si="16"/>
        <v/>
      </c>
      <c r="BX791" s="102" t="str">
        <f t="shared" si="15"/>
        <v/>
      </c>
      <c r="BY791" s="107" t="str">
        <f t="shared" si="5"/>
        <v/>
      </c>
      <c r="BZ791" s="107" t="str">
        <f t="array" ref="BZ791">IF($A791&lt;&gt;"",INDEX(LISTA!$M$2:$N$27,MATCH($BC791,LISTA!$N$2:$N$27,0),1),"")</f>
        <v/>
      </c>
      <c r="CA791" s="67" t="str">
        <f t="shared" si="6"/>
        <v/>
      </c>
      <c r="CB791" s="114" t="str">
        <f t="shared" si="7"/>
        <v/>
      </c>
      <c r="CC791" s="114"/>
    </row>
    <row r="792" ht="22.5" customHeight="1">
      <c r="A792" s="59"/>
      <c r="B792" s="115"/>
      <c r="C792" s="54"/>
      <c r="D792" s="56"/>
      <c r="E792" s="69"/>
      <c r="F792" s="73"/>
      <c r="G792" s="79"/>
      <c r="H792" s="79"/>
      <c r="I792" s="67"/>
      <c r="J792" s="79"/>
      <c r="K792" s="67"/>
      <c r="L792" s="79"/>
      <c r="M792" s="83"/>
      <c r="N792" s="78"/>
      <c r="O792" s="80"/>
      <c r="P792" s="70"/>
      <c r="Q792" s="54"/>
      <c r="R792" s="67"/>
      <c r="S792" s="67"/>
      <c r="T792" s="54"/>
      <c r="U792" s="86"/>
      <c r="V792" s="54"/>
      <c r="W792" s="86"/>
      <c r="X792" s="54"/>
      <c r="Y792" s="78"/>
      <c r="Z792" s="54"/>
      <c r="AA792" s="70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54"/>
      <c r="AR792" s="83"/>
      <c r="AS792" s="83"/>
      <c r="AT792" s="93"/>
      <c r="AU792" s="93"/>
      <c r="AV792" s="93"/>
      <c r="AW792" s="83"/>
      <c r="AX792" s="83"/>
      <c r="AY792" s="83"/>
      <c r="AZ792" s="83"/>
      <c r="BA792" s="83"/>
      <c r="BB792" s="83"/>
      <c r="BC792" s="54"/>
      <c r="BD792" s="54" t="str">
        <f t="shared" si="1"/>
        <v/>
      </c>
      <c r="BE792" s="67"/>
      <c r="BF792" s="67"/>
      <c r="BG792" s="67"/>
      <c r="BH792" s="67"/>
      <c r="BI792" s="67"/>
      <c r="BJ792" s="67"/>
      <c r="BK792" s="67"/>
      <c r="BL792" s="67"/>
      <c r="BM792" s="67"/>
      <c r="BN792" s="100"/>
      <c r="BO792" s="102"/>
      <c r="BP792" s="67"/>
      <c r="BQ792" s="79"/>
      <c r="BR792" s="67"/>
      <c r="BS792" s="102"/>
      <c r="BT792" s="106"/>
      <c r="BU792" s="107"/>
      <c r="BV792" s="108" t="str">
        <f t="shared" si="17"/>
        <v/>
      </c>
      <c r="BW792" s="108" t="str">
        <f t="shared" si="16"/>
        <v/>
      </c>
      <c r="BX792" s="102" t="str">
        <f t="shared" si="15"/>
        <v/>
      </c>
      <c r="BY792" s="107" t="str">
        <f t="shared" si="5"/>
        <v/>
      </c>
      <c r="BZ792" s="107" t="str">
        <f t="array" ref="BZ792">IF($A792&lt;&gt;"",INDEX(LISTA!$M$2:$N$27,MATCH($BC792,LISTA!$N$2:$N$27,0),1),"")</f>
        <v/>
      </c>
      <c r="CA792" s="67" t="str">
        <f t="shared" si="6"/>
        <v/>
      </c>
      <c r="CB792" s="114" t="str">
        <f t="shared" si="7"/>
        <v/>
      </c>
      <c r="CC792" s="114"/>
    </row>
    <row r="793" ht="22.5" customHeight="1">
      <c r="A793" s="59"/>
      <c r="B793" s="115"/>
      <c r="C793" s="54"/>
      <c r="D793" s="56"/>
      <c r="E793" s="69"/>
      <c r="F793" s="73"/>
      <c r="G793" s="79"/>
      <c r="H793" s="79"/>
      <c r="I793" s="67"/>
      <c r="J793" s="79"/>
      <c r="K793" s="67"/>
      <c r="L793" s="79"/>
      <c r="M793" s="83"/>
      <c r="N793" s="78"/>
      <c r="O793" s="80"/>
      <c r="P793" s="70"/>
      <c r="Q793" s="54"/>
      <c r="R793" s="67"/>
      <c r="S793" s="67"/>
      <c r="T793" s="54"/>
      <c r="U793" s="86"/>
      <c r="V793" s="54"/>
      <c r="W793" s="86"/>
      <c r="X793" s="54"/>
      <c r="Y793" s="78"/>
      <c r="Z793" s="54"/>
      <c r="AA793" s="70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54"/>
      <c r="AR793" s="83"/>
      <c r="AS793" s="83"/>
      <c r="AT793" s="93"/>
      <c r="AU793" s="93"/>
      <c r="AV793" s="93"/>
      <c r="AW793" s="83"/>
      <c r="AX793" s="83"/>
      <c r="AY793" s="83"/>
      <c r="AZ793" s="83"/>
      <c r="BA793" s="83"/>
      <c r="BB793" s="83"/>
      <c r="BC793" s="54"/>
      <c r="BD793" s="54" t="str">
        <f t="shared" si="1"/>
        <v/>
      </c>
      <c r="BE793" s="67"/>
      <c r="BF793" s="67"/>
      <c r="BG793" s="67"/>
      <c r="BH793" s="67"/>
      <c r="BI793" s="67"/>
      <c r="BJ793" s="67"/>
      <c r="BK793" s="67"/>
      <c r="BL793" s="67"/>
      <c r="BM793" s="67"/>
      <c r="BN793" s="100"/>
      <c r="BO793" s="102"/>
      <c r="BP793" s="67"/>
      <c r="BQ793" s="79"/>
      <c r="BR793" s="67"/>
      <c r="BS793" s="102"/>
      <c r="BT793" s="106"/>
      <c r="BU793" s="107"/>
      <c r="BV793" s="108" t="str">
        <f t="shared" si="17"/>
        <v/>
      </c>
      <c r="BW793" s="108" t="str">
        <f t="shared" si="16"/>
        <v/>
      </c>
      <c r="BX793" s="102" t="str">
        <f t="shared" si="15"/>
        <v/>
      </c>
      <c r="BY793" s="107" t="str">
        <f t="shared" si="5"/>
        <v/>
      </c>
      <c r="BZ793" s="107" t="str">
        <f t="array" ref="BZ793">IF($A793&lt;&gt;"",INDEX(LISTA!$M$2:$N$27,MATCH($BC793,LISTA!$N$2:$N$27,0),1),"")</f>
        <v/>
      </c>
      <c r="CA793" s="67" t="str">
        <f t="shared" si="6"/>
        <v/>
      </c>
      <c r="CB793" s="114" t="str">
        <f t="shared" si="7"/>
        <v/>
      </c>
      <c r="CC793" s="114"/>
    </row>
    <row r="794" ht="22.5" customHeight="1">
      <c r="A794" s="59"/>
      <c r="B794" s="115"/>
      <c r="C794" s="54"/>
      <c r="D794" s="56"/>
      <c r="E794" s="69"/>
      <c r="F794" s="73"/>
      <c r="G794" s="79"/>
      <c r="H794" s="79"/>
      <c r="I794" s="67"/>
      <c r="J794" s="79"/>
      <c r="K794" s="67"/>
      <c r="L794" s="79"/>
      <c r="M794" s="83"/>
      <c r="N794" s="78"/>
      <c r="O794" s="80"/>
      <c r="P794" s="70"/>
      <c r="Q794" s="54"/>
      <c r="R794" s="67"/>
      <c r="S794" s="67"/>
      <c r="T794" s="54"/>
      <c r="U794" s="86"/>
      <c r="V794" s="54"/>
      <c r="W794" s="86"/>
      <c r="X794" s="54"/>
      <c r="Y794" s="78"/>
      <c r="Z794" s="54"/>
      <c r="AA794" s="70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54"/>
      <c r="AR794" s="83"/>
      <c r="AS794" s="83"/>
      <c r="AT794" s="93"/>
      <c r="AU794" s="93"/>
      <c r="AV794" s="93"/>
      <c r="AW794" s="83"/>
      <c r="AX794" s="83"/>
      <c r="AY794" s="83"/>
      <c r="AZ794" s="83"/>
      <c r="BA794" s="83"/>
      <c r="BB794" s="83"/>
      <c r="BC794" s="54"/>
      <c r="BD794" s="54" t="str">
        <f t="shared" si="1"/>
        <v/>
      </c>
      <c r="BE794" s="67"/>
      <c r="BF794" s="67"/>
      <c r="BG794" s="67"/>
      <c r="BH794" s="67"/>
      <c r="BI794" s="67"/>
      <c r="BJ794" s="67"/>
      <c r="BK794" s="67"/>
      <c r="BL794" s="67"/>
      <c r="BM794" s="67"/>
      <c r="BN794" s="100"/>
      <c r="BO794" s="102"/>
      <c r="BP794" s="67"/>
      <c r="BQ794" s="79"/>
      <c r="BR794" s="67"/>
      <c r="BS794" s="102"/>
      <c r="BT794" s="106"/>
      <c r="BU794" s="107"/>
      <c r="BV794" s="108" t="str">
        <f t="shared" si="17"/>
        <v/>
      </c>
      <c r="BW794" s="108" t="str">
        <f t="shared" si="16"/>
        <v/>
      </c>
      <c r="BX794" s="102" t="str">
        <f t="shared" si="15"/>
        <v/>
      </c>
      <c r="BY794" s="107" t="str">
        <f t="shared" si="5"/>
        <v/>
      </c>
      <c r="BZ794" s="107" t="str">
        <f t="array" ref="BZ794">IF($A794&lt;&gt;"",INDEX(LISTA!$M$2:$N$27,MATCH($BC794,LISTA!$N$2:$N$27,0),1),"")</f>
        <v/>
      </c>
      <c r="CA794" s="67" t="str">
        <f t="shared" si="6"/>
        <v/>
      </c>
      <c r="CB794" s="114" t="str">
        <f t="shared" si="7"/>
        <v/>
      </c>
      <c r="CC794" s="114"/>
    </row>
    <row r="795" ht="22.5" customHeight="1">
      <c r="A795" s="59"/>
      <c r="B795" s="115"/>
      <c r="C795" s="54"/>
      <c r="D795" s="56"/>
      <c r="E795" s="69"/>
      <c r="F795" s="73"/>
      <c r="G795" s="79"/>
      <c r="H795" s="79"/>
      <c r="I795" s="67"/>
      <c r="J795" s="79"/>
      <c r="K795" s="67"/>
      <c r="L795" s="79"/>
      <c r="M795" s="83"/>
      <c r="N795" s="78"/>
      <c r="O795" s="80"/>
      <c r="P795" s="70"/>
      <c r="Q795" s="54"/>
      <c r="R795" s="67"/>
      <c r="S795" s="67"/>
      <c r="T795" s="54"/>
      <c r="U795" s="86"/>
      <c r="V795" s="54"/>
      <c r="W795" s="86"/>
      <c r="X795" s="54"/>
      <c r="Y795" s="78"/>
      <c r="Z795" s="54"/>
      <c r="AA795" s="70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54"/>
      <c r="AR795" s="83"/>
      <c r="AS795" s="83"/>
      <c r="AT795" s="93"/>
      <c r="AU795" s="93"/>
      <c r="AV795" s="93"/>
      <c r="AW795" s="83"/>
      <c r="AX795" s="83"/>
      <c r="AY795" s="83"/>
      <c r="AZ795" s="83"/>
      <c r="BA795" s="83"/>
      <c r="BB795" s="83"/>
      <c r="BC795" s="54"/>
      <c r="BD795" s="54" t="str">
        <f t="shared" si="1"/>
        <v/>
      </c>
      <c r="BE795" s="67"/>
      <c r="BF795" s="67"/>
      <c r="BG795" s="67"/>
      <c r="BH795" s="67"/>
      <c r="BI795" s="67"/>
      <c r="BJ795" s="67"/>
      <c r="BK795" s="67"/>
      <c r="BL795" s="67"/>
      <c r="BM795" s="67"/>
      <c r="BN795" s="100"/>
      <c r="BO795" s="102"/>
      <c r="BP795" s="67"/>
      <c r="BQ795" s="79"/>
      <c r="BR795" s="67"/>
      <c r="BS795" s="102"/>
      <c r="BT795" s="106"/>
      <c r="BU795" s="107"/>
      <c r="BV795" s="108" t="str">
        <f t="shared" si="17"/>
        <v/>
      </c>
      <c r="BW795" s="108" t="str">
        <f t="shared" si="16"/>
        <v/>
      </c>
      <c r="BX795" s="102" t="str">
        <f t="shared" si="15"/>
        <v/>
      </c>
      <c r="BY795" s="107" t="str">
        <f t="shared" si="5"/>
        <v/>
      </c>
      <c r="BZ795" s="107" t="str">
        <f t="array" ref="BZ795">IF($A795&lt;&gt;"",INDEX(LISTA!$M$2:$N$27,MATCH($BC795,LISTA!$N$2:$N$27,0),1),"")</f>
        <v/>
      </c>
      <c r="CA795" s="67" t="str">
        <f t="shared" si="6"/>
        <v/>
      </c>
      <c r="CB795" s="114" t="str">
        <f t="shared" si="7"/>
        <v/>
      </c>
      <c r="CC795" s="114"/>
    </row>
    <row r="796" ht="22.5" customHeight="1">
      <c r="A796" s="59"/>
      <c r="B796" s="115"/>
      <c r="C796" s="54"/>
      <c r="D796" s="56"/>
      <c r="E796" s="69"/>
      <c r="F796" s="73"/>
      <c r="G796" s="79"/>
      <c r="H796" s="79"/>
      <c r="I796" s="67"/>
      <c r="J796" s="79"/>
      <c r="K796" s="67"/>
      <c r="L796" s="79"/>
      <c r="M796" s="83"/>
      <c r="N796" s="78"/>
      <c r="O796" s="80"/>
      <c r="P796" s="70"/>
      <c r="Q796" s="54"/>
      <c r="R796" s="67"/>
      <c r="S796" s="67"/>
      <c r="T796" s="54"/>
      <c r="U796" s="86"/>
      <c r="V796" s="54"/>
      <c r="W796" s="86"/>
      <c r="X796" s="54"/>
      <c r="Y796" s="78"/>
      <c r="Z796" s="54"/>
      <c r="AA796" s="70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54"/>
      <c r="AR796" s="83"/>
      <c r="AS796" s="83"/>
      <c r="AT796" s="93"/>
      <c r="AU796" s="93"/>
      <c r="AV796" s="93"/>
      <c r="AW796" s="83"/>
      <c r="AX796" s="83"/>
      <c r="AY796" s="83"/>
      <c r="AZ796" s="83"/>
      <c r="BA796" s="83"/>
      <c r="BB796" s="83"/>
      <c r="BC796" s="54"/>
      <c r="BD796" s="54" t="str">
        <f t="shared" si="1"/>
        <v/>
      </c>
      <c r="BE796" s="67"/>
      <c r="BF796" s="67"/>
      <c r="BG796" s="67"/>
      <c r="BH796" s="67"/>
      <c r="BI796" s="67"/>
      <c r="BJ796" s="67"/>
      <c r="BK796" s="67"/>
      <c r="BL796" s="67"/>
      <c r="BM796" s="67"/>
      <c r="BN796" s="100"/>
      <c r="BO796" s="102"/>
      <c r="BP796" s="67"/>
      <c r="BQ796" s="79"/>
      <c r="BR796" s="67"/>
      <c r="BS796" s="102"/>
      <c r="BT796" s="106"/>
      <c r="BU796" s="107"/>
      <c r="BV796" s="108" t="str">
        <f t="shared" si="17"/>
        <v/>
      </c>
      <c r="BW796" s="108" t="str">
        <f t="shared" si="16"/>
        <v/>
      </c>
      <c r="BX796" s="102" t="str">
        <f t="shared" si="15"/>
        <v/>
      </c>
      <c r="BY796" s="107" t="str">
        <f t="shared" si="5"/>
        <v/>
      </c>
      <c r="BZ796" s="107" t="str">
        <f t="array" ref="BZ796">IF($A796&lt;&gt;"",INDEX(LISTA!$M$2:$N$27,MATCH($BC796,LISTA!$N$2:$N$27,0),1),"")</f>
        <v/>
      </c>
      <c r="CA796" s="67" t="str">
        <f t="shared" si="6"/>
        <v/>
      </c>
      <c r="CB796" s="114" t="str">
        <f t="shared" si="7"/>
        <v/>
      </c>
      <c r="CC796" s="114"/>
    </row>
    <row r="797" ht="22.5" customHeight="1">
      <c r="A797" s="59"/>
      <c r="B797" s="115"/>
      <c r="C797" s="54"/>
      <c r="D797" s="56"/>
      <c r="E797" s="69"/>
      <c r="F797" s="73"/>
      <c r="G797" s="79"/>
      <c r="H797" s="79"/>
      <c r="I797" s="67"/>
      <c r="J797" s="79"/>
      <c r="K797" s="67"/>
      <c r="L797" s="79"/>
      <c r="M797" s="83"/>
      <c r="N797" s="78"/>
      <c r="O797" s="80"/>
      <c r="P797" s="70"/>
      <c r="Q797" s="54"/>
      <c r="R797" s="67"/>
      <c r="S797" s="67"/>
      <c r="T797" s="54"/>
      <c r="U797" s="86"/>
      <c r="V797" s="54"/>
      <c r="W797" s="86"/>
      <c r="X797" s="54"/>
      <c r="Y797" s="78"/>
      <c r="Z797" s="54"/>
      <c r="AA797" s="70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54"/>
      <c r="AR797" s="83"/>
      <c r="AS797" s="83"/>
      <c r="AT797" s="93"/>
      <c r="AU797" s="93"/>
      <c r="AV797" s="93"/>
      <c r="AW797" s="83"/>
      <c r="AX797" s="83"/>
      <c r="AY797" s="83"/>
      <c r="AZ797" s="83"/>
      <c r="BA797" s="83"/>
      <c r="BB797" s="83"/>
      <c r="BC797" s="54"/>
      <c r="BD797" s="54" t="str">
        <f t="shared" si="1"/>
        <v/>
      </c>
      <c r="BE797" s="67"/>
      <c r="BF797" s="67"/>
      <c r="BG797" s="67"/>
      <c r="BH797" s="67"/>
      <c r="BI797" s="67"/>
      <c r="BJ797" s="67"/>
      <c r="BK797" s="67"/>
      <c r="BL797" s="67"/>
      <c r="BM797" s="67"/>
      <c r="BN797" s="100"/>
      <c r="BO797" s="102"/>
      <c r="BP797" s="67"/>
      <c r="BQ797" s="79"/>
      <c r="BR797" s="67"/>
      <c r="BS797" s="102"/>
      <c r="BT797" s="106"/>
      <c r="BU797" s="107"/>
      <c r="BV797" s="108" t="str">
        <f t="shared" si="17"/>
        <v/>
      </c>
      <c r="BW797" s="108" t="str">
        <f t="shared" si="16"/>
        <v/>
      </c>
      <c r="BX797" s="102" t="str">
        <f t="shared" si="15"/>
        <v/>
      </c>
      <c r="BY797" s="107" t="str">
        <f t="shared" si="5"/>
        <v/>
      </c>
      <c r="BZ797" s="107" t="str">
        <f t="array" ref="BZ797">IF($A797&lt;&gt;"",INDEX(LISTA!$M$2:$N$27,MATCH($BC797,LISTA!$N$2:$N$27,0),1),"")</f>
        <v/>
      </c>
      <c r="CA797" s="67" t="str">
        <f t="shared" si="6"/>
        <v/>
      </c>
      <c r="CB797" s="114" t="str">
        <f t="shared" si="7"/>
        <v/>
      </c>
      <c r="CC797" s="114"/>
    </row>
    <row r="798" ht="22.5" customHeight="1">
      <c r="A798" s="59"/>
      <c r="B798" s="115"/>
      <c r="C798" s="54"/>
      <c r="D798" s="56"/>
      <c r="E798" s="69"/>
      <c r="F798" s="73"/>
      <c r="G798" s="79"/>
      <c r="H798" s="79"/>
      <c r="I798" s="67"/>
      <c r="J798" s="79"/>
      <c r="K798" s="67"/>
      <c r="L798" s="79"/>
      <c r="M798" s="83"/>
      <c r="N798" s="78"/>
      <c r="O798" s="80"/>
      <c r="P798" s="70"/>
      <c r="Q798" s="54"/>
      <c r="R798" s="67"/>
      <c r="S798" s="67"/>
      <c r="T798" s="54"/>
      <c r="U798" s="86"/>
      <c r="V798" s="54"/>
      <c r="W798" s="86"/>
      <c r="X798" s="54"/>
      <c r="Y798" s="78"/>
      <c r="Z798" s="54"/>
      <c r="AA798" s="70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54"/>
      <c r="AR798" s="83"/>
      <c r="AS798" s="83"/>
      <c r="AT798" s="93"/>
      <c r="AU798" s="93"/>
      <c r="AV798" s="93"/>
      <c r="AW798" s="83"/>
      <c r="AX798" s="83"/>
      <c r="AY798" s="83"/>
      <c r="AZ798" s="83"/>
      <c r="BA798" s="83"/>
      <c r="BB798" s="83"/>
      <c r="BC798" s="54"/>
      <c r="BD798" s="54" t="str">
        <f t="shared" si="1"/>
        <v/>
      </c>
      <c r="BE798" s="67"/>
      <c r="BF798" s="67"/>
      <c r="BG798" s="67"/>
      <c r="BH798" s="67"/>
      <c r="BI798" s="67"/>
      <c r="BJ798" s="67"/>
      <c r="BK798" s="67"/>
      <c r="BL798" s="67"/>
      <c r="BM798" s="67"/>
      <c r="BN798" s="100"/>
      <c r="BO798" s="102"/>
      <c r="BP798" s="67"/>
      <c r="BQ798" s="79"/>
      <c r="BR798" s="67"/>
      <c r="BS798" s="102"/>
      <c r="BT798" s="106"/>
      <c r="BU798" s="107"/>
      <c r="BV798" s="108" t="str">
        <f t="shared" si="17"/>
        <v/>
      </c>
      <c r="BW798" s="108" t="str">
        <f t="shared" si="16"/>
        <v/>
      </c>
      <c r="BX798" s="102" t="str">
        <f t="shared" si="15"/>
        <v/>
      </c>
      <c r="BY798" s="107" t="str">
        <f t="shared" si="5"/>
        <v/>
      </c>
      <c r="BZ798" s="107" t="str">
        <f t="array" ref="BZ798">IF($A798&lt;&gt;"",INDEX(LISTA!$M$2:$N$27,MATCH($BC798,LISTA!$N$2:$N$27,0),1),"")</f>
        <v/>
      </c>
      <c r="CA798" s="67" t="str">
        <f t="shared" si="6"/>
        <v/>
      </c>
      <c r="CB798" s="114" t="str">
        <f t="shared" si="7"/>
        <v/>
      </c>
      <c r="CC798" s="114"/>
    </row>
    <row r="799" ht="22.5" customHeight="1">
      <c r="A799" s="59"/>
      <c r="B799" s="115"/>
      <c r="C799" s="54"/>
      <c r="D799" s="56"/>
      <c r="E799" s="69"/>
      <c r="F799" s="73"/>
      <c r="G799" s="79"/>
      <c r="H799" s="79"/>
      <c r="I799" s="67"/>
      <c r="J799" s="79"/>
      <c r="K799" s="67"/>
      <c r="L799" s="79"/>
      <c r="M799" s="83"/>
      <c r="N799" s="78"/>
      <c r="O799" s="80"/>
      <c r="P799" s="70"/>
      <c r="Q799" s="54"/>
      <c r="R799" s="67"/>
      <c r="S799" s="67"/>
      <c r="T799" s="54"/>
      <c r="U799" s="86"/>
      <c r="V799" s="54"/>
      <c r="W799" s="86"/>
      <c r="X799" s="54"/>
      <c r="Y799" s="78"/>
      <c r="Z799" s="54"/>
      <c r="AA799" s="70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54"/>
      <c r="AR799" s="83"/>
      <c r="AS799" s="83"/>
      <c r="AT799" s="93"/>
      <c r="AU799" s="93"/>
      <c r="AV799" s="93"/>
      <c r="AW799" s="83"/>
      <c r="AX799" s="83"/>
      <c r="AY799" s="83"/>
      <c r="AZ799" s="83"/>
      <c r="BA799" s="83"/>
      <c r="BB799" s="83"/>
      <c r="BC799" s="54"/>
      <c r="BD799" s="54" t="str">
        <f t="shared" si="1"/>
        <v/>
      </c>
      <c r="BE799" s="67"/>
      <c r="BF799" s="67"/>
      <c r="BG799" s="67"/>
      <c r="BH799" s="67"/>
      <c r="BI799" s="67"/>
      <c r="BJ799" s="67"/>
      <c r="BK799" s="67"/>
      <c r="BL799" s="67"/>
      <c r="BM799" s="67"/>
      <c r="BN799" s="100"/>
      <c r="BO799" s="102"/>
      <c r="BP799" s="67"/>
      <c r="BQ799" s="79"/>
      <c r="BR799" s="67"/>
      <c r="BS799" s="102"/>
      <c r="BT799" s="106"/>
      <c r="BU799" s="107"/>
      <c r="BV799" s="108" t="str">
        <f t="shared" si="17"/>
        <v/>
      </c>
      <c r="BW799" s="108" t="str">
        <f t="shared" si="16"/>
        <v/>
      </c>
      <c r="BX799" s="102" t="str">
        <f t="shared" si="15"/>
        <v/>
      </c>
      <c r="BY799" s="107" t="str">
        <f t="shared" si="5"/>
        <v/>
      </c>
      <c r="BZ799" s="107" t="str">
        <f t="array" ref="BZ799">IF($A799&lt;&gt;"",INDEX(LISTA!$M$2:$N$27,MATCH($BC799,LISTA!$N$2:$N$27,0),1),"")</f>
        <v/>
      </c>
      <c r="CA799" s="67" t="str">
        <f t="shared" si="6"/>
        <v/>
      </c>
      <c r="CB799" s="114" t="str">
        <f t="shared" si="7"/>
        <v/>
      </c>
      <c r="CC799" s="114"/>
    </row>
    <row r="800" ht="22.5" customHeight="1">
      <c r="A800" s="59"/>
      <c r="B800" s="115"/>
      <c r="C800" s="54"/>
      <c r="D800" s="56"/>
      <c r="E800" s="69"/>
      <c r="F800" s="73"/>
      <c r="G800" s="79"/>
      <c r="H800" s="79"/>
      <c r="I800" s="67"/>
      <c r="J800" s="79"/>
      <c r="K800" s="67"/>
      <c r="L800" s="79"/>
      <c r="M800" s="83"/>
      <c r="N800" s="78"/>
      <c r="O800" s="80"/>
      <c r="P800" s="70"/>
      <c r="Q800" s="54"/>
      <c r="R800" s="67"/>
      <c r="S800" s="67"/>
      <c r="T800" s="54"/>
      <c r="U800" s="86"/>
      <c r="V800" s="54"/>
      <c r="W800" s="86"/>
      <c r="X800" s="54"/>
      <c r="Y800" s="78"/>
      <c r="Z800" s="54"/>
      <c r="AA800" s="70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54"/>
      <c r="AR800" s="83"/>
      <c r="AS800" s="83"/>
      <c r="AT800" s="93"/>
      <c r="AU800" s="93"/>
      <c r="AV800" s="93"/>
      <c r="AW800" s="83"/>
      <c r="AX800" s="83"/>
      <c r="AY800" s="83"/>
      <c r="AZ800" s="83"/>
      <c r="BA800" s="83"/>
      <c r="BB800" s="83"/>
      <c r="BC800" s="54"/>
      <c r="BD800" s="54" t="str">
        <f t="shared" si="1"/>
        <v/>
      </c>
      <c r="BE800" s="67"/>
      <c r="BF800" s="67"/>
      <c r="BG800" s="67"/>
      <c r="BH800" s="67"/>
      <c r="BI800" s="67"/>
      <c r="BJ800" s="67"/>
      <c r="BK800" s="67"/>
      <c r="BL800" s="67"/>
      <c r="BM800" s="67"/>
      <c r="BN800" s="100"/>
      <c r="BO800" s="102"/>
      <c r="BP800" s="67"/>
      <c r="BQ800" s="79"/>
      <c r="BR800" s="67"/>
      <c r="BS800" s="102"/>
      <c r="BT800" s="106"/>
      <c r="BU800" s="107"/>
      <c r="BV800" s="108" t="str">
        <f t="shared" si="17"/>
        <v/>
      </c>
      <c r="BW800" s="108" t="str">
        <f t="shared" si="16"/>
        <v/>
      </c>
      <c r="BX800" s="102" t="str">
        <f t="shared" si="15"/>
        <v/>
      </c>
      <c r="BY800" s="107" t="str">
        <f t="shared" si="5"/>
        <v/>
      </c>
      <c r="BZ800" s="107" t="str">
        <f t="array" ref="BZ800">IF($A800&lt;&gt;"",INDEX(LISTA!$M$2:$N$27,MATCH($BC800,LISTA!$N$2:$N$27,0),1),"")</f>
        <v/>
      </c>
      <c r="CA800" s="67" t="str">
        <f t="shared" si="6"/>
        <v/>
      </c>
      <c r="CB800" s="114" t="str">
        <f t="shared" si="7"/>
        <v/>
      </c>
      <c r="CC800" s="114"/>
    </row>
    <row r="801" ht="22.5" customHeight="1">
      <c r="A801" s="59"/>
      <c r="B801" s="115"/>
      <c r="C801" s="54"/>
      <c r="D801" s="56"/>
      <c r="E801" s="69"/>
      <c r="F801" s="73"/>
      <c r="G801" s="79"/>
      <c r="H801" s="79"/>
      <c r="I801" s="67"/>
      <c r="J801" s="79"/>
      <c r="K801" s="67"/>
      <c r="L801" s="79"/>
      <c r="M801" s="83"/>
      <c r="N801" s="78"/>
      <c r="O801" s="80"/>
      <c r="P801" s="70"/>
      <c r="Q801" s="54"/>
      <c r="R801" s="67"/>
      <c r="S801" s="67"/>
      <c r="T801" s="54"/>
      <c r="U801" s="86"/>
      <c r="V801" s="54"/>
      <c r="W801" s="86"/>
      <c r="X801" s="54"/>
      <c r="Y801" s="78"/>
      <c r="Z801" s="54"/>
      <c r="AA801" s="70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54"/>
      <c r="AR801" s="83"/>
      <c r="AS801" s="83"/>
      <c r="AT801" s="93"/>
      <c r="AU801" s="93"/>
      <c r="AV801" s="93"/>
      <c r="AW801" s="83"/>
      <c r="AX801" s="83"/>
      <c r="AY801" s="83"/>
      <c r="AZ801" s="83"/>
      <c r="BA801" s="83"/>
      <c r="BB801" s="83"/>
      <c r="BC801" s="54"/>
      <c r="BD801" s="54" t="str">
        <f t="shared" si="1"/>
        <v/>
      </c>
      <c r="BE801" s="67"/>
      <c r="BF801" s="67"/>
      <c r="BG801" s="67"/>
      <c r="BH801" s="67"/>
      <c r="BI801" s="67"/>
      <c r="BJ801" s="67"/>
      <c r="BK801" s="67"/>
      <c r="BL801" s="67"/>
      <c r="BM801" s="67"/>
      <c r="BN801" s="100"/>
      <c r="BO801" s="102"/>
      <c r="BP801" s="67"/>
      <c r="BQ801" s="79"/>
      <c r="BR801" s="67"/>
      <c r="BS801" s="102"/>
      <c r="BT801" s="106"/>
      <c r="BU801" s="107"/>
      <c r="BV801" s="108" t="str">
        <f t="shared" si="17"/>
        <v/>
      </c>
      <c r="BW801" s="108" t="str">
        <f t="shared" si="16"/>
        <v/>
      </c>
      <c r="BX801" s="102" t="str">
        <f t="shared" si="15"/>
        <v/>
      </c>
      <c r="BY801" s="107" t="str">
        <f t="shared" si="5"/>
        <v/>
      </c>
      <c r="BZ801" s="107" t="str">
        <f t="array" ref="BZ801">IF($A801&lt;&gt;"",INDEX(LISTA!$M$2:$N$27,MATCH($BC801,LISTA!$N$2:$N$27,0),1),"")</f>
        <v/>
      </c>
      <c r="CA801" s="67" t="str">
        <f t="shared" si="6"/>
        <v/>
      </c>
      <c r="CB801" s="114" t="str">
        <f t="shared" si="7"/>
        <v/>
      </c>
      <c r="CC801" s="114"/>
    </row>
    <row r="802" ht="22.5" customHeight="1">
      <c r="A802" s="59"/>
      <c r="B802" s="115"/>
      <c r="C802" s="54"/>
      <c r="D802" s="56"/>
      <c r="E802" s="69"/>
      <c r="F802" s="73"/>
      <c r="G802" s="79"/>
      <c r="H802" s="79"/>
      <c r="I802" s="67"/>
      <c r="J802" s="79"/>
      <c r="K802" s="67"/>
      <c r="L802" s="79"/>
      <c r="M802" s="83"/>
      <c r="N802" s="78"/>
      <c r="O802" s="80"/>
      <c r="P802" s="70"/>
      <c r="Q802" s="54"/>
      <c r="R802" s="67"/>
      <c r="S802" s="67"/>
      <c r="T802" s="54"/>
      <c r="U802" s="86"/>
      <c r="V802" s="54"/>
      <c r="W802" s="86"/>
      <c r="X802" s="54"/>
      <c r="Y802" s="78"/>
      <c r="Z802" s="54"/>
      <c r="AA802" s="70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54"/>
      <c r="AR802" s="83"/>
      <c r="AS802" s="83"/>
      <c r="AT802" s="93"/>
      <c r="AU802" s="93"/>
      <c r="AV802" s="93"/>
      <c r="AW802" s="83"/>
      <c r="AX802" s="83"/>
      <c r="AY802" s="83"/>
      <c r="AZ802" s="83"/>
      <c r="BA802" s="83"/>
      <c r="BB802" s="83"/>
      <c r="BC802" s="54"/>
      <c r="BD802" s="54" t="str">
        <f t="shared" si="1"/>
        <v/>
      </c>
      <c r="BE802" s="67"/>
      <c r="BF802" s="67"/>
      <c r="BG802" s="67"/>
      <c r="BH802" s="67"/>
      <c r="BI802" s="67"/>
      <c r="BJ802" s="67"/>
      <c r="BK802" s="67"/>
      <c r="BL802" s="67"/>
      <c r="BM802" s="67"/>
      <c r="BN802" s="100"/>
      <c r="BO802" s="102"/>
      <c r="BP802" s="67"/>
      <c r="BQ802" s="79"/>
      <c r="BR802" s="67"/>
      <c r="BS802" s="102"/>
      <c r="BT802" s="106"/>
      <c r="BU802" s="107"/>
      <c r="BV802" s="108" t="str">
        <f t="shared" si="17"/>
        <v/>
      </c>
      <c r="BW802" s="108" t="str">
        <f t="shared" si="16"/>
        <v/>
      </c>
      <c r="BX802" s="102" t="str">
        <f t="shared" si="15"/>
        <v/>
      </c>
      <c r="BY802" s="107" t="str">
        <f t="shared" si="5"/>
        <v/>
      </c>
      <c r="BZ802" s="107" t="str">
        <f t="array" ref="BZ802">IF($A802&lt;&gt;"",INDEX(LISTA!$M$2:$N$27,MATCH($BC802,LISTA!$N$2:$N$27,0),1),"")</f>
        <v/>
      </c>
      <c r="CA802" s="67" t="str">
        <f t="shared" si="6"/>
        <v/>
      </c>
      <c r="CB802" s="114" t="str">
        <f t="shared" si="7"/>
        <v/>
      </c>
      <c r="CC802" s="114"/>
    </row>
    <row r="803" ht="22.5" customHeight="1">
      <c r="A803" s="59"/>
      <c r="B803" s="115"/>
      <c r="C803" s="54"/>
      <c r="D803" s="56"/>
      <c r="E803" s="69"/>
      <c r="F803" s="73"/>
      <c r="G803" s="79"/>
      <c r="H803" s="79"/>
      <c r="I803" s="67"/>
      <c r="J803" s="79"/>
      <c r="K803" s="67"/>
      <c r="L803" s="79"/>
      <c r="M803" s="83"/>
      <c r="N803" s="78"/>
      <c r="O803" s="80"/>
      <c r="P803" s="70"/>
      <c r="Q803" s="54"/>
      <c r="R803" s="67"/>
      <c r="S803" s="67"/>
      <c r="T803" s="54"/>
      <c r="U803" s="86"/>
      <c r="V803" s="54"/>
      <c r="W803" s="86"/>
      <c r="X803" s="54"/>
      <c r="Y803" s="78"/>
      <c r="Z803" s="54"/>
      <c r="AA803" s="70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54"/>
      <c r="AR803" s="83"/>
      <c r="AS803" s="83"/>
      <c r="AT803" s="93"/>
      <c r="AU803" s="93"/>
      <c r="AV803" s="93"/>
      <c r="AW803" s="83"/>
      <c r="AX803" s="83"/>
      <c r="AY803" s="83"/>
      <c r="AZ803" s="83"/>
      <c r="BA803" s="83"/>
      <c r="BB803" s="83"/>
      <c r="BC803" s="54"/>
      <c r="BD803" s="54" t="str">
        <f t="shared" si="1"/>
        <v/>
      </c>
      <c r="BE803" s="67"/>
      <c r="BF803" s="67"/>
      <c r="BG803" s="67"/>
      <c r="BH803" s="67"/>
      <c r="BI803" s="67"/>
      <c r="BJ803" s="67"/>
      <c r="BK803" s="67"/>
      <c r="BL803" s="67"/>
      <c r="BM803" s="67"/>
      <c r="BN803" s="100"/>
      <c r="BO803" s="102"/>
      <c r="BP803" s="67"/>
      <c r="BQ803" s="79"/>
      <c r="BR803" s="67"/>
      <c r="BS803" s="102"/>
      <c r="BT803" s="106"/>
      <c r="BU803" s="107"/>
      <c r="BV803" s="108" t="str">
        <f t="shared" si="17"/>
        <v/>
      </c>
      <c r="BW803" s="108" t="str">
        <f t="shared" si="16"/>
        <v/>
      </c>
      <c r="BX803" s="102" t="str">
        <f t="shared" si="15"/>
        <v/>
      </c>
      <c r="BY803" s="107" t="str">
        <f t="shared" si="5"/>
        <v/>
      </c>
      <c r="BZ803" s="107" t="str">
        <f t="array" ref="BZ803">IF($A803&lt;&gt;"",INDEX(LISTA!$M$2:$N$27,MATCH($BC803,LISTA!$N$2:$N$27,0),1),"")</f>
        <v/>
      </c>
      <c r="CA803" s="67" t="str">
        <f t="shared" si="6"/>
        <v/>
      </c>
      <c r="CB803" s="114" t="str">
        <f t="shared" si="7"/>
        <v/>
      </c>
      <c r="CC803" s="114"/>
    </row>
    <row r="804" ht="22.5" customHeight="1">
      <c r="A804" s="59"/>
      <c r="B804" s="115"/>
      <c r="C804" s="54"/>
      <c r="D804" s="56"/>
      <c r="E804" s="69"/>
      <c r="F804" s="73"/>
      <c r="G804" s="79"/>
      <c r="H804" s="79"/>
      <c r="I804" s="67"/>
      <c r="J804" s="79"/>
      <c r="K804" s="67"/>
      <c r="L804" s="79"/>
      <c r="M804" s="83"/>
      <c r="N804" s="78"/>
      <c r="O804" s="80"/>
      <c r="P804" s="70"/>
      <c r="Q804" s="54"/>
      <c r="R804" s="67"/>
      <c r="S804" s="67"/>
      <c r="T804" s="54"/>
      <c r="U804" s="86"/>
      <c r="V804" s="54"/>
      <c r="W804" s="86"/>
      <c r="X804" s="54"/>
      <c r="Y804" s="78"/>
      <c r="Z804" s="54"/>
      <c r="AA804" s="70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54"/>
      <c r="AR804" s="83"/>
      <c r="AS804" s="83"/>
      <c r="AT804" s="93"/>
      <c r="AU804" s="93"/>
      <c r="AV804" s="93"/>
      <c r="AW804" s="83"/>
      <c r="AX804" s="83"/>
      <c r="AY804" s="83"/>
      <c r="AZ804" s="83"/>
      <c r="BA804" s="83"/>
      <c r="BB804" s="83"/>
      <c r="BC804" s="54"/>
      <c r="BD804" s="54" t="str">
        <f t="shared" si="1"/>
        <v/>
      </c>
      <c r="BE804" s="67"/>
      <c r="BF804" s="67"/>
      <c r="BG804" s="67"/>
      <c r="BH804" s="67"/>
      <c r="BI804" s="67"/>
      <c r="BJ804" s="67"/>
      <c r="BK804" s="67"/>
      <c r="BL804" s="67"/>
      <c r="BM804" s="67"/>
      <c r="BN804" s="100"/>
      <c r="BO804" s="102"/>
      <c r="BP804" s="67"/>
      <c r="BQ804" s="79"/>
      <c r="BR804" s="67"/>
      <c r="BS804" s="102"/>
      <c r="BT804" s="106"/>
      <c r="BU804" s="107"/>
      <c r="BV804" s="108" t="str">
        <f t="shared" si="17"/>
        <v/>
      </c>
      <c r="BW804" s="108" t="str">
        <f t="shared" si="16"/>
        <v/>
      </c>
      <c r="BX804" s="102" t="str">
        <f t="shared" si="15"/>
        <v/>
      </c>
      <c r="BY804" s="107" t="str">
        <f t="shared" si="5"/>
        <v/>
      </c>
      <c r="BZ804" s="107" t="str">
        <f t="array" ref="BZ804">IF($A804&lt;&gt;"",INDEX(LISTA!$M$2:$N$27,MATCH($BC804,LISTA!$N$2:$N$27,0),1),"")</f>
        <v/>
      </c>
      <c r="CA804" s="67" t="str">
        <f t="shared" si="6"/>
        <v/>
      </c>
      <c r="CB804" s="114" t="str">
        <f t="shared" si="7"/>
        <v/>
      </c>
      <c r="CC804" s="114"/>
    </row>
    <row r="805" ht="22.5" customHeight="1">
      <c r="A805" s="59"/>
      <c r="B805" s="115"/>
      <c r="C805" s="54"/>
      <c r="D805" s="56"/>
      <c r="E805" s="69"/>
      <c r="F805" s="73"/>
      <c r="G805" s="79"/>
      <c r="H805" s="79"/>
      <c r="I805" s="67"/>
      <c r="J805" s="79"/>
      <c r="K805" s="67"/>
      <c r="L805" s="79"/>
      <c r="M805" s="83"/>
      <c r="N805" s="78"/>
      <c r="O805" s="80"/>
      <c r="P805" s="70"/>
      <c r="Q805" s="54"/>
      <c r="R805" s="67"/>
      <c r="S805" s="67"/>
      <c r="T805" s="54"/>
      <c r="U805" s="86"/>
      <c r="V805" s="54"/>
      <c r="W805" s="86"/>
      <c r="X805" s="54"/>
      <c r="Y805" s="78"/>
      <c r="Z805" s="54"/>
      <c r="AA805" s="70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54"/>
      <c r="AR805" s="83"/>
      <c r="AS805" s="83"/>
      <c r="AT805" s="93"/>
      <c r="AU805" s="93"/>
      <c r="AV805" s="93"/>
      <c r="AW805" s="83"/>
      <c r="AX805" s="83"/>
      <c r="AY805" s="83"/>
      <c r="AZ805" s="83"/>
      <c r="BA805" s="83"/>
      <c r="BB805" s="83"/>
      <c r="BC805" s="54"/>
      <c r="BD805" s="54" t="str">
        <f t="shared" si="1"/>
        <v/>
      </c>
      <c r="BE805" s="67"/>
      <c r="BF805" s="67"/>
      <c r="BG805" s="67"/>
      <c r="BH805" s="67"/>
      <c r="BI805" s="67"/>
      <c r="BJ805" s="67"/>
      <c r="BK805" s="67"/>
      <c r="BL805" s="67"/>
      <c r="BM805" s="67"/>
      <c r="BN805" s="100"/>
      <c r="BO805" s="102"/>
      <c r="BP805" s="67"/>
      <c r="BQ805" s="79"/>
      <c r="BR805" s="67"/>
      <c r="BS805" s="102"/>
      <c r="BT805" s="106"/>
      <c r="BU805" s="107"/>
      <c r="BV805" s="108" t="str">
        <f t="shared" si="17"/>
        <v/>
      </c>
      <c r="BW805" s="108" t="str">
        <f t="shared" si="16"/>
        <v/>
      </c>
      <c r="BX805" s="102" t="str">
        <f t="shared" si="15"/>
        <v/>
      </c>
      <c r="BY805" s="107" t="str">
        <f t="shared" si="5"/>
        <v/>
      </c>
      <c r="BZ805" s="107" t="str">
        <f t="array" ref="BZ805">IF($A805&lt;&gt;"",INDEX(LISTA!$M$2:$N$27,MATCH($BC805,LISTA!$N$2:$N$27,0),1),"")</f>
        <v/>
      </c>
      <c r="CA805" s="67" t="str">
        <f t="shared" si="6"/>
        <v/>
      </c>
      <c r="CB805" s="114" t="str">
        <f t="shared" si="7"/>
        <v/>
      </c>
      <c r="CC805" s="114"/>
    </row>
    <row r="806" ht="22.5" customHeight="1">
      <c r="A806" s="59"/>
      <c r="B806" s="115"/>
      <c r="C806" s="54"/>
      <c r="D806" s="56"/>
      <c r="E806" s="69"/>
      <c r="F806" s="73"/>
      <c r="G806" s="79"/>
      <c r="H806" s="79"/>
      <c r="I806" s="67"/>
      <c r="J806" s="79"/>
      <c r="K806" s="67"/>
      <c r="L806" s="79"/>
      <c r="M806" s="83"/>
      <c r="N806" s="78"/>
      <c r="O806" s="80"/>
      <c r="P806" s="70"/>
      <c r="Q806" s="54"/>
      <c r="R806" s="67"/>
      <c r="S806" s="67"/>
      <c r="T806" s="54"/>
      <c r="U806" s="86"/>
      <c r="V806" s="54"/>
      <c r="W806" s="86"/>
      <c r="X806" s="54"/>
      <c r="Y806" s="78"/>
      <c r="Z806" s="54"/>
      <c r="AA806" s="70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54"/>
      <c r="AR806" s="83"/>
      <c r="AS806" s="83"/>
      <c r="AT806" s="93"/>
      <c r="AU806" s="93"/>
      <c r="AV806" s="93"/>
      <c r="AW806" s="83"/>
      <c r="AX806" s="83"/>
      <c r="AY806" s="83"/>
      <c r="AZ806" s="83"/>
      <c r="BA806" s="83"/>
      <c r="BB806" s="83"/>
      <c r="BC806" s="54"/>
      <c r="BD806" s="54" t="str">
        <f t="shared" si="1"/>
        <v/>
      </c>
      <c r="BE806" s="67"/>
      <c r="BF806" s="67"/>
      <c r="BG806" s="67"/>
      <c r="BH806" s="67"/>
      <c r="BI806" s="67"/>
      <c r="BJ806" s="67"/>
      <c r="BK806" s="67"/>
      <c r="BL806" s="67"/>
      <c r="BM806" s="67"/>
      <c r="BN806" s="100"/>
      <c r="BO806" s="102"/>
      <c r="BP806" s="67"/>
      <c r="BQ806" s="79"/>
      <c r="BR806" s="67"/>
      <c r="BS806" s="102"/>
      <c r="BT806" s="106"/>
      <c r="BU806" s="107"/>
      <c r="BV806" s="108" t="str">
        <f t="shared" si="17"/>
        <v/>
      </c>
      <c r="BW806" s="108" t="str">
        <f t="shared" si="16"/>
        <v/>
      </c>
      <c r="BX806" s="102" t="str">
        <f t="shared" si="15"/>
        <v/>
      </c>
      <c r="BY806" s="107" t="str">
        <f t="shared" si="5"/>
        <v/>
      </c>
      <c r="BZ806" s="107" t="str">
        <f t="array" ref="BZ806">IF($A806&lt;&gt;"",INDEX(LISTA!$M$2:$N$27,MATCH($BC806,LISTA!$N$2:$N$27,0),1),"")</f>
        <v/>
      </c>
      <c r="CA806" s="67" t="str">
        <f t="shared" si="6"/>
        <v/>
      </c>
      <c r="CB806" s="114" t="str">
        <f t="shared" si="7"/>
        <v/>
      </c>
      <c r="CC806" s="114"/>
    </row>
    <row r="807" ht="22.5" customHeight="1">
      <c r="A807" s="59"/>
      <c r="B807" s="115"/>
      <c r="C807" s="54"/>
      <c r="D807" s="56"/>
      <c r="E807" s="69"/>
      <c r="F807" s="73"/>
      <c r="G807" s="79"/>
      <c r="H807" s="79"/>
      <c r="I807" s="67"/>
      <c r="J807" s="79"/>
      <c r="K807" s="67"/>
      <c r="L807" s="79"/>
      <c r="M807" s="83"/>
      <c r="N807" s="78"/>
      <c r="O807" s="80"/>
      <c r="P807" s="70"/>
      <c r="Q807" s="54"/>
      <c r="R807" s="67"/>
      <c r="S807" s="67"/>
      <c r="T807" s="54"/>
      <c r="U807" s="86"/>
      <c r="V807" s="54"/>
      <c r="W807" s="86"/>
      <c r="X807" s="54"/>
      <c r="Y807" s="78"/>
      <c r="Z807" s="54"/>
      <c r="AA807" s="70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54"/>
      <c r="AR807" s="83"/>
      <c r="AS807" s="83"/>
      <c r="AT807" s="93"/>
      <c r="AU807" s="93"/>
      <c r="AV807" s="93"/>
      <c r="AW807" s="83"/>
      <c r="AX807" s="83"/>
      <c r="AY807" s="83"/>
      <c r="AZ807" s="83"/>
      <c r="BA807" s="83"/>
      <c r="BB807" s="83"/>
      <c r="BC807" s="54"/>
      <c r="BD807" s="54" t="str">
        <f t="shared" si="1"/>
        <v/>
      </c>
      <c r="BE807" s="67"/>
      <c r="BF807" s="67"/>
      <c r="BG807" s="67"/>
      <c r="BH807" s="67"/>
      <c r="BI807" s="67"/>
      <c r="BJ807" s="67"/>
      <c r="BK807" s="67"/>
      <c r="BL807" s="67"/>
      <c r="BM807" s="67"/>
      <c r="BN807" s="100"/>
      <c r="BO807" s="102"/>
      <c r="BP807" s="67"/>
      <c r="BQ807" s="79"/>
      <c r="BR807" s="67"/>
      <c r="BS807" s="102"/>
      <c r="BT807" s="106"/>
      <c r="BU807" s="107"/>
      <c r="BV807" s="108" t="str">
        <f t="shared" si="17"/>
        <v/>
      </c>
      <c r="BW807" s="108" t="str">
        <f t="shared" si="16"/>
        <v/>
      </c>
      <c r="BX807" s="102" t="str">
        <f t="shared" si="15"/>
        <v/>
      </c>
      <c r="BY807" s="107" t="str">
        <f t="shared" si="5"/>
        <v/>
      </c>
      <c r="BZ807" s="107" t="str">
        <f t="array" ref="BZ807">IF($A807&lt;&gt;"",INDEX(LISTA!$M$2:$N$27,MATCH($BC807,LISTA!$N$2:$N$27,0),1),"")</f>
        <v/>
      </c>
      <c r="CA807" s="67" t="str">
        <f t="shared" si="6"/>
        <v/>
      </c>
      <c r="CB807" s="114" t="str">
        <f t="shared" si="7"/>
        <v/>
      </c>
      <c r="CC807" s="114"/>
    </row>
    <row r="808" ht="22.5" customHeight="1">
      <c r="A808" s="59"/>
      <c r="B808" s="115"/>
      <c r="C808" s="54"/>
      <c r="D808" s="56"/>
      <c r="E808" s="69"/>
      <c r="F808" s="73"/>
      <c r="G808" s="79"/>
      <c r="H808" s="79"/>
      <c r="I808" s="67"/>
      <c r="J808" s="79"/>
      <c r="K808" s="67"/>
      <c r="L808" s="79"/>
      <c r="M808" s="83"/>
      <c r="N808" s="78"/>
      <c r="O808" s="80"/>
      <c r="P808" s="70"/>
      <c r="Q808" s="54"/>
      <c r="R808" s="67"/>
      <c r="S808" s="67"/>
      <c r="T808" s="54"/>
      <c r="U808" s="86"/>
      <c r="V808" s="54"/>
      <c r="W808" s="86"/>
      <c r="X808" s="54"/>
      <c r="Y808" s="78"/>
      <c r="Z808" s="54"/>
      <c r="AA808" s="70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54"/>
      <c r="AR808" s="83"/>
      <c r="AS808" s="83"/>
      <c r="AT808" s="93"/>
      <c r="AU808" s="93"/>
      <c r="AV808" s="93"/>
      <c r="AW808" s="83"/>
      <c r="AX808" s="83"/>
      <c r="AY808" s="83"/>
      <c r="AZ808" s="83"/>
      <c r="BA808" s="83"/>
      <c r="BB808" s="83"/>
      <c r="BC808" s="54"/>
      <c r="BD808" s="54" t="str">
        <f t="shared" si="1"/>
        <v/>
      </c>
      <c r="BE808" s="67"/>
      <c r="BF808" s="67"/>
      <c r="BG808" s="67"/>
      <c r="BH808" s="67"/>
      <c r="BI808" s="67"/>
      <c r="BJ808" s="67"/>
      <c r="BK808" s="67"/>
      <c r="BL808" s="67"/>
      <c r="BM808" s="67"/>
      <c r="BN808" s="100"/>
      <c r="BO808" s="102"/>
      <c r="BP808" s="67"/>
      <c r="BQ808" s="79"/>
      <c r="BR808" s="67"/>
      <c r="BS808" s="102"/>
      <c r="BT808" s="106"/>
      <c r="BU808" s="107"/>
      <c r="BV808" s="108" t="str">
        <f t="shared" si="17"/>
        <v/>
      </c>
      <c r="BW808" s="108" t="str">
        <f t="shared" si="16"/>
        <v/>
      </c>
      <c r="BX808" s="102" t="str">
        <f t="shared" si="15"/>
        <v/>
      </c>
      <c r="BY808" s="107" t="str">
        <f t="shared" si="5"/>
        <v/>
      </c>
      <c r="BZ808" s="107" t="str">
        <f t="array" ref="BZ808">IF($A808&lt;&gt;"",INDEX(LISTA!$M$2:$N$27,MATCH($BC808,LISTA!$N$2:$N$27,0),1),"")</f>
        <v/>
      </c>
      <c r="CA808" s="67" t="str">
        <f t="shared" si="6"/>
        <v/>
      </c>
      <c r="CB808" s="114" t="str">
        <f t="shared" si="7"/>
        <v/>
      </c>
      <c r="CC808" s="114"/>
    </row>
    <row r="809" ht="22.5" customHeight="1">
      <c r="A809" s="59"/>
      <c r="B809" s="115"/>
      <c r="C809" s="54"/>
      <c r="D809" s="56"/>
      <c r="E809" s="69"/>
      <c r="F809" s="73"/>
      <c r="G809" s="79"/>
      <c r="H809" s="79"/>
      <c r="I809" s="67"/>
      <c r="J809" s="79"/>
      <c r="K809" s="67"/>
      <c r="L809" s="79"/>
      <c r="M809" s="83"/>
      <c r="N809" s="78"/>
      <c r="O809" s="80"/>
      <c r="P809" s="70"/>
      <c r="Q809" s="54"/>
      <c r="R809" s="67"/>
      <c r="S809" s="67"/>
      <c r="T809" s="54"/>
      <c r="U809" s="86"/>
      <c r="V809" s="54"/>
      <c r="W809" s="86"/>
      <c r="X809" s="54"/>
      <c r="Y809" s="78"/>
      <c r="Z809" s="54"/>
      <c r="AA809" s="70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54"/>
      <c r="AR809" s="83"/>
      <c r="AS809" s="83"/>
      <c r="AT809" s="93"/>
      <c r="AU809" s="93"/>
      <c r="AV809" s="93"/>
      <c r="AW809" s="83"/>
      <c r="AX809" s="83"/>
      <c r="AY809" s="83"/>
      <c r="AZ809" s="83"/>
      <c r="BA809" s="83"/>
      <c r="BB809" s="83"/>
      <c r="BC809" s="54"/>
      <c r="BD809" s="54" t="str">
        <f t="shared" si="1"/>
        <v/>
      </c>
      <c r="BE809" s="67"/>
      <c r="BF809" s="67"/>
      <c r="BG809" s="67"/>
      <c r="BH809" s="67"/>
      <c r="BI809" s="67"/>
      <c r="BJ809" s="67"/>
      <c r="BK809" s="67"/>
      <c r="BL809" s="67"/>
      <c r="BM809" s="67"/>
      <c r="BN809" s="100"/>
      <c r="BO809" s="102"/>
      <c r="BP809" s="67"/>
      <c r="BQ809" s="79"/>
      <c r="BR809" s="67"/>
      <c r="BS809" s="102"/>
      <c r="BT809" s="106"/>
      <c r="BU809" s="107"/>
      <c r="BV809" s="108" t="str">
        <f t="shared" si="17"/>
        <v/>
      </c>
      <c r="BW809" s="108" t="str">
        <f t="shared" si="16"/>
        <v/>
      </c>
      <c r="BX809" s="102" t="str">
        <f t="shared" si="15"/>
        <v/>
      </c>
      <c r="BY809" s="107" t="str">
        <f t="shared" si="5"/>
        <v/>
      </c>
      <c r="BZ809" s="107" t="str">
        <f t="array" ref="BZ809">IF($A809&lt;&gt;"",INDEX(LISTA!$M$2:$N$27,MATCH($BC809,LISTA!$N$2:$N$27,0),1),"")</f>
        <v/>
      </c>
      <c r="CA809" s="67" t="str">
        <f t="shared" si="6"/>
        <v/>
      </c>
      <c r="CB809" s="114" t="str">
        <f t="shared" si="7"/>
        <v/>
      </c>
      <c r="CC809" s="114"/>
    </row>
    <row r="810" ht="22.5" customHeight="1">
      <c r="A810" s="59"/>
      <c r="B810" s="115"/>
      <c r="C810" s="54"/>
      <c r="D810" s="56"/>
      <c r="E810" s="69"/>
      <c r="F810" s="73"/>
      <c r="G810" s="79"/>
      <c r="H810" s="79"/>
      <c r="I810" s="67"/>
      <c r="J810" s="79"/>
      <c r="K810" s="67"/>
      <c r="L810" s="79"/>
      <c r="M810" s="83"/>
      <c r="N810" s="78"/>
      <c r="O810" s="80"/>
      <c r="P810" s="70"/>
      <c r="Q810" s="54"/>
      <c r="R810" s="67"/>
      <c r="S810" s="67"/>
      <c r="T810" s="54"/>
      <c r="U810" s="86"/>
      <c r="V810" s="54"/>
      <c r="W810" s="86"/>
      <c r="X810" s="54"/>
      <c r="Y810" s="78"/>
      <c r="Z810" s="54"/>
      <c r="AA810" s="70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54"/>
      <c r="AR810" s="83"/>
      <c r="AS810" s="83"/>
      <c r="AT810" s="93"/>
      <c r="AU810" s="93"/>
      <c r="AV810" s="93"/>
      <c r="AW810" s="83"/>
      <c r="AX810" s="83"/>
      <c r="AY810" s="83"/>
      <c r="AZ810" s="83"/>
      <c r="BA810" s="83"/>
      <c r="BB810" s="83"/>
      <c r="BC810" s="54"/>
      <c r="BD810" s="54" t="str">
        <f t="shared" si="1"/>
        <v/>
      </c>
      <c r="BE810" s="67"/>
      <c r="BF810" s="67"/>
      <c r="BG810" s="67"/>
      <c r="BH810" s="67"/>
      <c r="BI810" s="67"/>
      <c r="BJ810" s="67"/>
      <c r="BK810" s="67"/>
      <c r="BL810" s="67"/>
      <c r="BM810" s="67"/>
      <c r="BN810" s="100"/>
      <c r="BO810" s="102"/>
      <c r="BP810" s="67"/>
      <c r="BQ810" s="79"/>
      <c r="BR810" s="67"/>
      <c r="BS810" s="102"/>
      <c r="BT810" s="106"/>
      <c r="BU810" s="107"/>
      <c r="BV810" s="108" t="str">
        <f t="shared" si="17"/>
        <v/>
      </c>
      <c r="BW810" s="108" t="str">
        <f t="shared" si="16"/>
        <v/>
      </c>
      <c r="BX810" s="102" t="str">
        <f t="shared" si="15"/>
        <v/>
      </c>
      <c r="BY810" s="107" t="str">
        <f t="shared" si="5"/>
        <v/>
      </c>
      <c r="BZ810" s="107" t="str">
        <f t="array" ref="BZ810">IF($A810&lt;&gt;"",INDEX(LISTA!$M$2:$N$27,MATCH($BC810,LISTA!$N$2:$N$27,0),1),"")</f>
        <v/>
      </c>
      <c r="CA810" s="67" t="str">
        <f t="shared" si="6"/>
        <v/>
      </c>
      <c r="CB810" s="114" t="str">
        <f t="shared" si="7"/>
        <v/>
      </c>
      <c r="CC810" s="114"/>
    </row>
    <row r="811" ht="22.5" customHeight="1">
      <c r="A811" s="59"/>
      <c r="B811" s="115"/>
      <c r="C811" s="54"/>
      <c r="D811" s="56"/>
      <c r="E811" s="69"/>
      <c r="F811" s="73"/>
      <c r="G811" s="79"/>
      <c r="H811" s="79"/>
      <c r="I811" s="67"/>
      <c r="J811" s="79"/>
      <c r="K811" s="67"/>
      <c r="L811" s="79"/>
      <c r="M811" s="83"/>
      <c r="N811" s="78"/>
      <c r="O811" s="80"/>
      <c r="P811" s="70"/>
      <c r="Q811" s="54"/>
      <c r="R811" s="67"/>
      <c r="S811" s="67"/>
      <c r="T811" s="54"/>
      <c r="U811" s="86"/>
      <c r="V811" s="54"/>
      <c r="W811" s="86"/>
      <c r="X811" s="54"/>
      <c r="Y811" s="78"/>
      <c r="Z811" s="54"/>
      <c r="AA811" s="70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54"/>
      <c r="AR811" s="83"/>
      <c r="AS811" s="83"/>
      <c r="AT811" s="93"/>
      <c r="AU811" s="93"/>
      <c r="AV811" s="93"/>
      <c r="AW811" s="83"/>
      <c r="AX811" s="83"/>
      <c r="AY811" s="83"/>
      <c r="AZ811" s="83"/>
      <c r="BA811" s="83"/>
      <c r="BB811" s="83"/>
      <c r="BC811" s="54"/>
      <c r="BD811" s="54" t="str">
        <f t="shared" si="1"/>
        <v/>
      </c>
      <c r="BE811" s="67"/>
      <c r="BF811" s="67"/>
      <c r="BG811" s="67"/>
      <c r="BH811" s="67"/>
      <c r="BI811" s="67"/>
      <c r="BJ811" s="67"/>
      <c r="BK811" s="67"/>
      <c r="BL811" s="67"/>
      <c r="BM811" s="67"/>
      <c r="BN811" s="100"/>
      <c r="BO811" s="102"/>
      <c r="BP811" s="67"/>
      <c r="BQ811" s="79"/>
      <c r="BR811" s="67"/>
      <c r="BS811" s="102"/>
      <c r="BT811" s="106"/>
      <c r="BU811" s="107"/>
      <c r="BV811" s="108" t="str">
        <f t="shared" si="17"/>
        <v/>
      </c>
      <c r="BW811" s="108" t="str">
        <f t="shared" si="16"/>
        <v/>
      </c>
      <c r="BX811" s="102" t="str">
        <f t="shared" si="15"/>
        <v/>
      </c>
      <c r="BY811" s="107" t="str">
        <f t="shared" si="5"/>
        <v/>
      </c>
      <c r="BZ811" s="107" t="str">
        <f t="array" ref="BZ811">IF($A811&lt;&gt;"",INDEX(LISTA!$M$2:$N$27,MATCH($BC811,LISTA!$N$2:$N$27,0),1),"")</f>
        <v/>
      </c>
      <c r="CA811" s="67" t="str">
        <f t="shared" si="6"/>
        <v/>
      </c>
      <c r="CB811" s="114" t="str">
        <f t="shared" si="7"/>
        <v/>
      </c>
      <c r="CC811" s="114"/>
    </row>
    <row r="812" ht="22.5" customHeight="1">
      <c r="A812" s="59"/>
      <c r="B812" s="115"/>
      <c r="C812" s="54"/>
      <c r="D812" s="56"/>
      <c r="E812" s="69"/>
      <c r="F812" s="73"/>
      <c r="G812" s="79"/>
      <c r="H812" s="79"/>
      <c r="I812" s="67"/>
      <c r="J812" s="79"/>
      <c r="K812" s="67"/>
      <c r="L812" s="79"/>
      <c r="M812" s="83"/>
      <c r="N812" s="78"/>
      <c r="O812" s="80"/>
      <c r="P812" s="70"/>
      <c r="Q812" s="54"/>
      <c r="R812" s="67"/>
      <c r="S812" s="67"/>
      <c r="T812" s="54"/>
      <c r="U812" s="86"/>
      <c r="V812" s="54"/>
      <c r="W812" s="86"/>
      <c r="X812" s="54"/>
      <c r="Y812" s="78"/>
      <c r="Z812" s="54"/>
      <c r="AA812" s="70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54"/>
      <c r="AR812" s="83"/>
      <c r="AS812" s="83"/>
      <c r="AT812" s="93"/>
      <c r="AU812" s="93"/>
      <c r="AV812" s="93"/>
      <c r="AW812" s="83"/>
      <c r="AX812" s="83"/>
      <c r="AY812" s="83"/>
      <c r="AZ812" s="83"/>
      <c r="BA812" s="83"/>
      <c r="BB812" s="83"/>
      <c r="BC812" s="54"/>
      <c r="BD812" s="54" t="str">
        <f t="shared" si="1"/>
        <v/>
      </c>
      <c r="BE812" s="67"/>
      <c r="BF812" s="67"/>
      <c r="BG812" s="67"/>
      <c r="BH812" s="67"/>
      <c r="BI812" s="67"/>
      <c r="BJ812" s="67"/>
      <c r="BK812" s="67"/>
      <c r="BL812" s="67"/>
      <c r="BM812" s="67"/>
      <c r="BN812" s="100"/>
      <c r="BO812" s="102"/>
      <c r="BP812" s="67"/>
      <c r="BQ812" s="79"/>
      <c r="BR812" s="67"/>
      <c r="BS812" s="102"/>
      <c r="BT812" s="106"/>
      <c r="BU812" s="107"/>
      <c r="BV812" s="108" t="str">
        <f t="shared" si="17"/>
        <v/>
      </c>
      <c r="BW812" s="108" t="str">
        <f t="shared" si="16"/>
        <v/>
      </c>
      <c r="BX812" s="102" t="str">
        <f t="shared" si="15"/>
        <v/>
      </c>
      <c r="BY812" s="107" t="str">
        <f t="shared" si="5"/>
        <v/>
      </c>
      <c r="BZ812" s="107" t="str">
        <f t="array" ref="BZ812">IF($A812&lt;&gt;"",INDEX(LISTA!$M$2:$N$27,MATCH($BC812,LISTA!$N$2:$N$27,0),1),"")</f>
        <v/>
      </c>
      <c r="CA812" s="67" t="str">
        <f t="shared" si="6"/>
        <v/>
      </c>
      <c r="CB812" s="114" t="str">
        <f t="shared" si="7"/>
        <v/>
      </c>
      <c r="CC812" s="114"/>
    </row>
    <row r="813" ht="22.5" customHeight="1">
      <c r="A813" s="59"/>
      <c r="B813" s="115"/>
      <c r="C813" s="54"/>
      <c r="D813" s="56"/>
      <c r="E813" s="69"/>
      <c r="F813" s="73"/>
      <c r="G813" s="79"/>
      <c r="H813" s="79"/>
      <c r="I813" s="67"/>
      <c r="J813" s="79"/>
      <c r="K813" s="67"/>
      <c r="L813" s="79"/>
      <c r="M813" s="83"/>
      <c r="N813" s="78"/>
      <c r="O813" s="80"/>
      <c r="P813" s="70"/>
      <c r="Q813" s="54"/>
      <c r="R813" s="67"/>
      <c r="S813" s="67"/>
      <c r="T813" s="54"/>
      <c r="U813" s="86"/>
      <c r="V813" s="54"/>
      <c r="W813" s="86"/>
      <c r="X813" s="54"/>
      <c r="Y813" s="78"/>
      <c r="Z813" s="54"/>
      <c r="AA813" s="70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54"/>
      <c r="AR813" s="83"/>
      <c r="AS813" s="83"/>
      <c r="AT813" s="93"/>
      <c r="AU813" s="93"/>
      <c r="AV813" s="93"/>
      <c r="AW813" s="83"/>
      <c r="AX813" s="83"/>
      <c r="AY813" s="83"/>
      <c r="AZ813" s="83"/>
      <c r="BA813" s="83"/>
      <c r="BB813" s="83"/>
      <c r="BC813" s="54"/>
      <c r="BD813" s="54" t="str">
        <f t="shared" si="1"/>
        <v/>
      </c>
      <c r="BE813" s="67"/>
      <c r="BF813" s="67"/>
      <c r="BG813" s="67"/>
      <c r="BH813" s="67"/>
      <c r="BI813" s="67"/>
      <c r="BJ813" s="67"/>
      <c r="BK813" s="67"/>
      <c r="BL813" s="67"/>
      <c r="BM813" s="67"/>
      <c r="BN813" s="100"/>
      <c r="BO813" s="102"/>
      <c r="BP813" s="67"/>
      <c r="BQ813" s="79"/>
      <c r="BR813" s="67"/>
      <c r="BS813" s="102"/>
      <c r="BT813" s="106"/>
      <c r="BU813" s="107"/>
      <c r="BV813" s="108" t="str">
        <f t="shared" si="17"/>
        <v/>
      </c>
      <c r="BW813" s="108" t="str">
        <f t="shared" si="16"/>
        <v/>
      </c>
      <c r="BX813" s="102" t="str">
        <f t="shared" si="15"/>
        <v/>
      </c>
      <c r="BY813" s="107" t="str">
        <f t="shared" si="5"/>
        <v/>
      </c>
      <c r="BZ813" s="107" t="str">
        <f t="array" ref="BZ813">IF($A813&lt;&gt;"",INDEX(LISTA!$M$2:$N$27,MATCH($BC813,LISTA!$N$2:$N$27,0),1),"")</f>
        <v/>
      </c>
      <c r="CA813" s="67" t="str">
        <f t="shared" si="6"/>
        <v/>
      </c>
      <c r="CB813" s="114" t="str">
        <f t="shared" si="7"/>
        <v/>
      </c>
      <c r="CC813" s="114"/>
    </row>
    <row r="814" ht="22.5" customHeight="1">
      <c r="A814" s="59"/>
      <c r="B814" s="115"/>
      <c r="C814" s="54"/>
      <c r="D814" s="56"/>
      <c r="E814" s="69"/>
      <c r="F814" s="73"/>
      <c r="G814" s="79"/>
      <c r="H814" s="79"/>
      <c r="I814" s="67"/>
      <c r="J814" s="79"/>
      <c r="K814" s="67"/>
      <c r="L814" s="79"/>
      <c r="M814" s="83"/>
      <c r="N814" s="78"/>
      <c r="O814" s="80"/>
      <c r="P814" s="70"/>
      <c r="Q814" s="54"/>
      <c r="R814" s="67"/>
      <c r="S814" s="67"/>
      <c r="T814" s="54"/>
      <c r="U814" s="86"/>
      <c r="V814" s="54"/>
      <c r="W814" s="86"/>
      <c r="X814" s="54"/>
      <c r="Y814" s="78"/>
      <c r="Z814" s="54"/>
      <c r="AA814" s="70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54"/>
      <c r="AR814" s="83"/>
      <c r="AS814" s="83"/>
      <c r="AT814" s="93"/>
      <c r="AU814" s="93"/>
      <c r="AV814" s="93"/>
      <c r="AW814" s="83"/>
      <c r="AX814" s="83"/>
      <c r="AY814" s="83"/>
      <c r="AZ814" s="83"/>
      <c r="BA814" s="83"/>
      <c r="BB814" s="83"/>
      <c r="BC814" s="54"/>
      <c r="BD814" s="54" t="str">
        <f t="shared" si="1"/>
        <v/>
      </c>
      <c r="BE814" s="67"/>
      <c r="BF814" s="67"/>
      <c r="BG814" s="67"/>
      <c r="BH814" s="67"/>
      <c r="BI814" s="67"/>
      <c r="BJ814" s="67"/>
      <c r="BK814" s="67"/>
      <c r="BL814" s="67"/>
      <c r="BM814" s="67"/>
      <c r="BN814" s="100"/>
      <c r="BO814" s="102"/>
      <c r="BP814" s="67"/>
      <c r="BQ814" s="79"/>
      <c r="BR814" s="67"/>
      <c r="BS814" s="102"/>
      <c r="BT814" s="106"/>
      <c r="BU814" s="107"/>
      <c r="BV814" s="108" t="str">
        <f t="shared" si="17"/>
        <v/>
      </c>
      <c r="BW814" s="108" t="str">
        <f t="shared" si="16"/>
        <v/>
      </c>
      <c r="BX814" s="102" t="str">
        <f t="shared" si="15"/>
        <v/>
      </c>
      <c r="BY814" s="107" t="str">
        <f t="shared" si="5"/>
        <v/>
      </c>
      <c r="BZ814" s="107" t="str">
        <f t="array" ref="BZ814">IF($A814&lt;&gt;"",INDEX(LISTA!$M$2:$N$27,MATCH($BC814,LISTA!$N$2:$N$27,0),1),"")</f>
        <v/>
      </c>
      <c r="CA814" s="67" t="str">
        <f t="shared" si="6"/>
        <v/>
      </c>
      <c r="CB814" s="114" t="str">
        <f t="shared" si="7"/>
        <v/>
      </c>
      <c r="CC814" s="114"/>
    </row>
    <row r="815" ht="22.5" customHeight="1">
      <c r="A815" s="59"/>
      <c r="B815" s="115"/>
      <c r="C815" s="54"/>
      <c r="D815" s="56"/>
      <c r="E815" s="69"/>
      <c r="F815" s="73"/>
      <c r="G815" s="79"/>
      <c r="H815" s="79"/>
      <c r="I815" s="67"/>
      <c r="J815" s="79"/>
      <c r="K815" s="67"/>
      <c r="L815" s="79"/>
      <c r="M815" s="83"/>
      <c r="N815" s="78"/>
      <c r="O815" s="80"/>
      <c r="P815" s="70"/>
      <c r="Q815" s="54"/>
      <c r="R815" s="67"/>
      <c r="S815" s="67"/>
      <c r="T815" s="54"/>
      <c r="U815" s="86"/>
      <c r="V815" s="54"/>
      <c r="W815" s="86"/>
      <c r="X815" s="54"/>
      <c r="Y815" s="78"/>
      <c r="Z815" s="54"/>
      <c r="AA815" s="70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54"/>
      <c r="AR815" s="83"/>
      <c r="AS815" s="83"/>
      <c r="AT815" s="93"/>
      <c r="AU815" s="93"/>
      <c r="AV815" s="93"/>
      <c r="AW815" s="83"/>
      <c r="AX815" s="83"/>
      <c r="AY815" s="83"/>
      <c r="AZ815" s="83"/>
      <c r="BA815" s="83"/>
      <c r="BB815" s="83"/>
      <c r="BC815" s="54"/>
      <c r="BD815" s="54" t="str">
        <f t="shared" si="1"/>
        <v/>
      </c>
      <c r="BE815" s="67"/>
      <c r="BF815" s="67"/>
      <c r="BG815" s="67"/>
      <c r="BH815" s="67"/>
      <c r="BI815" s="67"/>
      <c r="BJ815" s="67"/>
      <c r="BK815" s="67"/>
      <c r="BL815" s="67"/>
      <c r="BM815" s="67"/>
      <c r="BN815" s="100"/>
      <c r="BO815" s="102"/>
      <c r="BP815" s="67"/>
      <c r="BQ815" s="79"/>
      <c r="BR815" s="67"/>
      <c r="BS815" s="102"/>
      <c r="BT815" s="106"/>
      <c r="BU815" s="107"/>
      <c r="BV815" s="108" t="str">
        <f t="shared" si="17"/>
        <v/>
      </c>
      <c r="BW815" s="108" t="str">
        <f t="shared" si="16"/>
        <v/>
      </c>
      <c r="BX815" s="102" t="str">
        <f t="shared" si="15"/>
        <v/>
      </c>
      <c r="BY815" s="107" t="str">
        <f t="shared" si="5"/>
        <v/>
      </c>
      <c r="BZ815" s="107" t="str">
        <f t="array" ref="BZ815">IF($A815&lt;&gt;"",INDEX(LISTA!$M$2:$N$27,MATCH($BC815,LISTA!$N$2:$N$27,0),1),"")</f>
        <v/>
      </c>
      <c r="CA815" s="67" t="str">
        <f t="shared" si="6"/>
        <v/>
      </c>
      <c r="CB815" s="114" t="str">
        <f t="shared" si="7"/>
        <v/>
      </c>
      <c r="CC815" s="114"/>
    </row>
    <row r="816" ht="22.5" customHeight="1">
      <c r="A816" s="59"/>
      <c r="B816" s="115"/>
      <c r="C816" s="54"/>
      <c r="D816" s="56"/>
      <c r="E816" s="69"/>
      <c r="F816" s="73"/>
      <c r="G816" s="79"/>
      <c r="H816" s="79"/>
      <c r="I816" s="67"/>
      <c r="J816" s="79"/>
      <c r="K816" s="67"/>
      <c r="L816" s="79"/>
      <c r="M816" s="83"/>
      <c r="N816" s="78"/>
      <c r="O816" s="80"/>
      <c r="P816" s="70"/>
      <c r="Q816" s="54"/>
      <c r="R816" s="67"/>
      <c r="S816" s="67"/>
      <c r="T816" s="54"/>
      <c r="U816" s="86"/>
      <c r="V816" s="54"/>
      <c r="W816" s="86"/>
      <c r="X816" s="54"/>
      <c r="Y816" s="78"/>
      <c r="Z816" s="54"/>
      <c r="AA816" s="70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54"/>
      <c r="AR816" s="83"/>
      <c r="AS816" s="83"/>
      <c r="AT816" s="93"/>
      <c r="AU816" s="93"/>
      <c r="AV816" s="93"/>
      <c r="AW816" s="83"/>
      <c r="AX816" s="83"/>
      <c r="AY816" s="83"/>
      <c r="AZ816" s="83"/>
      <c r="BA816" s="83"/>
      <c r="BB816" s="83"/>
      <c r="BC816" s="54"/>
      <c r="BD816" s="54" t="str">
        <f t="shared" si="1"/>
        <v/>
      </c>
      <c r="BE816" s="67"/>
      <c r="BF816" s="67"/>
      <c r="BG816" s="67"/>
      <c r="BH816" s="67"/>
      <c r="BI816" s="67"/>
      <c r="BJ816" s="67"/>
      <c r="BK816" s="67"/>
      <c r="BL816" s="67"/>
      <c r="BM816" s="67"/>
      <c r="BN816" s="100"/>
      <c r="BO816" s="102"/>
      <c r="BP816" s="67"/>
      <c r="BQ816" s="79"/>
      <c r="BR816" s="67"/>
      <c r="BS816" s="102"/>
      <c r="BT816" s="106"/>
      <c r="BU816" s="107"/>
      <c r="BV816" s="108" t="str">
        <f t="shared" si="17"/>
        <v/>
      </c>
      <c r="BW816" s="108" t="str">
        <f t="shared" si="16"/>
        <v/>
      </c>
      <c r="BX816" s="102" t="str">
        <f t="shared" si="15"/>
        <v/>
      </c>
      <c r="BY816" s="107" t="str">
        <f t="shared" si="5"/>
        <v/>
      </c>
      <c r="BZ816" s="107" t="str">
        <f t="array" ref="BZ816">IF($A816&lt;&gt;"",INDEX(LISTA!$M$2:$N$27,MATCH($BC816,LISTA!$N$2:$N$27,0),1),"")</f>
        <v/>
      </c>
      <c r="CA816" s="67" t="str">
        <f t="shared" si="6"/>
        <v/>
      </c>
      <c r="CB816" s="114" t="str">
        <f t="shared" si="7"/>
        <v/>
      </c>
      <c r="CC816" s="114"/>
    </row>
    <row r="817" ht="22.5" customHeight="1">
      <c r="A817" s="59"/>
      <c r="B817" s="115"/>
      <c r="C817" s="54"/>
      <c r="D817" s="56"/>
      <c r="E817" s="69"/>
      <c r="F817" s="73"/>
      <c r="G817" s="79"/>
      <c r="H817" s="79"/>
      <c r="I817" s="67"/>
      <c r="J817" s="79"/>
      <c r="K817" s="67"/>
      <c r="L817" s="79"/>
      <c r="M817" s="83"/>
      <c r="N817" s="78"/>
      <c r="O817" s="80"/>
      <c r="P817" s="70"/>
      <c r="Q817" s="54"/>
      <c r="R817" s="67"/>
      <c r="S817" s="67"/>
      <c r="T817" s="54"/>
      <c r="U817" s="86"/>
      <c r="V817" s="54"/>
      <c r="W817" s="86"/>
      <c r="X817" s="54"/>
      <c r="Y817" s="78"/>
      <c r="Z817" s="54"/>
      <c r="AA817" s="70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54"/>
      <c r="AR817" s="83"/>
      <c r="AS817" s="83"/>
      <c r="AT817" s="93"/>
      <c r="AU817" s="93"/>
      <c r="AV817" s="93"/>
      <c r="AW817" s="83"/>
      <c r="AX817" s="83"/>
      <c r="AY817" s="83"/>
      <c r="AZ817" s="83"/>
      <c r="BA817" s="83"/>
      <c r="BB817" s="83"/>
      <c r="BC817" s="54"/>
      <c r="BD817" s="54" t="str">
        <f t="shared" si="1"/>
        <v/>
      </c>
      <c r="BE817" s="67"/>
      <c r="BF817" s="67"/>
      <c r="BG817" s="67"/>
      <c r="BH817" s="67"/>
      <c r="BI817" s="67"/>
      <c r="BJ817" s="67"/>
      <c r="BK817" s="67"/>
      <c r="BL817" s="67"/>
      <c r="BM817" s="67"/>
      <c r="BN817" s="100"/>
      <c r="BO817" s="102"/>
      <c r="BP817" s="67"/>
      <c r="BQ817" s="79"/>
      <c r="BR817" s="67"/>
      <c r="BS817" s="102"/>
      <c r="BT817" s="106"/>
      <c r="BU817" s="107"/>
      <c r="BV817" s="108" t="str">
        <f t="shared" si="17"/>
        <v/>
      </c>
      <c r="BW817" s="108" t="str">
        <f t="shared" si="16"/>
        <v/>
      </c>
      <c r="BX817" s="102" t="str">
        <f t="shared" si="15"/>
        <v/>
      </c>
      <c r="BY817" s="107" t="str">
        <f t="shared" si="5"/>
        <v/>
      </c>
      <c r="BZ817" s="107" t="str">
        <f t="array" ref="BZ817">IF($A817&lt;&gt;"",INDEX(LISTA!$M$2:$N$27,MATCH($BC817,LISTA!$N$2:$N$27,0),1),"")</f>
        <v/>
      </c>
      <c r="CA817" s="67" t="str">
        <f t="shared" si="6"/>
        <v/>
      </c>
      <c r="CB817" s="114" t="str">
        <f t="shared" si="7"/>
        <v/>
      </c>
      <c r="CC817" s="114"/>
    </row>
    <row r="818" ht="22.5" customHeight="1">
      <c r="A818" s="59"/>
      <c r="B818" s="115"/>
      <c r="C818" s="54"/>
      <c r="D818" s="56"/>
      <c r="E818" s="69"/>
      <c r="F818" s="73"/>
      <c r="G818" s="79"/>
      <c r="H818" s="79"/>
      <c r="I818" s="67"/>
      <c r="J818" s="79"/>
      <c r="K818" s="67"/>
      <c r="L818" s="79"/>
      <c r="M818" s="83"/>
      <c r="N818" s="78"/>
      <c r="O818" s="80"/>
      <c r="P818" s="70"/>
      <c r="Q818" s="54"/>
      <c r="R818" s="67"/>
      <c r="S818" s="67"/>
      <c r="T818" s="54"/>
      <c r="U818" s="86"/>
      <c r="V818" s="54"/>
      <c r="W818" s="86"/>
      <c r="X818" s="54"/>
      <c r="Y818" s="78"/>
      <c r="Z818" s="54"/>
      <c r="AA818" s="70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54"/>
      <c r="AR818" s="83"/>
      <c r="AS818" s="83"/>
      <c r="AT818" s="93"/>
      <c r="AU818" s="93"/>
      <c r="AV818" s="93"/>
      <c r="AW818" s="83"/>
      <c r="AX818" s="83"/>
      <c r="AY818" s="83"/>
      <c r="AZ818" s="83"/>
      <c r="BA818" s="83"/>
      <c r="BB818" s="83"/>
      <c r="BC818" s="54"/>
      <c r="BD818" s="54" t="str">
        <f t="shared" si="1"/>
        <v/>
      </c>
      <c r="BE818" s="67"/>
      <c r="BF818" s="67"/>
      <c r="BG818" s="67"/>
      <c r="BH818" s="67"/>
      <c r="BI818" s="67"/>
      <c r="BJ818" s="67"/>
      <c r="BK818" s="67"/>
      <c r="BL818" s="67"/>
      <c r="BM818" s="67"/>
      <c r="BN818" s="100"/>
      <c r="BO818" s="102"/>
      <c r="BP818" s="67"/>
      <c r="BQ818" s="79"/>
      <c r="BR818" s="67"/>
      <c r="BS818" s="102"/>
      <c r="BT818" s="106"/>
      <c r="BU818" s="107"/>
      <c r="BV818" s="108" t="str">
        <f t="shared" si="17"/>
        <v/>
      </c>
      <c r="BW818" s="108" t="str">
        <f t="shared" si="16"/>
        <v/>
      </c>
      <c r="BX818" s="102" t="str">
        <f t="shared" si="15"/>
        <v/>
      </c>
      <c r="BY818" s="107" t="str">
        <f t="shared" si="5"/>
        <v/>
      </c>
      <c r="BZ818" s="107" t="str">
        <f t="array" ref="BZ818">IF($A818&lt;&gt;"",INDEX(LISTA!$M$2:$N$27,MATCH($BC818,LISTA!$N$2:$N$27,0),1),"")</f>
        <v/>
      </c>
      <c r="CA818" s="67" t="str">
        <f t="shared" si="6"/>
        <v/>
      </c>
      <c r="CB818" s="114" t="str">
        <f t="shared" si="7"/>
        <v/>
      </c>
      <c r="CC818" s="114"/>
    </row>
    <row r="819" ht="22.5" customHeight="1">
      <c r="A819" s="59"/>
      <c r="B819" s="115"/>
      <c r="C819" s="54"/>
      <c r="D819" s="56"/>
      <c r="E819" s="69"/>
      <c r="F819" s="73"/>
      <c r="G819" s="79"/>
      <c r="H819" s="79"/>
      <c r="I819" s="67"/>
      <c r="J819" s="79"/>
      <c r="K819" s="67"/>
      <c r="L819" s="79"/>
      <c r="M819" s="83"/>
      <c r="N819" s="78"/>
      <c r="O819" s="80"/>
      <c r="P819" s="70"/>
      <c r="Q819" s="54"/>
      <c r="R819" s="67"/>
      <c r="S819" s="67"/>
      <c r="T819" s="54"/>
      <c r="U819" s="86"/>
      <c r="V819" s="54"/>
      <c r="W819" s="86"/>
      <c r="X819" s="54"/>
      <c r="Y819" s="78"/>
      <c r="Z819" s="54"/>
      <c r="AA819" s="70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54"/>
      <c r="AR819" s="83"/>
      <c r="AS819" s="83"/>
      <c r="AT819" s="93"/>
      <c r="AU819" s="93"/>
      <c r="AV819" s="93"/>
      <c r="AW819" s="83"/>
      <c r="AX819" s="83"/>
      <c r="AY819" s="83"/>
      <c r="AZ819" s="83"/>
      <c r="BA819" s="83"/>
      <c r="BB819" s="83"/>
      <c r="BC819" s="54"/>
      <c r="BD819" s="54" t="str">
        <f t="shared" si="1"/>
        <v/>
      </c>
      <c r="BE819" s="67"/>
      <c r="BF819" s="67"/>
      <c r="BG819" s="67"/>
      <c r="BH819" s="67"/>
      <c r="BI819" s="67"/>
      <c r="BJ819" s="67"/>
      <c r="BK819" s="67"/>
      <c r="BL819" s="67"/>
      <c r="BM819" s="67"/>
      <c r="BN819" s="100"/>
      <c r="BO819" s="102"/>
      <c r="BP819" s="67"/>
      <c r="BQ819" s="79"/>
      <c r="BR819" s="67"/>
      <c r="BS819" s="102"/>
      <c r="BT819" s="106"/>
      <c r="BU819" s="107"/>
      <c r="BV819" s="108" t="str">
        <f t="shared" si="17"/>
        <v/>
      </c>
      <c r="BW819" s="108" t="str">
        <f t="shared" si="16"/>
        <v/>
      </c>
      <c r="BX819" s="102" t="str">
        <f t="shared" si="15"/>
        <v/>
      </c>
      <c r="BY819" s="107" t="str">
        <f t="shared" si="5"/>
        <v/>
      </c>
      <c r="BZ819" s="107" t="str">
        <f t="array" ref="BZ819">IF($A819&lt;&gt;"",INDEX(LISTA!$M$2:$N$27,MATCH($BC819,LISTA!$N$2:$N$27,0),1),"")</f>
        <v/>
      </c>
      <c r="CA819" s="67" t="str">
        <f t="shared" si="6"/>
        <v/>
      </c>
      <c r="CB819" s="114" t="str">
        <f t="shared" si="7"/>
        <v/>
      </c>
      <c r="CC819" s="114"/>
    </row>
    <row r="820" ht="22.5" customHeight="1">
      <c r="A820" s="59"/>
      <c r="B820" s="115"/>
      <c r="C820" s="54"/>
      <c r="D820" s="56"/>
      <c r="E820" s="69"/>
      <c r="F820" s="73"/>
      <c r="G820" s="79"/>
      <c r="H820" s="79"/>
      <c r="I820" s="67"/>
      <c r="J820" s="79"/>
      <c r="K820" s="67"/>
      <c r="L820" s="79"/>
      <c r="M820" s="83"/>
      <c r="N820" s="78"/>
      <c r="O820" s="80"/>
      <c r="P820" s="70"/>
      <c r="Q820" s="54"/>
      <c r="R820" s="67"/>
      <c r="S820" s="67"/>
      <c r="T820" s="54"/>
      <c r="U820" s="86"/>
      <c r="V820" s="54"/>
      <c r="W820" s="86"/>
      <c r="X820" s="54"/>
      <c r="Y820" s="78"/>
      <c r="Z820" s="54"/>
      <c r="AA820" s="70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54"/>
      <c r="AR820" s="83"/>
      <c r="AS820" s="83"/>
      <c r="AT820" s="93"/>
      <c r="AU820" s="93"/>
      <c r="AV820" s="93"/>
      <c r="AW820" s="83"/>
      <c r="AX820" s="83"/>
      <c r="AY820" s="83"/>
      <c r="AZ820" s="83"/>
      <c r="BA820" s="83"/>
      <c r="BB820" s="83"/>
      <c r="BC820" s="54"/>
      <c r="BD820" s="54" t="str">
        <f t="shared" si="1"/>
        <v/>
      </c>
      <c r="BE820" s="67"/>
      <c r="BF820" s="67"/>
      <c r="BG820" s="67"/>
      <c r="BH820" s="67"/>
      <c r="BI820" s="67"/>
      <c r="BJ820" s="67"/>
      <c r="BK820" s="67"/>
      <c r="BL820" s="67"/>
      <c r="BM820" s="67"/>
      <c r="BN820" s="100"/>
      <c r="BO820" s="102"/>
      <c r="BP820" s="67"/>
      <c r="BQ820" s="79"/>
      <c r="BR820" s="67"/>
      <c r="BS820" s="102"/>
      <c r="BT820" s="106"/>
      <c r="BU820" s="107"/>
      <c r="BV820" s="108" t="str">
        <f t="shared" si="17"/>
        <v/>
      </c>
      <c r="BW820" s="108" t="str">
        <f t="shared" si="16"/>
        <v/>
      </c>
      <c r="BX820" s="102" t="str">
        <f t="shared" si="15"/>
        <v/>
      </c>
      <c r="BY820" s="107" t="str">
        <f t="shared" si="5"/>
        <v/>
      </c>
      <c r="BZ820" s="107" t="str">
        <f t="array" ref="BZ820">IF($A820&lt;&gt;"",INDEX(LISTA!$M$2:$N$27,MATCH($BC820,LISTA!$N$2:$N$27,0),1),"")</f>
        <v/>
      </c>
      <c r="CA820" s="67" t="str">
        <f t="shared" si="6"/>
        <v/>
      </c>
      <c r="CB820" s="114" t="str">
        <f t="shared" si="7"/>
        <v/>
      </c>
      <c r="CC820" s="114"/>
    </row>
    <row r="821" ht="22.5" customHeight="1">
      <c r="A821" s="59"/>
      <c r="B821" s="115"/>
      <c r="C821" s="54"/>
      <c r="D821" s="56"/>
      <c r="E821" s="69"/>
      <c r="F821" s="73"/>
      <c r="G821" s="79"/>
      <c r="H821" s="79"/>
      <c r="I821" s="67"/>
      <c r="J821" s="79"/>
      <c r="K821" s="67"/>
      <c r="L821" s="79"/>
      <c r="M821" s="83"/>
      <c r="N821" s="78"/>
      <c r="O821" s="80"/>
      <c r="P821" s="70"/>
      <c r="Q821" s="54"/>
      <c r="R821" s="67"/>
      <c r="S821" s="67"/>
      <c r="T821" s="54"/>
      <c r="U821" s="86"/>
      <c r="V821" s="54"/>
      <c r="W821" s="86"/>
      <c r="X821" s="54"/>
      <c r="Y821" s="78"/>
      <c r="Z821" s="54"/>
      <c r="AA821" s="70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54"/>
      <c r="AR821" s="83"/>
      <c r="AS821" s="83"/>
      <c r="AT821" s="93"/>
      <c r="AU821" s="93"/>
      <c r="AV821" s="93"/>
      <c r="AW821" s="83"/>
      <c r="AX821" s="83"/>
      <c r="AY821" s="83"/>
      <c r="AZ821" s="83"/>
      <c r="BA821" s="83"/>
      <c r="BB821" s="83"/>
      <c r="BC821" s="54"/>
      <c r="BD821" s="54" t="str">
        <f t="shared" si="1"/>
        <v/>
      </c>
      <c r="BE821" s="67"/>
      <c r="BF821" s="67"/>
      <c r="BG821" s="67"/>
      <c r="BH821" s="67"/>
      <c r="BI821" s="67"/>
      <c r="BJ821" s="67"/>
      <c r="BK821" s="67"/>
      <c r="BL821" s="67"/>
      <c r="BM821" s="67"/>
      <c r="BN821" s="100"/>
      <c r="BO821" s="102"/>
      <c r="BP821" s="67"/>
      <c r="BQ821" s="79"/>
      <c r="BR821" s="67"/>
      <c r="BS821" s="102"/>
      <c r="BT821" s="106"/>
      <c r="BU821" s="107"/>
      <c r="BV821" s="108" t="str">
        <f t="shared" si="17"/>
        <v/>
      </c>
      <c r="BW821" s="108" t="str">
        <f t="shared" si="16"/>
        <v/>
      </c>
      <c r="BX821" s="102" t="str">
        <f t="shared" si="15"/>
        <v/>
      </c>
      <c r="BY821" s="107" t="str">
        <f t="shared" si="5"/>
        <v/>
      </c>
      <c r="BZ821" s="107" t="str">
        <f t="array" ref="BZ821">IF($A821&lt;&gt;"",INDEX(LISTA!$M$2:$N$27,MATCH($BC821,LISTA!$N$2:$N$27,0),1),"")</f>
        <v/>
      </c>
      <c r="CA821" s="67" t="str">
        <f t="shared" si="6"/>
        <v/>
      </c>
      <c r="CB821" s="114" t="str">
        <f t="shared" si="7"/>
        <v/>
      </c>
      <c r="CC821" s="114"/>
    </row>
    <row r="822" ht="22.5" customHeight="1">
      <c r="A822" s="59"/>
      <c r="B822" s="115"/>
      <c r="C822" s="54"/>
      <c r="D822" s="56"/>
      <c r="E822" s="69"/>
      <c r="F822" s="73"/>
      <c r="G822" s="79"/>
      <c r="H822" s="79"/>
      <c r="I822" s="67"/>
      <c r="J822" s="79"/>
      <c r="K822" s="67"/>
      <c r="L822" s="79"/>
      <c r="M822" s="83"/>
      <c r="N822" s="78"/>
      <c r="O822" s="80"/>
      <c r="P822" s="70"/>
      <c r="Q822" s="54"/>
      <c r="R822" s="67"/>
      <c r="S822" s="67"/>
      <c r="T822" s="54"/>
      <c r="U822" s="86"/>
      <c r="V822" s="54"/>
      <c r="W822" s="86"/>
      <c r="X822" s="54"/>
      <c r="Y822" s="78"/>
      <c r="Z822" s="54"/>
      <c r="AA822" s="70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54"/>
      <c r="AR822" s="83"/>
      <c r="AS822" s="83"/>
      <c r="AT822" s="93"/>
      <c r="AU822" s="93"/>
      <c r="AV822" s="93"/>
      <c r="AW822" s="83"/>
      <c r="AX822" s="83"/>
      <c r="AY822" s="83"/>
      <c r="AZ822" s="83"/>
      <c r="BA822" s="83"/>
      <c r="BB822" s="83"/>
      <c r="BC822" s="54"/>
      <c r="BD822" s="54" t="str">
        <f t="shared" si="1"/>
        <v/>
      </c>
      <c r="BE822" s="67"/>
      <c r="BF822" s="67"/>
      <c r="BG822" s="67"/>
      <c r="BH822" s="67"/>
      <c r="BI822" s="67"/>
      <c r="BJ822" s="67"/>
      <c r="BK822" s="67"/>
      <c r="BL822" s="67"/>
      <c r="BM822" s="67"/>
      <c r="BN822" s="100"/>
      <c r="BO822" s="102"/>
      <c r="BP822" s="67"/>
      <c r="BQ822" s="79"/>
      <c r="BR822" s="67"/>
      <c r="BS822" s="102"/>
      <c r="BT822" s="106"/>
      <c r="BU822" s="107"/>
      <c r="BV822" s="108" t="str">
        <f t="shared" si="17"/>
        <v/>
      </c>
      <c r="BW822" s="108" t="str">
        <f t="shared" si="16"/>
        <v/>
      </c>
      <c r="BX822" s="102" t="str">
        <f t="shared" si="15"/>
        <v/>
      </c>
      <c r="BY822" s="107" t="str">
        <f t="shared" si="5"/>
        <v/>
      </c>
      <c r="BZ822" s="107" t="str">
        <f t="array" ref="BZ822">IF($A822&lt;&gt;"",INDEX(LISTA!$M$2:$N$27,MATCH($BC822,LISTA!$N$2:$N$27,0),1),"")</f>
        <v/>
      </c>
      <c r="CA822" s="67" t="str">
        <f t="shared" si="6"/>
        <v/>
      </c>
      <c r="CB822" s="114" t="str">
        <f t="shared" si="7"/>
        <v/>
      </c>
      <c r="CC822" s="114"/>
    </row>
    <row r="823" ht="22.5" customHeight="1">
      <c r="A823" s="59"/>
      <c r="B823" s="115"/>
      <c r="C823" s="54"/>
      <c r="D823" s="56"/>
      <c r="E823" s="69"/>
      <c r="F823" s="73"/>
      <c r="G823" s="79"/>
      <c r="H823" s="79"/>
      <c r="I823" s="67"/>
      <c r="J823" s="79"/>
      <c r="K823" s="67"/>
      <c r="L823" s="79"/>
      <c r="M823" s="83"/>
      <c r="N823" s="78"/>
      <c r="O823" s="80"/>
      <c r="P823" s="70"/>
      <c r="Q823" s="54"/>
      <c r="R823" s="67"/>
      <c r="S823" s="67"/>
      <c r="T823" s="54"/>
      <c r="U823" s="86"/>
      <c r="V823" s="54"/>
      <c r="W823" s="86"/>
      <c r="X823" s="54"/>
      <c r="Y823" s="78"/>
      <c r="Z823" s="54"/>
      <c r="AA823" s="70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54"/>
      <c r="AR823" s="83"/>
      <c r="AS823" s="83"/>
      <c r="AT823" s="93"/>
      <c r="AU823" s="93"/>
      <c r="AV823" s="93"/>
      <c r="AW823" s="83"/>
      <c r="AX823" s="83"/>
      <c r="AY823" s="83"/>
      <c r="AZ823" s="83"/>
      <c r="BA823" s="83"/>
      <c r="BB823" s="83"/>
      <c r="BC823" s="54"/>
      <c r="BD823" s="54" t="str">
        <f t="shared" si="1"/>
        <v/>
      </c>
      <c r="BE823" s="67"/>
      <c r="BF823" s="67"/>
      <c r="BG823" s="67"/>
      <c r="BH823" s="67"/>
      <c r="BI823" s="67"/>
      <c r="BJ823" s="67"/>
      <c r="BK823" s="67"/>
      <c r="BL823" s="67"/>
      <c r="BM823" s="67"/>
      <c r="BN823" s="100"/>
      <c r="BO823" s="102"/>
      <c r="BP823" s="67"/>
      <c r="BQ823" s="79"/>
      <c r="BR823" s="67"/>
      <c r="BS823" s="102"/>
      <c r="BT823" s="106"/>
      <c r="BU823" s="107"/>
      <c r="BV823" s="108" t="str">
        <f t="shared" si="17"/>
        <v/>
      </c>
      <c r="BW823" s="108" t="str">
        <f t="shared" si="16"/>
        <v/>
      </c>
      <c r="BX823" s="102" t="str">
        <f t="shared" si="15"/>
        <v/>
      </c>
      <c r="BY823" s="107" t="str">
        <f t="shared" si="5"/>
        <v/>
      </c>
      <c r="BZ823" s="107" t="str">
        <f t="array" ref="BZ823">IF($A823&lt;&gt;"",INDEX(LISTA!$M$2:$N$27,MATCH($BC823,LISTA!$N$2:$N$27,0),1),"")</f>
        <v/>
      </c>
      <c r="CA823" s="67" t="str">
        <f t="shared" si="6"/>
        <v/>
      </c>
      <c r="CB823" s="114" t="str">
        <f t="shared" si="7"/>
        <v/>
      </c>
      <c r="CC823" s="114"/>
    </row>
    <row r="824" ht="22.5" customHeight="1">
      <c r="A824" s="59"/>
      <c r="B824" s="115"/>
      <c r="C824" s="54"/>
      <c r="D824" s="56"/>
      <c r="E824" s="69"/>
      <c r="F824" s="73"/>
      <c r="G824" s="79"/>
      <c r="H824" s="79"/>
      <c r="I824" s="67"/>
      <c r="J824" s="79"/>
      <c r="K824" s="67"/>
      <c r="L824" s="79"/>
      <c r="M824" s="83"/>
      <c r="N824" s="78"/>
      <c r="O824" s="80"/>
      <c r="P824" s="70"/>
      <c r="Q824" s="54"/>
      <c r="R824" s="67"/>
      <c r="S824" s="67"/>
      <c r="T824" s="54"/>
      <c r="U824" s="86"/>
      <c r="V824" s="54"/>
      <c r="W824" s="86"/>
      <c r="X824" s="54"/>
      <c r="Y824" s="78"/>
      <c r="Z824" s="54"/>
      <c r="AA824" s="70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54"/>
      <c r="AR824" s="83"/>
      <c r="AS824" s="83"/>
      <c r="AT824" s="93"/>
      <c r="AU824" s="93"/>
      <c r="AV824" s="93"/>
      <c r="AW824" s="83"/>
      <c r="AX824" s="83"/>
      <c r="AY824" s="83"/>
      <c r="AZ824" s="83"/>
      <c r="BA824" s="83"/>
      <c r="BB824" s="83"/>
      <c r="BC824" s="54"/>
      <c r="BD824" s="54" t="str">
        <f t="shared" si="1"/>
        <v/>
      </c>
      <c r="BE824" s="67"/>
      <c r="BF824" s="67"/>
      <c r="BG824" s="67"/>
      <c r="BH824" s="67"/>
      <c r="BI824" s="67"/>
      <c r="BJ824" s="67"/>
      <c r="BK824" s="67"/>
      <c r="BL824" s="67"/>
      <c r="BM824" s="67"/>
      <c r="BN824" s="100"/>
      <c r="BO824" s="102"/>
      <c r="BP824" s="67"/>
      <c r="BQ824" s="79"/>
      <c r="BR824" s="67"/>
      <c r="BS824" s="102"/>
      <c r="BT824" s="106"/>
      <c r="BU824" s="107"/>
      <c r="BV824" s="108" t="str">
        <f t="shared" si="17"/>
        <v/>
      </c>
      <c r="BW824" s="108" t="str">
        <f t="shared" si="16"/>
        <v/>
      </c>
      <c r="BX824" s="102" t="str">
        <f t="shared" si="15"/>
        <v/>
      </c>
      <c r="BY824" s="107" t="str">
        <f t="shared" si="5"/>
        <v/>
      </c>
      <c r="BZ824" s="107" t="str">
        <f t="array" ref="BZ824">IF($A824&lt;&gt;"",INDEX(LISTA!$M$2:$N$27,MATCH($BC824,LISTA!$N$2:$N$27,0),1),"")</f>
        <v/>
      </c>
      <c r="CA824" s="67" t="str">
        <f t="shared" si="6"/>
        <v/>
      </c>
      <c r="CB824" s="114" t="str">
        <f t="shared" si="7"/>
        <v/>
      </c>
      <c r="CC824" s="114"/>
    </row>
    <row r="825" ht="22.5" customHeight="1">
      <c r="A825" s="59"/>
      <c r="B825" s="115"/>
      <c r="C825" s="54"/>
      <c r="D825" s="56"/>
      <c r="E825" s="69"/>
      <c r="F825" s="73"/>
      <c r="G825" s="79"/>
      <c r="H825" s="79"/>
      <c r="I825" s="67"/>
      <c r="J825" s="79"/>
      <c r="K825" s="67"/>
      <c r="L825" s="79"/>
      <c r="M825" s="83"/>
      <c r="N825" s="78"/>
      <c r="O825" s="80"/>
      <c r="P825" s="70"/>
      <c r="Q825" s="54"/>
      <c r="R825" s="67"/>
      <c r="S825" s="67"/>
      <c r="T825" s="54"/>
      <c r="U825" s="86"/>
      <c r="V825" s="54"/>
      <c r="W825" s="86"/>
      <c r="X825" s="54"/>
      <c r="Y825" s="78"/>
      <c r="Z825" s="54"/>
      <c r="AA825" s="70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54"/>
      <c r="AR825" s="83"/>
      <c r="AS825" s="83"/>
      <c r="AT825" s="93"/>
      <c r="AU825" s="93"/>
      <c r="AV825" s="93"/>
      <c r="AW825" s="83"/>
      <c r="AX825" s="83"/>
      <c r="AY825" s="83"/>
      <c r="AZ825" s="83"/>
      <c r="BA825" s="83"/>
      <c r="BB825" s="83"/>
      <c r="BC825" s="54"/>
      <c r="BD825" s="54" t="str">
        <f t="shared" si="1"/>
        <v/>
      </c>
      <c r="BE825" s="67"/>
      <c r="BF825" s="67"/>
      <c r="BG825" s="67"/>
      <c r="BH825" s="67"/>
      <c r="BI825" s="67"/>
      <c r="BJ825" s="67"/>
      <c r="BK825" s="67"/>
      <c r="BL825" s="67"/>
      <c r="BM825" s="67"/>
      <c r="BN825" s="100"/>
      <c r="BO825" s="102"/>
      <c r="BP825" s="67"/>
      <c r="BQ825" s="79"/>
      <c r="BR825" s="67"/>
      <c r="BS825" s="102"/>
      <c r="BT825" s="106"/>
      <c r="BU825" s="107"/>
      <c r="BV825" s="108" t="str">
        <f t="shared" si="17"/>
        <v/>
      </c>
      <c r="BW825" s="108" t="str">
        <f t="shared" si="16"/>
        <v/>
      </c>
      <c r="BX825" s="102" t="str">
        <f t="shared" si="15"/>
        <v/>
      </c>
      <c r="BY825" s="107" t="str">
        <f t="shared" si="5"/>
        <v/>
      </c>
      <c r="BZ825" s="107" t="str">
        <f t="array" ref="BZ825">IF($A825&lt;&gt;"",INDEX(LISTA!$M$2:$N$27,MATCH($BC825,LISTA!$N$2:$N$27,0),1),"")</f>
        <v/>
      </c>
      <c r="CA825" s="67" t="str">
        <f t="shared" si="6"/>
        <v/>
      </c>
      <c r="CB825" s="114" t="str">
        <f t="shared" si="7"/>
        <v/>
      </c>
      <c r="CC825" s="114"/>
    </row>
    <row r="826" ht="22.5" customHeight="1">
      <c r="A826" s="59"/>
      <c r="B826" s="115"/>
      <c r="C826" s="54"/>
      <c r="D826" s="56"/>
      <c r="E826" s="69"/>
      <c r="F826" s="73"/>
      <c r="G826" s="79"/>
      <c r="H826" s="79"/>
      <c r="I826" s="67"/>
      <c r="J826" s="79"/>
      <c r="K826" s="67"/>
      <c r="L826" s="79"/>
      <c r="M826" s="83"/>
      <c r="N826" s="78"/>
      <c r="O826" s="80"/>
      <c r="P826" s="70"/>
      <c r="Q826" s="54"/>
      <c r="R826" s="67"/>
      <c r="S826" s="67"/>
      <c r="T826" s="54"/>
      <c r="U826" s="86"/>
      <c r="V826" s="54"/>
      <c r="W826" s="86"/>
      <c r="X826" s="54"/>
      <c r="Y826" s="78"/>
      <c r="Z826" s="54"/>
      <c r="AA826" s="70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54"/>
      <c r="AR826" s="83"/>
      <c r="AS826" s="83"/>
      <c r="AT826" s="93"/>
      <c r="AU826" s="93"/>
      <c r="AV826" s="93"/>
      <c r="AW826" s="83"/>
      <c r="AX826" s="83"/>
      <c r="AY826" s="83"/>
      <c r="AZ826" s="83"/>
      <c r="BA826" s="83"/>
      <c r="BB826" s="83"/>
      <c r="BC826" s="54"/>
      <c r="BD826" s="54" t="str">
        <f t="shared" si="1"/>
        <v/>
      </c>
      <c r="BE826" s="67"/>
      <c r="BF826" s="67"/>
      <c r="BG826" s="67"/>
      <c r="BH826" s="67"/>
      <c r="BI826" s="67"/>
      <c r="BJ826" s="67"/>
      <c r="BK826" s="67"/>
      <c r="BL826" s="67"/>
      <c r="BM826" s="67"/>
      <c r="BN826" s="100"/>
      <c r="BO826" s="102"/>
      <c r="BP826" s="67"/>
      <c r="BQ826" s="79"/>
      <c r="BR826" s="67"/>
      <c r="BS826" s="102"/>
      <c r="BT826" s="106"/>
      <c r="BU826" s="107"/>
      <c r="BV826" s="108" t="str">
        <f t="shared" si="17"/>
        <v/>
      </c>
      <c r="BW826" s="108" t="str">
        <f t="shared" si="16"/>
        <v/>
      </c>
      <c r="BX826" s="102" t="str">
        <f t="shared" si="15"/>
        <v/>
      </c>
      <c r="BY826" s="107" t="str">
        <f t="shared" si="5"/>
        <v/>
      </c>
      <c r="BZ826" s="107" t="str">
        <f t="array" ref="BZ826">IF($A826&lt;&gt;"",INDEX(LISTA!$M$2:$N$27,MATCH($BC826,LISTA!$N$2:$N$27,0),1),"")</f>
        <v/>
      </c>
      <c r="CA826" s="67" t="str">
        <f t="shared" si="6"/>
        <v/>
      </c>
      <c r="CB826" s="114" t="str">
        <f t="shared" si="7"/>
        <v/>
      </c>
      <c r="CC826" s="114"/>
    </row>
    <row r="827" ht="22.5" customHeight="1">
      <c r="A827" s="59"/>
      <c r="B827" s="115"/>
      <c r="C827" s="54"/>
      <c r="D827" s="56"/>
      <c r="E827" s="69"/>
      <c r="F827" s="73"/>
      <c r="G827" s="79"/>
      <c r="H827" s="79"/>
      <c r="I827" s="67"/>
      <c r="J827" s="79"/>
      <c r="K827" s="67"/>
      <c r="L827" s="79"/>
      <c r="M827" s="83"/>
      <c r="N827" s="78"/>
      <c r="O827" s="80"/>
      <c r="P827" s="70"/>
      <c r="Q827" s="54"/>
      <c r="R827" s="67"/>
      <c r="S827" s="67"/>
      <c r="T827" s="54"/>
      <c r="U827" s="86"/>
      <c r="V827" s="54"/>
      <c r="W827" s="86"/>
      <c r="X827" s="54"/>
      <c r="Y827" s="78"/>
      <c r="Z827" s="54"/>
      <c r="AA827" s="70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54"/>
      <c r="AR827" s="83"/>
      <c r="AS827" s="83"/>
      <c r="AT827" s="93"/>
      <c r="AU827" s="93"/>
      <c r="AV827" s="93"/>
      <c r="AW827" s="83"/>
      <c r="AX827" s="83"/>
      <c r="AY827" s="83"/>
      <c r="AZ827" s="83"/>
      <c r="BA827" s="83"/>
      <c r="BB827" s="83"/>
      <c r="BC827" s="54"/>
      <c r="BD827" s="54" t="str">
        <f t="shared" si="1"/>
        <v/>
      </c>
      <c r="BE827" s="67"/>
      <c r="BF827" s="67"/>
      <c r="BG827" s="67"/>
      <c r="BH827" s="67"/>
      <c r="BI827" s="67"/>
      <c r="BJ827" s="67"/>
      <c r="BK827" s="67"/>
      <c r="BL827" s="67"/>
      <c r="BM827" s="67"/>
      <c r="BN827" s="100"/>
      <c r="BO827" s="102"/>
      <c r="BP827" s="67"/>
      <c r="BQ827" s="79"/>
      <c r="BR827" s="67"/>
      <c r="BS827" s="102"/>
      <c r="BT827" s="106"/>
      <c r="BU827" s="107"/>
      <c r="BV827" s="108" t="str">
        <f t="shared" si="17"/>
        <v/>
      </c>
      <c r="BW827" s="108" t="str">
        <f t="shared" si="16"/>
        <v/>
      </c>
      <c r="BX827" s="102" t="str">
        <f t="shared" si="15"/>
        <v/>
      </c>
      <c r="BY827" s="107" t="str">
        <f t="shared" si="5"/>
        <v/>
      </c>
      <c r="BZ827" s="107" t="str">
        <f t="array" ref="BZ827">IF($A827&lt;&gt;"",INDEX(LISTA!$M$2:$N$27,MATCH($BC827,LISTA!$N$2:$N$27,0),1),"")</f>
        <v/>
      </c>
      <c r="CA827" s="67" t="str">
        <f t="shared" si="6"/>
        <v/>
      </c>
      <c r="CB827" s="114" t="str">
        <f t="shared" si="7"/>
        <v/>
      </c>
      <c r="CC827" s="114"/>
    </row>
    <row r="828" ht="22.5" customHeight="1">
      <c r="A828" s="59"/>
      <c r="B828" s="115"/>
      <c r="C828" s="54"/>
      <c r="D828" s="56"/>
      <c r="E828" s="69"/>
      <c r="F828" s="73"/>
      <c r="G828" s="79"/>
      <c r="H828" s="79"/>
      <c r="I828" s="67"/>
      <c r="J828" s="79"/>
      <c r="K828" s="67"/>
      <c r="L828" s="79"/>
      <c r="M828" s="83"/>
      <c r="N828" s="78"/>
      <c r="O828" s="80"/>
      <c r="P828" s="70"/>
      <c r="Q828" s="54"/>
      <c r="R828" s="67"/>
      <c r="S828" s="67"/>
      <c r="T828" s="54"/>
      <c r="U828" s="86"/>
      <c r="V828" s="54"/>
      <c r="W828" s="86"/>
      <c r="X828" s="54"/>
      <c r="Y828" s="78"/>
      <c r="Z828" s="54"/>
      <c r="AA828" s="70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54"/>
      <c r="AR828" s="83"/>
      <c r="AS828" s="83"/>
      <c r="AT828" s="93"/>
      <c r="AU828" s="93"/>
      <c r="AV828" s="93"/>
      <c r="AW828" s="83"/>
      <c r="AX828" s="83"/>
      <c r="AY828" s="83"/>
      <c r="AZ828" s="83"/>
      <c r="BA828" s="83"/>
      <c r="BB828" s="83"/>
      <c r="BC828" s="54"/>
      <c r="BD828" s="54" t="str">
        <f t="shared" si="1"/>
        <v/>
      </c>
      <c r="BE828" s="67"/>
      <c r="BF828" s="67"/>
      <c r="BG828" s="67"/>
      <c r="BH828" s="67"/>
      <c r="BI828" s="67"/>
      <c r="BJ828" s="67"/>
      <c r="BK828" s="67"/>
      <c r="BL828" s="67"/>
      <c r="BM828" s="67"/>
      <c r="BN828" s="100"/>
      <c r="BO828" s="102"/>
      <c r="BP828" s="67"/>
      <c r="BQ828" s="79"/>
      <c r="BR828" s="67"/>
      <c r="BS828" s="102"/>
      <c r="BT828" s="106"/>
      <c r="BU828" s="107"/>
      <c r="BV828" s="108" t="str">
        <f t="shared" si="17"/>
        <v/>
      </c>
      <c r="BW828" s="108" t="str">
        <f t="shared" si="16"/>
        <v/>
      </c>
      <c r="BX828" s="102" t="str">
        <f t="shared" si="15"/>
        <v/>
      </c>
      <c r="BY828" s="107" t="str">
        <f t="shared" si="5"/>
        <v/>
      </c>
      <c r="BZ828" s="107" t="str">
        <f t="array" ref="BZ828">IF($A828&lt;&gt;"",INDEX(LISTA!$M$2:$N$27,MATCH($BC828,LISTA!$N$2:$N$27,0),1),"")</f>
        <v/>
      </c>
      <c r="CA828" s="67" t="str">
        <f t="shared" si="6"/>
        <v/>
      </c>
      <c r="CB828" s="114" t="str">
        <f t="shared" si="7"/>
        <v/>
      </c>
      <c r="CC828" s="114"/>
    </row>
    <row r="829" ht="22.5" customHeight="1">
      <c r="A829" s="59"/>
      <c r="B829" s="115"/>
      <c r="C829" s="54"/>
      <c r="D829" s="56"/>
      <c r="E829" s="69"/>
      <c r="F829" s="73"/>
      <c r="G829" s="79"/>
      <c r="H829" s="79"/>
      <c r="I829" s="67"/>
      <c r="J829" s="79"/>
      <c r="K829" s="67"/>
      <c r="L829" s="79"/>
      <c r="M829" s="83"/>
      <c r="N829" s="78"/>
      <c r="O829" s="80"/>
      <c r="P829" s="70"/>
      <c r="Q829" s="54"/>
      <c r="R829" s="67"/>
      <c r="S829" s="67"/>
      <c r="T829" s="54"/>
      <c r="U829" s="86"/>
      <c r="V829" s="54"/>
      <c r="W829" s="86"/>
      <c r="X829" s="54"/>
      <c r="Y829" s="78"/>
      <c r="Z829" s="54"/>
      <c r="AA829" s="70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54"/>
      <c r="AR829" s="83"/>
      <c r="AS829" s="83"/>
      <c r="AT829" s="93"/>
      <c r="AU829" s="93"/>
      <c r="AV829" s="93"/>
      <c r="AW829" s="83"/>
      <c r="AX829" s="83"/>
      <c r="AY829" s="83"/>
      <c r="AZ829" s="83"/>
      <c r="BA829" s="83"/>
      <c r="BB829" s="83"/>
      <c r="BC829" s="54"/>
      <c r="BD829" s="54" t="str">
        <f t="shared" si="1"/>
        <v/>
      </c>
      <c r="BE829" s="67"/>
      <c r="BF829" s="67"/>
      <c r="BG829" s="67"/>
      <c r="BH829" s="67"/>
      <c r="BI829" s="67"/>
      <c r="BJ829" s="67"/>
      <c r="BK829" s="67"/>
      <c r="BL829" s="67"/>
      <c r="BM829" s="67"/>
      <c r="BN829" s="100"/>
      <c r="BO829" s="102"/>
      <c r="BP829" s="67"/>
      <c r="BQ829" s="79"/>
      <c r="BR829" s="67"/>
      <c r="BS829" s="102"/>
      <c r="BT829" s="106"/>
      <c r="BU829" s="107"/>
      <c r="BV829" s="108" t="str">
        <f t="shared" si="17"/>
        <v/>
      </c>
      <c r="BW829" s="108" t="str">
        <f t="shared" si="16"/>
        <v/>
      </c>
      <c r="BX829" s="102" t="str">
        <f t="shared" si="15"/>
        <v/>
      </c>
      <c r="BY829" s="107" t="str">
        <f t="shared" si="5"/>
        <v/>
      </c>
      <c r="BZ829" s="107" t="str">
        <f t="array" ref="BZ829">IF($A829&lt;&gt;"",INDEX(LISTA!$M$2:$N$27,MATCH($BC829,LISTA!$N$2:$N$27,0),1),"")</f>
        <v/>
      </c>
      <c r="CA829" s="67" t="str">
        <f t="shared" si="6"/>
        <v/>
      </c>
      <c r="CB829" s="114" t="str">
        <f t="shared" si="7"/>
        <v/>
      </c>
      <c r="CC829" s="114"/>
    </row>
    <row r="830" ht="22.5" customHeight="1">
      <c r="A830" s="59"/>
      <c r="B830" s="115"/>
      <c r="C830" s="54"/>
      <c r="D830" s="56"/>
      <c r="E830" s="69"/>
      <c r="F830" s="73"/>
      <c r="G830" s="79"/>
      <c r="H830" s="79"/>
      <c r="I830" s="67"/>
      <c r="J830" s="79"/>
      <c r="K830" s="67"/>
      <c r="L830" s="79"/>
      <c r="M830" s="83"/>
      <c r="N830" s="78"/>
      <c r="O830" s="80"/>
      <c r="P830" s="70"/>
      <c r="Q830" s="54"/>
      <c r="R830" s="67"/>
      <c r="S830" s="67"/>
      <c r="T830" s="54"/>
      <c r="U830" s="86"/>
      <c r="V830" s="54"/>
      <c r="W830" s="86"/>
      <c r="X830" s="54"/>
      <c r="Y830" s="78"/>
      <c r="Z830" s="54"/>
      <c r="AA830" s="70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54"/>
      <c r="AR830" s="83"/>
      <c r="AS830" s="83"/>
      <c r="AT830" s="93"/>
      <c r="AU830" s="93"/>
      <c r="AV830" s="93"/>
      <c r="AW830" s="83"/>
      <c r="AX830" s="83"/>
      <c r="AY830" s="83"/>
      <c r="AZ830" s="83"/>
      <c r="BA830" s="83"/>
      <c r="BB830" s="83"/>
      <c r="BC830" s="54"/>
      <c r="BD830" s="54" t="str">
        <f t="shared" si="1"/>
        <v/>
      </c>
      <c r="BE830" s="67"/>
      <c r="BF830" s="67"/>
      <c r="BG830" s="67"/>
      <c r="BH830" s="67"/>
      <c r="BI830" s="67"/>
      <c r="BJ830" s="67"/>
      <c r="BK830" s="67"/>
      <c r="BL830" s="67"/>
      <c r="BM830" s="67"/>
      <c r="BN830" s="100"/>
      <c r="BO830" s="102"/>
      <c r="BP830" s="67"/>
      <c r="BQ830" s="79"/>
      <c r="BR830" s="67"/>
      <c r="BS830" s="102"/>
      <c r="BT830" s="106"/>
      <c r="BU830" s="107"/>
      <c r="BV830" s="108" t="str">
        <f t="shared" si="17"/>
        <v/>
      </c>
      <c r="BW830" s="108" t="str">
        <f t="shared" si="16"/>
        <v/>
      </c>
      <c r="BX830" s="102" t="str">
        <f t="shared" si="15"/>
        <v/>
      </c>
      <c r="BY830" s="107" t="str">
        <f t="shared" si="5"/>
        <v/>
      </c>
      <c r="BZ830" s="107" t="str">
        <f t="array" ref="BZ830">IF($A830&lt;&gt;"",INDEX(LISTA!$M$2:$N$27,MATCH($BC830,LISTA!$N$2:$N$27,0),1),"")</f>
        <v/>
      </c>
      <c r="CA830" s="67" t="str">
        <f t="shared" si="6"/>
        <v/>
      </c>
      <c r="CB830" s="114" t="str">
        <f t="shared" si="7"/>
        <v/>
      </c>
      <c r="CC830" s="114"/>
    </row>
    <row r="831" ht="22.5" customHeight="1">
      <c r="A831" s="59"/>
      <c r="B831" s="115"/>
      <c r="C831" s="54"/>
      <c r="D831" s="56"/>
      <c r="E831" s="69"/>
      <c r="F831" s="73"/>
      <c r="G831" s="79"/>
      <c r="H831" s="79"/>
      <c r="I831" s="67"/>
      <c r="J831" s="79"/>
      <c r="K831" s="67"/>
      <c r="L831" s="79"/>
      <c r="M831" s="83"/>
      <c r="N831" s="78"/>
      <c r="O831" s="80"/>
      <c r="P831" s="70"/>
      <c r="Q831" s="54"/>
      <c r="R831" s="67"/>
      <c r="S831" s="67"/>
      <c r="T831" s="54"/>
      <c r="U831" s="86"/>
      <c r="V831" s="54"/>
      <c r="W831" s="86"/>
      <c r="X831" s="54"/>
      <c r="Y831" s="78"/>
      <c r="Z831" s="54"/>
      <c r="AA831" s="70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54"/>
      <c r="AR831" s="83"/>
      <c r="AS831" s="83"/>
      <c r="AT831" s="93"/>
      <c r="AU831" s="93"/>
      <c r="AV831" s="93"/>
      <c r="AW831" s="83"/>
      <c r="AX831" s="83"/>
      <c r="AY831" s="83"/>
      <c r="AZ831" s="83"/>
      <c r="BA831" s="83"/>
      <c r="BB831" s="83"/>
      <c r="BC831" s="54"/>
      <c r="BD831" s="54" t="str">
        <f t="shared" si="1"/>
        <v/>
      </c>
      <c r="BE831" s="67"/>
      <c r="BF831" s="67"/>
      <c r="BG831" s="67"/>
      <c r="BH831" s="67"/>
      <c r="BI831" s="67"/>
      <c r="BJ831" s="67"/>
      <c r="BK831" s="67"/>
      <c r="BL831" s="67"/>
      <c r="BM831" s="67"/>
      <c r="BN831" s="100"/>
      <c r="BO831" s="102"/>
      <c r="BP831" s="67"/>
      <c r="BQ831" s="79"/>
      <c r="BR831" s="67"/>
      <c r="BS831" s="102"/>
      <c r="BT831" s="106"/>
      <c r="BU831" s="107"/>
      <c r="BV831" s="108" t="str">
        <f t="shared" si="17"/>
        <v/>
      </c>
      <c r="BW831" s="108" t="str">
        <f t="shared" si="16"/>
        <v/>
      </c>
      <c r="BX831" s="102" t="str">
        <f t="shared" si="15"/>
        <v/>
      </c>
      <c r="BY831" s="107" t="str">
        <f t="shared" si="5"/>
        <v/>
      </c>
      <c r="BZ831" s="107" t="str">
        <f t="array" ref="BZ831">IF($A831&lt;&gt;"",INDEX(LISTA!$M$2:$N$27,MATCH($BC831,LISTA!$N$2:$N$27,0),1),"")</f>
        <v/>
      </c>
      <c r="CA831" s="67" t="str">
        <f t="shared" si="6"/>
        <v/>
      </c>
      <c r="CB831" s="114" t="str">
        <f t="shared" si="7"/>
        <v/>
      </c>
      <c r="CC831" s="114"/>
    </row>
    <row r="832" ht="22.5" customHeight="1">
      <c r="A832" s="59"/>
      <c r="B832" s="115"/>
      <c r="C832" s="54"/>
      <c r="D832" s="56"/>
      <c r="E832" s="69"/>
      <c r="F832" s="73"/>
      <c r="G832" s="79"/>
      <c r="H832" s="79"/>
      <c r="I832" s="67"/>
      <c r="J832" s="79"/>
      <c r="K832" s="67"/>
      <c r="L832" s="79"/>
      <c r="M832" s="83"/>
      <c r="N832" s="78"/>
      <c r="O832" s="80"/>
      <c r="P832" s="70"/>
      <c r="Q832" s="54"/>
      <c r="R832" s="67"/>
      <c r="S832" s="67"/>
      <c r="T832" s="54"/>
      <c r="U832" s="86"/>
      <c r="V832" s="54"/>
      <c r="W832" s="86"/>
      <c r="X832" s="54"/>
      <c r="Y832" s="78"/>
      <c r="Z832" s="54"/>
      <c r="AA832" s="70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54"/>
      <c r="AR832" s="83"/>
      <c r="AS832" s="83"/>
      <c r="AT832" s="93"/>
      <c r="AU832" s="93"/>
      <c r="AV832" s="93"/>
      <c r="AW832" s="83"/>
      <c r="AX832" s="83"/>
      <c r="AY832" s="83"/>
      <c r="AZ832" s="83"/>
      <c r="BA832" s="83"/>
      <c r="BB832" s="83"/>
      <c r="BC832" s="54"/>
      <c r="BD832" s="54" t="str">
        <f t="shared" si="1"/>
        <v/>
      </c>
      <c r="BE832" s="67"/>
      <c r="BF832" s="67"/>
      <c r="BG832" s="67"/>
      <c r="BH832" s="67"/>
      <c r="BI832" s="67"/>
      <c r="BJ832" s="67"/>
      <c r="BK832" s="67"/>
      <c r="BL832" s="67"/>
      <c r="BM832" s="67"/>
      <c r="BN832" s="100"/>
      <c r="BO832" s="102"/>
      <c r="BP832" s="67"/>
      <c r="BQ832" s="79"/>
      <c r="BR832" s="67"/>
      <c r="BS832" s="102"/>
      <c r="BT832" s="106"/>
      <c r="BU832" s="107"/>
      <c r="BV832" s="108" t="str">
        <f t="shared" si="17"/>
        <v/>
      </c>
      <c r="BW832" s="108" t="str">
        <f t="shared" si="16"/>
        <v/>
      </c>
      <c r="BX832" s="102" t="str">
        <f t="shared" si="15"/>
        <v/>
      </c>
      <c r="BY832" s="107" t="str">
        <f t="shared" si="5"/>
        <v/>
      </c>
      <c r="BZ832" s="107" t="str">
        <f t="array" ref="BZ832">IF($A832&lt;&gt;"",INDEX(LISTA!$M$2:$N$27,MATCH($BC832,LISTA!$N$2:$N$27,0),1),"")</f>
        <v/>
      </c>
      <c r="CA832" s="67" t="str">
        <f t="shared" si="6"/>
        <v/>
      </c>
      <c r="CB832" s="114" t="str">
        <f t="shared" si="7"/>
        <v/>
      </c>
      <c r="CC832" s="114"/>
    </row>
    <row r="833" ht="22.5" customHeight="1">
      <c r="A833" s="59"/>
      <c r="B833" s="115"/>
      <c r="C833" s="54"/>
      <c r="D833" s="56"/>
      <c r="E833" s="69"/>
      <c r="F833" s="73"/>
      <c r="G833" s="79"/>
      <c r="H833" s="79"/>
      <c r="I833" s="67"/>
      <c r="J833" s="79"/>
      <c r="K833" s="67"/>
      <c r="L833" s="79"/>
      <c r="M833" s="83"/>
      <c r="N833" s="78"/>
      <c r="O833" s="80"/>
      <c r="P833" s="70"/>
      <c r="Q833" s="54"/>
      <c r="R833" s="67"/>
      <c r="S833" s="67"/>
      <c r="T833" s="54"/>
      <c r="U833" s="86"/>
      <c r="V833" s="54"/>
      <c r="W833" s="86"/>
      <c r="X833" s="54"/>
      <c r="Y833" s="78"/>
      <c r="Z833" s="54"/>
      <c r="AA833" s="70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54"/>
      <c r="AR833" s="83"/>
      <c r="AS833" s="83"/>
      <c r="AT833" s="93"/>
      <c r="AU833" s="93"/>
      <c r="AV833" s="93"/>
      <c r="AW833" s="83"/>
      <c r="AX833" s="83"/>
      <c r="AY833" s="83"/>
      <c r="AZ833" s="83"/>
      <c r="BA833" s="83"/>
      <c r="BB833" s="83"/>
      <c r="BC833" s="54"/>
      <c r="BD833" s="54" t="str">
        <f t="shared" si="1"/>
        <v/>
      </c>
      <c r="BE833" s="67"/>
      <c r="BF833" s="67"/>
      <c r="BG833" s="67"/>
      <c r="BH833" s="67"/>
      <c r="BI833" s="67"/>
      <c r="BJ833" s="67"/>
      <c r="BK833" s="67"/>
      <c r="BL833" s="67"/>
      <c r="BM833" s="67"/>
      <c r="BN833" s="100"/>
      <c r="BO833" s="102"/>
      <c r="BP833" s="67"/>
      <c r="BQ833" s="79"/>
      <c r="BR833" s="67"/>
      <c r="BS833" s="102"/>
      <c r="BT833" s="106"/>
      <c r="BU833" s="107"/>
      <c r="BV833" s="108" t="str">
        <f t="shared" si="17"/>
        <v/>
      </c>
      <c r="BW833" s="108" t="str">
        <f t="shared" si="16"/>
        <v/>
      </c>
      <c r="BX833" s="102" t="str">
        <f t="shared" si="15"/>
        <v/>
      </c>
      <c r="BY833" s="107" t="str">
        <f t="shared" si="5"/>
        <v/>
      </c>
      <c r="BZ833" s="107" t="str">
        <f t="array" ref="BZ833">IF($A833&lt;&gt;"",INDEX(LISTA!$M$2:$N$27,MATCH($BC833,LISTA!$N$2:$N$27,0),1),"")</f>
        <v/>
      </c>
      <c r="CA833" s="67" t="str">
        <f t="shared" si="6"/>
        <v/>
      </c>
      <c r="CB833" s="114" t="str">
        <f t="shared" si="7"/>
        <v/>
      </c>
      <c r="CC833" s="114"/>
    </row>
    <row r="834" ht="22.5" customHeight="1">
      <c r="A834" s="59"/>
      <c r="B834" s="115"/>
      <c r="C834" s="54"/>
      <c r="D834" s="56"/>
      <c r="E834" s="69"/>
      <c r="F834" s="73"/>
      <c r="G834" s="79"/>
      <c r="H834" s="79"/>
      <c r="I834" s="67"/>
      <c r="J834" s="79"/>
      <c r="K834" s="67"/>
      <c r="L834" s="79"/>
      <c r="M834" s="83"/>
      <c r="N834" s="78"/>
      <c r="O834" s="80"/>
      <c r="P834" s="70"/>
      <c r="Q834" s="54"/>
      <c r="R834" s="67"/>
      <c r="S834" s="67"/>
      <c r="T834" s="54"/>
      <c r="U834" s="86"/>
      <c r="V834" s="54"/>
      <c r="W834" s="86"/>
      <c r="X834" s="54"/>
      <c r="Y834" s="78"/>
      <c r="Z834" s="54"/>
      <c r="AA834" s="70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54"/>
      <c r="AR834" s="83"/>
      <c r="AS834" s="83"/>
      <c r="AT834" s="93"/>
      <c r="AU834" s="93"/>
      <c r="AV834" s="93"/>
      <c r="AW834" s="83"/>
      <c r="AX834" s="83"/>
      <c r="AY834" s="83"/>
      <c r="AZ834" s="83"/>
      <c r="BA834" s="83"/>
      <c r="BB834" s="83"/>
      <c r="BC834" s="54"/>
      <c r="BD834" s="54" t="str">
        <f t="shared" si="1"/>
        <v/>
      </c>
      <c r="BE834" s="67"/>
      <c r="BF834" s="67"/>
      <c r="BG834" s="67"/>
      <c r="BH834" s="67"/>
      <c r="BI834" s="67"/>
      <c r="BJ834" s="67"/>
      <c r="BK834" s="67"/>
      <c r="BL834" s="67"/>
      <c r="BM834" s="67"/>
      <c r="BN834" s="100"/>
      <c r="BO834" s="102"/>
      <c r="BP834" s="67"/>
      <c r="BQ834" s="79"/>
      <c r="BR834" s="67"/>
      <c r="BS834" s="102"/>
      <c r="BT834" s="106"/>
      <c r="BU834" s="107"/>
      <c r="BV834" s="108" t="str">
        <f t="shared" si="17"/>
        <v/>
      </c>
      <c r="BW834" s="108" t="str">
        <f t="shared" si="16"/>
        <v/>
      </c>
      <c r="BX834" s="102" t="str">
        <f t="shared" si="15"/>
        <v/>
      </c>
      <c r="BY834" s="107" t="str">
        <f t="shared" si="5"/>
        <v/>
      </c>
      <c r="BZ834" s="107" t="str">
        <f t="array" ref="BZ834">IF($A834&lt;&gt;"",INDEX(LISTA!$M$2:$N$27,MATCH($BC834,LISTA!$N$2:$N$27,0),1),"")</f>
        <v/>
      </c>
      <c r="CA834" s="67" t="str">
        <f t="shared" si="6"/>
        <v/>
      </c>
      <c r="CB834" s="114" t="str">
        <f t="shared" si="7"/>
        <v/>
      </c>
      <c r="CC834" s="114"/>
    </row>
    <row r="835" ht="22.5" customHeight="1">
      <c r="A835" s="59"/>
      <c r="B835" s="115"/>
      <c r="C835" s="54"/>
      <c r="D835" s="56"/>
      <c r="E835" s="69"/>
      <c r="F835" s="73"/>
      <c r="G835" s="79"/>
      <c r="H835" s="79"/>
      <c r="I835" s="67"/>
      <c r="J835" s="79"/>
      <c r="K835" s="67"/>
      <c r="L835" s="79"/>
      <c r="M835" s="83"/>
      <c r="N835" s="78"/>
      <c r="O835" s="80"/>
      <c r="P835" s="70"/>
      <c r="Q835" s="54"/>
      <c r="R835" s="67"/>
      <c r="S835" s="67"/>
      <c r="T835" s="54"/>
      <c r="U835" s="86"/>
      <c r="V835" s="54"/>
      <c r="W835" s="86"/>
      <c r="X835" s="54"/>
      <c r="Y835" s="78"/>
      <c r="Z835" s="54"/>
      <c r="AA835" s="70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54"/>
      <c r="AR835" s="83"/>
      <c r="AS835" s="83"/>
      <c r="AT835" s="93"/>
      <c r="AU835" s="93"/>
      <c r="AV835" s="93"/>
      <c r="AW835" s="83"/>
      <c r="AX835" s="83"/>
      <c r="AY835" s="83"/>
      <c r="AZ835" s="83"/>
      <c r="BA835" s="83"/>
      <c r="BB835" s="83"/>
      <c r="BC835" s="54"/>
      <c r="BD835" s="54" t="str">
        <f t="shared" si="1"/>
        <v/>
      </c>
      <c r="BE835" s="67"/>
      <c r="BF835" s="67"/>
      <c r="BG835" s="67"/>
      <c r="BH835" s="67"/>
      <c r="BI835" s="67"/>
      <c r="BJ835" s="67"/>
      <c r="BK835" s="67"/>
      <c r="BL835" s="67"/>
      <c r="BM835" s="67"/>
      <c r="BN835" s="100"/>
      <c r="BO835" s="102"/>
      <c r="BP835" s="67"/>
      <c r="BQ835" s="79"/>
      <c r="BR835" s="67"/>
      <c r="BS835" s="102"/>
      <c r="BT835" s="106"/>
      <c r="BU835" s="107"/>
      <c r="BV835" s="108" t="str">
        <f t="shared" si="17"/>
        <v/>
      </c>
      <c r="BW835" s="108" t="str">
        <f t="shared" si="16"/>
        <v/>
      </c>
      <c r="BX835" s="102" t="str">
        <f t="shared" si="15"/>
        <v/>
      </c>
      <c r="BY835" s="107" t="str">
        <f t="shared" si="5"/>
        <v/>
      </c>
      <c r="BZ835" s="107" t="str">
        <f t="array" ref="BZ835">IF($A835&lt;&gt;"",INDEX(LISTA!$M$2:$N$27,MATCH($BC835,LISTA!$N$2:$N$27,0),1),"")</f>
        <v/>
      </c>
      <c r="CA835" s="67" t="str">
        <f t="shared" si="6"/>
        <v/>
      </c>
      <c r="CB835" s="114" t="str">
        <f t="shared" si="7"/>
        <v/>
      </c>
      <c r="CC835" s="114"/>
    </row>
    <row r="836" ht="22.5" customHeight="1">
      <c r="A836" s="59"/>
      <c r="B836" s="115"/>
      <c r="C836" s="54"/>
      <c r="D836" s="56"/>
      <c r="E836" s="69"/>
      <c r="F836" s="73"/>
      <c r="G836" s="79"/>
      <c r="H836" s="79"/>
      <c r="I836" s="67"/>
      <c r="J836" s="79"/>
      <c r="K836" s="67"/>
      <c r="L836" s="79"/>
      <c r="M836" s="83"/>
      <c r="N836" s="78"/>
      <c r="O836" s="80"/>
      <c r="P836" s="70"/>
      <c r="Q836" s="54"/>
      <c r="R836" s="67"/>
      <c r="S836" s="67"/>
      <c r="T836" s="54"/>
      <c r="U836" s="86"/>
      <c r="V836" s="54"/>
      <c r="W836" s="86"/>
      <c r="X836" s="54"/>
      <c r="Y836" s="78"/>
      <c r="Z836" s="54"/>
      <c r="AA836" s="70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54"/>
      <c r="AR836" s="83"/>
      <c r="AS836" s="83"/>
      <c r="AT836" s="93"/>
      <c r="AU836" s="93"/>
      <c r="AV836" s="93"/>
      <c r="AW836" s="83"/>
      <c r="AX836" s="83"/>
      <c r="AY836" s="83"/>
      <c r="AZ836" s="83"/>
      <c r="BA836" s="83"/>
      <c r="BB836" s="83"/>
      <c r="BC836" s="54"/>
      <c r="BD836" s="54" t="str">
        <f t="shared" si="1"/>
        <v/>
      </c>
      <c r="BE836" s="67"/>
      <c r="BF836" s="67"/>
      <c r="BG836" s="67"/>
      <c r="BH836" s="67"/>
      <c r="BI836" s="67"/>
      <c r="BJ836" s="67"/>
      <c r="BK836" s="67"/>
      <c r="BL836" s="67"/>
      <c r="BM836" s="67"/>
      <c r="BN836" s="100"/>
      <c r="BO836" s="102"/>
      <c r="BP836" s="67"/>
      <c r="BQ836" s="79"/>
      <c r="BR836" s="67"/>
      <c r="BS836" s="102"/>
      <c r="BT836" s="106"/>
      <c r="BU836" s="107"/>
      <c r="BV836" s="108" t="str">
        <f t="shared" si="17"/>
        <v/>
      </c>
      <c r="BW836" s="108" t="str">
        <f t="shared" si="16"/>
        <v/>
      </c>
      <c r="BX836" s="102" t="str">
        <f t="shared" si="15"/>
        <v/>
      </c>
      <c r="BY836" s="107" t="str">
        <f t="shared" si="5"/>
        <v/>
      </c>
      <c r="BZ836" s="107" t="str">
        <f t="array" ref="BZ836">IF($A836&lt;&gt;"",INDEX(LISTA!$M$2:$N$27,MATCH($BC836,LISTA!$N$2:$N$27,0),1),"")</f>
        <v/>
      </c>
      <c r="CA836" s="67" t="str">
        <f t="shared" si="6"/>
        <v/>
      </c>
      <c r="CB836" s="114" t="str">
        <f t="shared" si="7"/>
        <v/>
      </c>
      <c r="CC836" s="114"/>
    </row>
    <row r="837" ht="22.5" customHeight="1">
      <c r="A837" s="59"/>
      <c r="B837" s="115"/>
      <c r="C837" s="54"/>
      <c r="D837" s="56"/>
      <c r="E837" s="69"/>
      <c r="F837" s="73"/>
      <c r="G837" s="79"/>
      <c r="H837" s="79"/>
      <c r="I837" s="67"/>
      <c r="J837" s="79"/>
      <c r="K837" s="67"/>
      <c r="L837" s="79"/>
      <c r="M837" s="83"/>
      <c r="N837" s="78"/>
      <c r="O837" s="80"/>
      <c r="P837" s="70"/>
      <c r="Q837" s="54"/>
      <c r="R837" s="67"/>
      <c r="S837" s="67"/>
      <c r="T837" s="54"/>
      <c r="U837" s="86"/>
      <c r="V837" s="54"/>
      <c r="W837" s="86"/>
      <c r="X837" s="54"/>
      <c r="Y837" s="78"/>
      <c r="Z837" s="54"/>
      <c r="AA837" s="70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54"/>
      <c r="AR837" s="83"/>
      <c r="AS837" s="83"/>
      <c r="AT837" s="93"/>
      <c r="AU837" s="93"/>
      <c r="AV837" s="93"/>
      <c r="AW837" s="83"/>
      <c r="AX837" s="83"/>
      <c r="AY837" s="83"/>
      <c r="AZ837" s="83"/>
      <c r="BA837" s="83"/>
      <c r="BB837" s="83"/>
      <c r="BC837" s="54"/>
      <c r="BD837" s="54" t="str">
        <f t="shared" si="1"/>
        <v/>
      </c>
      <c r="BE837" s="67"/>
      <c r="BF837" s="67"/>
      <c r="BG837" s="67"/>
      <c r="BH837" s="67"/>
      <c r="BI837" s="67"/>
      <c r="BJ837" s="67"/>
      <c r="BK837" s="67"/>
      <c r="BL837" s="67"/>
      <c r="BM837" s="67"/>
      <c r="BN837" s="100"/>
      <c r="BO837" s="102"/>
      <c r="BP837" s="67"/>
      <c r="BQ837" s="79"/>
      <c r="BR837" s="67"/>
      <c r="BS837" s="102"/>
      <c r="BT837" s="106"/>
      <c r="BU837" s="107"/>
      <c r="BV837" s="108" t="str">
        <f t="shared" si="17"/>
        <v/>
      </c>
      <c r="BW837" s="108" t="str">
        <f t="shared" si="16"/>
        <v/>
      </c>
      <c r="BX837" s="102" t="str">
        <f t="shared" si="15"/>
        <v/>
      </c>
      <c r="BY837" s="107" t="str">
        <f t="shared" si="5"/>
        <v/>
      </c>
      <c r="BZ837" s="107" t="str">
        <f t="array" ref="BZ837">IF($A837&lt;&gt;"",INDEX(LISTA!$M$2:$N$27,MATCH($BC837,LISTA!$N$2:$N$27,0),1),"")</f>
        <v/>
      </c>
      <c r="CA837" s="67" t="str">
        <f t="shared" si="6"/>
        <v/>
      </c>
      <c r="CB837" s="114" t="str">
        <f t="shared" si="7"/>
        <v/>
      </c>
      <c r="CC837" s="114"/>
    </row>
    <row r="838" ht="22.5" customHeight="1">
      <c r="A838" s="59"/>
      <c r="B838" s="115"/>
      <c r="C838" s="54"/>
      <c r="D838" s="56"/>
      <c r="E838" s="69"/>
      <c r="F838" s="73"/>
      <c r="G838" s="79"/>
      <c r="H838" s="79"/>
      <c r="I838" s="67"/>
      <c r="J838" s="79"/>
      <c r="K838" s="67"/>
      <c r="L838" s="79"/>
      <c r="M838" s="83"/>
      <c r="N838" s="78"/>
      <c r="O838" s="80"/>
      <c r="P838" s="70"/>
      <c r="Q838" s="54"/>
      <c r="R838" s="67"/>
      <c r="S838" s="67"/>
      <c r="T838" s="54"/>
      <c r="U838" s="86"/>
      <c r="V838" s="54"/>
      <c r="W838" s="86"/>
      <c r="X838" s="54"/>
      <c r="Y838" s="78"/>
      <c r="Z838" s="54"/>
      <c r="AA838" s="70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54"/>
      <c r="AR838" s="83"/>
      <c r="AS838" s="83"/>
      <c r="AT838" s="93"/>
      <c r="AU838" s="93"/>
      <c r="AV838" s="93"/>
      <c r="AW838" s="83"/>
      <c r="AX838" s="83"/>
      <c r="AY838" s="83"/>
      <c r="AZ838" s="83"/>
      <c r="BA838" s="83"/>
      <c r="BB838" s="83"/>
      <c r="BC838" s="54"/>
      <c r="BD838" s="54" t="str">
        <f t="shared" si="1"/>
        <v/>
      </c>
      <c r="BE838" s="67"/>
      <c r="BF838" s="67"/>
      <c r="BG838" s="67"/>
      <c r="BH838" s="67"/>
      <c r="BI838" s="67"/>
      <c r="BJ838" s="67"/>
      <c r="BK838" s="67"/>
      <c r="BL838" s="67"/>
      <c r="BM838" s="67"/>
      <c r="BN838" s="100"/>
      <c r="BO838" s="102"/>
      <c r="BP838" s="67"/>
      <c r="BQ838" s="79"/>
      <c r="BR838" s="67"/>
      <c r="BS838" s="102"/>
      <c r="BT838" s="106"/>
      <c r="BU838" s="107"/>
      <c r="BV838" s="108" t="str">
        <f t="shared" si="17"/>
        <v/>
      </c>
      <c r="BW838" s="108" t="str">
        <f t="shared" si="16"/>
        <v/>
      </c>
      <c r="BX838" s="102" t="str">
        <f t="shared" si="15"/>
        <v/>
      </c>
      <c r="BY838" s="107" t="str">
        <f t="shared" si="5"/>
        <v/>
      </c>
      <c r="BZ838" s="107" t="str">
        <f t="array" ref="BZ838">IF($A838&lt;&gt;"",INDEX(LISTA!$M$2:$N$27,MATCH($BC838,LISTA!$N$2:$N$27,0),1),"")</f>
        <v/>
      </c>
      <c r="CA838" s="67" t="str">
        <f t="shared" si="6"/>
        <v/>
      </c>
      <c r="CB838" s="114" t="str">
        <f t="shared" si="7"/>
        <v/>
      </c>
      <c r="CC838" s="114"/>
    </row>
    <row r="839" ht="22.5" customHeight="1">
      <c r="A839" s="59"/>
      <c r="B839" s="115"/>
      <c r="C839" s="54"/>
      <c r="D839" s="56"/>
      <c r="E839" s="69"/>
      <c r="F839" s="73"/>
      <c r="G839" s="79"/>
      <c r="H839" s="79"/>
      <c r="I839" s="67"/>
      <c r="J839" s="79"/>
      <c r="K839" s="67"/>
      <c r="L839" s="79"/>
      <c r="M839" s="83"/>
      <c r="N839" s="78"/>
      <c r="O839" s="80"/>
      <c r="P839" s="70"/>
      <c r="Q839" s="54"/>
      <c r="R839" s="67"/>
      <c r="S839" s="67"/>
      <c r="T839" s="54"/>
      <c r="U839" s="86"/>
      <c r="V839" s="54"/>
      <c r="W839" s="86"/>
      <c r="X839" s="54"/>
      <c r="Y839" s="78"/>
      <c r="Z839" s="54"/>
      <c r="AA839" s="70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54"/>
      <c r="AR839" s="83"/>
      <c r="AS839" s="83"/>
      <c r="AT839" s="93"/>
      <c r="AU839" s="93"/>
      <c r="AV839" s="93"/>
      <c r="AW839" s="83"/>
      <c r="AX839" s="83"/>
      <c r="AY839" s="83"/>
      <c r="AZ839" s="83"/>
      <c r="BA839" s="83"/>
      <c r="BB839" s="83"/>
      <c r="BC839" s="54"/>
      <c r="BD839" s="54" t="str">
        <f t="shared" si="1"/>
        <v/>
      </c>
      <c r="BE839" s="67"/>
      <c r="BF839" s="67"/>
      <c r="BG839" s="67"/>
      <c r="BH839" s="67"/>
      <c r="BI839" s="67"/>
      <c r="BJ839" s="67"/>
      <c r="BK839" s="67"/>
      <c r="BL839" s="67"/>
      <c r="BM839" s="67"/>
      <c r="BN839" s="100"/>
      <c r="BO839" s="102"/>
      <c r="BP839" s="67"/>
      <c r="BQ839" s="79"/>
      <c r="BR839" s="67"/>
      <c r="BS839" s="102"/>
      <c r="BT839" s="106"/>
      <c r="BU839" s="107"/>
      <c r="BV839" s="108" t="str">
        <f t="shared" si="17"/>
        <v/>
      </c>
      <c r="BW839" s="108" t="str">
        <f t="shared" si="16"/>
        <v/>
      </c>
      <c r="BX839" s="102" t="str">
        <f t="shared" si="15"/>
        <v/>
      </c>
      <c r="BY839" s="107" t="str">
        <f t="shared" si="5"/>
        <v/>
      </c>
      <c r="BZ839" s="107" t="str">
        <f t="array" ref="BZ839">IF($A839&lt;&gt;"",INDEX(LISTA!$M$2:$N$27,MATCH($BC839,LISTA!$N$2:$N$27,0),1),"")</f>
        <v/>
      </c>
      <c r="CA839" s="67" t="str">
        <f t="shared" si="6"/>
        <v/>
      </c>
      <c r="CB839" s="114" t="str">
        <f t="shared" si="7"/>
        <v/>
      </c>
      <c r="CC839" s="114"/>
    </row>
    <row r="840" ht="22.5" customHeight="1">
      <c r="A840" s="59"/>
      <c r="B840" s="115"/>
      <c r="C840" s="54"/>
      <c r="D840" s="56"/>
      <c r="E840" s="69"/>
      <c r="F840" s="73"/>
      <c r="G840" s="79"/>
      <c r="H840" s="79"/>
      <c r="I840" s="67"/>
      <c r="J840" s="79"/>
      <c r="K840" s="67"/>
      <c r="L840" s="79"/>
      <c r="M840" s="83"/>
      <c r="N840" s="78"/>
      <c r="O840" s="80"/>
      <c r="P840" s="70"/>
      <c r="Q840" s="54"/>
      <c r="R840" s="67"/>
      <c r="S840" s="67"/>
      <c r="T840" s="54"/>
      <c r="U840" s="86"/>
      <c r="V840" s="54"/>
      <c r="W840" s="86"/>
      <c r="X840" s="54"/>
      <c r="Y840" s="78"/>
      <c r="Z840" s="54"/>
      <c r="AA840" s="70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54"/>
      <c r="AR840" s="83"/>
      <c r="AS840" s="83"/>
      <c r="AT840" s="93"/>
      <c r="AU840" s="93"/>
      <c r="AV840" s="93"/>
      <c r="AW840" s="83"/>
      <c r="AX840" s="83"/>
      <c r="AY840" s="83"/>
      <c r="AZ840" s="83"/>
      <c r="BA840" s="83"/>
      <c r="BB840" s="83"/>
      <c r="BC840" s="54"/>
      <c r="BD840" s="54" t="str">
        <f t="shared" si="1"/>
        <v/>
      </c>
      <c r="BE840" s="67"/>
      <c r="BF840" s="67"/>
      <c r="BG840" s="67"/>
      <c r="BH840" s="67"/>
      <c r="BI840" s="67"/>
      <c r="BJ840" s="67"/>
      <c r="BK840" s="67"/>
      <c r="BL840" s="67"/>
      <c r="BM840" s="67"/>
      <c r="BN840" s="100"/>
      <c r="BO840" s="102"/>
      <c r="BP840" s="67"/>
      <c r="BQ840" s="79"/>
      <c r="BR840" s="67"/>
      <c r="BS840" s="102"/>
      <c r="BT840" s="106"/>
      <c r="BU840" s="107"/>
      <c r="BV840" s="108" t="str">
        <f t="shared" si="17"/>
        <v/>
      </c>
      <c r="BW840" s="108" t="str">
        <f t="shared" si="16"/>
        <v/>
      </c>
      <c r="BX840" s="102" t="str">
        <f t="shared" si="15"/>
        <v/>
      </c>
      <c r="BY840" s="107" t="str">
        <f t="shared" si="5"/>
        <v/>
      </c>
      <c r="BZ840" s="107" t="str">
        <f t="array" ref="BZ840">IF($A840&lt;&gt;"",INDEX(LISTA!$M$2:$N$27,MATCH($BC840,LISTA!$N$2:$N$27,0),1),"")</f>
        <v/>
      </c>
      <c r="CA840" s="67" t="str">
        <f t="shared" si="6"/>
        <v/>
      </c>
      <c r="CB840" s="114" t="str">
        <f t="shared" si="7"/>
        <v/>
      </c>
      <c r="CC840" s="114"/>
    </row>
    <row r="841" ht="22.5" customHeight="1">
      <c r="A841" s="59"/>
      <c r="B841" s="115"/>
      <c r="C841" s="54"/>
      <c r="D841" s="56"/>
      <c r="E841" s="69"/>
      <c r="F841" s="73"/>
      <c r="G841" s="79"/>
      <c r="H841" s="79"/>
      <c r="I841" s="67"/>
      <c r="J841" s="79"/>
      <c r="K841" s="67"/>
      <c r="L841" s="79"/>
      <c r="M841" s="83"/>
      <c r="N841" s="78"/>
      <c r="O841" s="80"/>
      <c r="P841" s="70"/>
      <c r="Q841" s="54"/>
      <c r="R841" s="67"/>
      <c r="S841" s="67"/>
      <c r="T841" s="54"/>
      <c r="U841" s="86"/>
      <c r="V841" s="54"/>
      <c r="W841" s="86"/>
      <c r="X841" s="54"/>
      <c r="Y841" s="78"/>
      <c r="Z841" s="54"/>
      <c r="AA841" s="70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54"/>
      <c r="AR841" s="83"/>
      <c r="AS841" s="83"/>
      <c r="AT841" s="93"/>
      <c r="AU841" s="93"/>
      <c r="AV841" s="93"/>
      <c r="AW841" s="83"/>
      <c r="AX841" s="83"/>
      <c r="AY841" s="83"/>
      <c r="AZ841" s="83"/>
      <c r="BA841" s="83"/>
      <c r="BB841" s="83"/>
      <c r="BC841" s="54"/>
      <c r="BD841" s="54" t="str">
        <f t="shared" si="1"/>
        <v/>
      </c>
      <c r="BE841" s="67"/>
      <c r="BF841" s="67"/>
      <c r="BG841" s="67"/>
      <c r="BH841" s="67"/>
      <c r="BI841" s="67"/>
      <c r="BJ841" s="67"/>
      <c r="BK841" s="67"/>
      <c r="BL841" s="67"/>
      <c r="BM841" s="67"/>
      <c r="BN841" s="100"/>
      <c r="BO841" s="102"/>
      <c r="BP841" s="67"/>
      <c r="BQ841" s="79"/>
      <c r="BR841" s="67"/>
      <c r="BS841" s="102"/>
      <c r="BT841" s="106"/>
      <c r="BU841" s="107"/>
      <c r="BV841" s="108" t="str">
        <f t="shared" si="17"/>
        <v/>
      </c>
      <c r="BW841" s="108" t="str">
        <f t="shared" si="16"/>
        <v/>
      </c>
      <c r="BX841" s="102" t="str">
        <f t="shared" si="15"/>
        <v/>
      </c>
      <c r="BY841" s="107" t="str">
        <f t="shared" si="5"/>
        <v/>
      </c>
      <c r="BZ841" s="107" t="str">
        <f t="array" ref="BZ841">IF($A841&lt;&gt;"",INDEX(LISTA!$M$2:$N$27,MATCH($BC841,LISTA!$N$2:$N$27,0),1),"")</f>
        <v/>
      </c>
      <c r="CA841" s="67" t="str">
        <f t="shared" si="6"/>
        <v/>
      </c>
      <c r="CB841" s="114" t="str">
        <f t="shared" si="7"/>
        <v/>
      </c>
      <c r="CC841" s="114"/>
    </row>
    <row r="842" ht="22.5" customHeight="1">
      <c r="A842" s="59"/>
      <c r="B842" s="115"/>
      <c r="C842" s="54"/>
      <c r="D842" s="56"/>
      <c r="E842" s="69"/>
      <c r="F842" s="73"/>
      <c r="G842" s="79"/>
      <c r="H842" s="79"/>
      <c r="I842" s="67"/>
      <c r="J842" s="79"/>
      <c r="K842" s="67"/>
      <c r="L842" s="79"/>
      <c r="M842" s="83"/>
      <c r="N842" s="78"/>
      <c r="O842" s="80"/>
      <c r="P842" s="70"/>
      <c r="Q842" s="54"/>
      <c r="R842" s="67"/>
      <c r="S842" s="67"/>
      <c r="T842" s="54"/>
      <c r="U842" s="86"/>
      <c r="V842" s="54"/>
      <c r="W842" s="86"/>
      <c r="X842" s="54"/>
      <c r="Y842" s="78"/>
      <c r="Z842" s="54"/>
      <c r="AA842" s="70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54"/>
      <c r="AR842" s="83"/>
      <c r="AS842" s="83"/>
      <c r="AT842" s="93"/>
      <c r="AU842" s="93"/>
      <c r="AV842" s="93"/>
      <c r="AW842" s="83"/>
      <c r="AX842" s="83"/>
      <c r="AY842" s="83"/>
      <c r="AZ842" s="83"/>
      <c r="BA842" s="83"/>
      <c r="BB842" s="83"/>
      <c r="BC842" s="54"/>
      <c r="BD842" s="54" t="str">
        <f t="shared" si="1"/>
        <v/>
      </c>
      <c r="BE842" s="67"/>
      <c r="BF842" s="67"/>
      <c r="BG842" s="67"/>
      <c r="BH842" s="67"/>
      <c r="BI842" s="67"/>
      <c r="BJ842" s="67"/>
      <c r="BK842" s="67"/>
      <c r="BL842" s="67"/>
      <c r="BM842" s="67"/>
      <c r="BN842" s="100"/>
      <c r="BO842" s="102"/>
      <c r="BP842" s="67"/>
      <c r="BQ842" s="79"/>
      <c r="BR842" s="67"/>
      <c r="BS842" s="102"/>
      <c r="BT842" s="106"/>
      <c r="BU842" s="107"/>
      <c r="BV842" s="108" t="str">
        <f t="shared" si="17"/>
        <v/>
      </c>
      <c r="BW842" s="108" t="str">
        <f t="shared" si="16"/>
        <v/>
      </c>
      <c r="BX842" s="102" t="str">
        <f t="shared" si="15"/>
        <v/>
      </c>
      <c r="BY842" s="107" t="str">
        <f t="shared" si="5"/>
        <v/>
      </c>
      <c r="BZ842" s="107" t="str">
        <f t="array" ref="BZ842">IF($A842&lt;&gt;"",INDEX(LISTA!$M$2:$N$27,MATCH($BC842,LISTA!$N$2:$N$27,0),1),"")</f>
        <v/>
      </c>
      <c r="CA842" s="67" t="str">
        <f t="shared" si="6"/>
        <v/>
      </c>
      <c r="CB842" s="114" t="str">
        <f t="shared" si="7"/>
        <v/>
      </c>
      <c r="CC842" s="114"/>
    </row>
    <row r="843" ht="22.5" customHeight="1">
      <c r="A843" s="59"/>
      <c r="B843" s="115"/>
      <c r="C843" s="54"/>
      <c r="D843" s="56"/>
      <c r="E843" s="69"/>
      <c r="F843" s="73"/>
      <c r="G843" s="79"/>
      <c r="H843" s="79"/>
      <c r="I843" s="67"/>
      <c r="J843" s="79"/>
      <c r="K843" s="67"/>
      <c r="L843" s="79"/>
      <c r="M843" s="83"/>
      <c r="N843" s="78"/>
      <c r="O843" s="80"/>
      <c r="P843" s="70"/>
      <c r="Q843" s="54"/>
      <c r="R843" s="67"/>
      <c r="S843" s="67"/>
      <c r="T843" s="54"/>
      <c r="U843" s="86"/>
      <c r="V843" s="54"/>
      <c r="W843" s="86"/>
      <c r="X843" s="54"/>
      <c r="Y843" s="78"/>
      <c r="Z843" s="54"/>
      <c r="AA843" s="70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54"/>
      <c r="AR843" s="83"/>
      <c r="AS843" s="83"/>
      <c r="AT843" s="93"/>
      <c r="AU843" s="93"/>
      <c r="AV843" s="93"/>
      <c r="AW843" s="83"/>
      <c r="AX843" s="83"/>
      <c r="AY843" s="83"/>
      <c r="AZ843" s="83"/>
      <c r="BA843" s="83"/>
      <c r="BB843" s="83"/>
      <c r="BC843" s="54"/>
      <c r="BD843" s="54" t="str">
        <f t="shared" si="1"/>
        <v/>
      </c>
      <c r="BE843" s="67"/>
      <c r="BF843" s="67"/>
      <c r="BG843" s="67"/>
      <c r="BH843" s="67"/>
      <c r="BI843" s="67"/>
      <c r="BJ843" s="67"/>
      <c r="BK843" s="67"/>
      <c r="BL843" s="67"/>
      <c r="BM843" s="67"/>
      <c r="BN843" s="100"/>
      <c r="BO843" s="102"/>
      <c r="BP843" s="67"/>
      <c r="BQ843" s="79"/>
      <c r="BR843" s="67"/>
      <c r="BS843" s="102"/>
      <c r="BT843" s="106"/>
      <c r="BU843" s="107"/>
      <c r="BV843" s="108" t="str">
        <f t="shared" si="17"/>
        <v/>
      </c>
      <c r="BW843" s="108" t="str">
        <f t="shared" si="16"/>
        <v/>
      </c>
      <c r="BX843" s="102" t="str">
        <f t="shared" si="15"/>
        <v/>
      </c>
      <c r="BY843" s="107" t="str">
        <f t="shared" si="5"/>
        <v/>
      </c>
      <c r="BZ843" s="107" t="str">
        <f t="array" ref="BZ843">IF($A843&lt;&gt;"",INDEX(LISTA!$M$2:$N$27,MATCH($BC843,LISTA!$N$2:$N$27,0),1),"")</f>
        <v/>
      </c>
      <c r="CA843" s="67" t="str">
        <f t="shared" si="6"/>
        <v/>
      </c>
      <c r="CB843" s="114" t="str">
        <f t="shared" si="7"/>
        <v/>
      </c>
      <c r="CC843" s="114"/>
    </row>
    <row r="844" ht="22.5" customHeight="1">
      <c r="A844" s="59"/>
      <c r="B844" s="115"/>
      <c r="C844" s="54"/>
      <c r="D844" s="56"/>
      <c r="E844" s="69"/>
      <c r="F844" s="73"/>
      <c r="G844" s="79"/>
      <c r="H844" s="79"/>
      <c r="I844" s="67"/>
      <c r="J844" s="79"/>
      <c r="K844" s="67"/>
      <c r="L844" s="79"/>
      <c r="M844" s="83"/>
      <c r="N844" s="78"/>
      <c r="O844" s="80"/>
      <c r="P844" s="70"/>
      <c r="Q844" s="54"/>
      <c r="R844" s="67"/>
      <c r="S844" s="67"/>
      <c r="T844" s="54"/>
      <c r="U844" s="86"/>
      <c r="V844" s="54"/>
      <c r="W844" s="86"/>
      <c r="X844" s="54"/>
      <c r="Y844" s="78"/>
      <c r="Z844" s="54"/>
      <c r="AA844" s="70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54"/>
      <c r="AR844" s="83"/>
      <c r="AS844" s="83"/>
      <c r="AT844" s="93"/>
      <c r="AU844" s="93"/>
      <c r="AV844" s="93"/>
      <c r="AW844" s="83"/>
      <c r="AX844" s="83"/>
      <c r="AY844" s="83"/>
      <c r="AZ844" s="83"/>
      <c r="BA844" s="83"/>
      <c r="BB844" s="83"/>
      <c r="BC844" s="54"/>
      <c r="BD844" s="54" t="str">
        <f t="shared" si="1"/>
        <v/>
      </c>
      <c r="BE844" s="67"/>
      <c r="BF844" s="67"/>
      <c r="BG844" s="67"/>
      <c r="BH844" s="67"/>
      <c r="BI844" s="67"/>
      <c r="BJ844" s="67"/>
      <c r="BK844" s="67"/>
      <c r="BL844" s="67"/>
      <c r="BM844" s="67"/>
      <c r="BN844" s="100"/>
      <c r="BO844" s="102"/>
      <c r="BP844" s="67"/>
      <c r="BQ844" s="79"/>
      <c r="BR844" s="67"/>
      <c r="BS844" s="102"/>
      <c r="BT844" s="106"/>
      <c r="BU844" s="107"/>
      <c r="BV844" s="108" t="str">
        <f t="shared" si="17"/>
        <v/>
      </c>
      <c r="BW844" s="108" t="str">
        <f t="shared" si="16"/>
        <v/>
      </c>
      <c r="BX844" s="102" t="str">
        <f t="shared" si="15"/>
        <v/>
      </c>
      <c r="BY844" s="107" t="str">
        <f t="shared" si="5"/>
        <v/>
      </c>
      <c r="BZ844" s="107" t="str">
        <f t="array" ref="BZ844">IF($A844&lt;&gt;"",INDEX(LISTA!$M$2:$N$27,MATCH($BC844,LISTA!$N$2:$N$27,0),1),"")</f>
        <v/>
      </c>
      <c r="CA844" s="67" t="str">
        <f t="shared" si="6"/>
        <v/>
      </c>
      <c r="CB844" s="114" t="str">
        <f t="shared" si="7"/>
        <v/>
      </c>
      <c r="CC844" s="114"/>
    </row>
    <row r="845" ht="22.5" customHeight="1">
      <c r="A845" s="59"/>
      <c r="B845" s="115"/>
      <c r="C845" s="54"/>
      <c r="D845" s="56"/>
      <c r="E845" s="69"/>
      <c r="F845" s="73"/>
      <c r="G845" s="79"/>
      <c r="H845" s="79"/>
      <c r="I845" s="67"/>
      <c r="J845" s="79"/>
      <c r="K845" s="67"/>
      <c r="L845" s="79"/>
      <c r="M845" s="83"/>
      <c r="N845" s="78"/>
      <c r="O845" s="80"/>
      <c r="P845" s="70"/>
      <c r="Q845" s="54"/>
      <c r="R845" s="67"/>
      <c r="S845" s="67"/>
      <c r="T845" s="54"/>
      <c r="U845" s="86"/>
      <c r="V845" s="54"/>
      <c r="W845" s="86"/>
      <c r="X845" s="54"/>
      <c r="Y845" s="78"/>
      <c r="Z845" s="54"/>
      <c r="AA845" s="70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54"/>
      <c r="AR845" s="83"/>
      <c r="AS845" s="83"/>
      <c r="AT845" s="93"/>
      <c r="AU845" s="93"/>
      <c r="AV845" s="93"/>
      <c r="AW845" s="83"/>
      <c r="AX845" s="83"/>
      <c r="AY845" s="83"/>
      <c r="AZ845" s="83"/>
      <c r="BA845" s="83"/>
      <c r="BB845" s="83"/>
      <c r="BC845" s="54"/>
      <c r="BD845" s="54" t="str">
        <f t="shared" si="1"/>
        <v/>
      </c>
      <c r="BE845" s="67"/>
      <c r="BF845" s="67"/>
      <c r="BG845" s="67"/>
      <c r="BH845" s="67"/>
      <c r="BI845" s="67"/>
      <c r="BJ845" s="67"/>
      <c r="BK845" s="67"/>
      <c r="BL845" s="67"/>
      <c r="BM845" s="67"/>
      <c r="BN845" s="100"/>
      <c r="BO845" s="102"/>
      <c r="BP845" s="67"/>
      <c r="BQ845" s="79"/>
      <c r="BR845" s="67"/>
      <c r="BS845" s="102"/>
      <c r="BT845" s="106"/>
      <c r="BU845" s="107"/>
      <c r="BV845" s="108" t="str">
        <f t="shared" si="17"/>
        <v/>
      </c>
      <c r="BW845" s="108" t="str">
        <f t="shared" si="16"/>
        <v/>
      </c>
      <c r="BX845" s="102" t="str">
        <f t="shared" si="15"/>
        <v/>
      </c>
      <c r="BY845" s="107" t="str">
        <f t="shared" si="5"/>
        <v/>
      </c>
      <c r="BZ845" s="107" t="str">
        <f t="array" ref="BZ845">IF($A845&lt;&gt;"",INDEX(LISTA!$M$2:$N$27,MATCH($BC845,LISTA!$N$2:$N$27,0),1),"")</f>
        <v/>
      </c>
      <c r="CA845" s="67" t="str">
        <f t="shared" si="6"/>
        <v/>
      </c>
      <c r="CB845" s="114" t="str">
        <f t="shared" si="7"/>
        <v/>
      </c>
      <c r="CC845" s="114"/>
    </row>
    <row r="846" ht="22.5" customHeight="1">
      <c r="A846" s="59"/>
      <c r="B846" s="115"/>
      <c r="C846" s="54"/>
      <c r="D846" s="56"/>
      <c r="E846" s="69"/>
      <c r="F846" s="73"/>
      <c r="G846" s="79"/>
      <c r="H846" s="79"/>
      <c r="I846" s="67"/>
      <c r="J846" s="79"/>
      <c r="K846" s="67"/>
      <c r="L846" s="79"/>
      <c r="M846" s="83"/>
      <c r="N846" s="78"/>
      <c r="O846" s="80"/>
      <c r="P846" s="70"/>
      <c r="Q846" s="54"/>
      <c r="R846" s="67"/>
      <c r="S846" s="67"/>
      <c r="T846" s="54"/>
      <c r="U846" s="86"/>
      <c r="V846" s="54"/>
      <c r="W846" s="86"/>
      <c r="X846" s="54"/>
      <c r="Y846" s="78"/>
      <c r="Z846" s="54"/>
      <c r="AA846" s="70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54"/>
      <c r="AR846" s="83"/>
      <c r="AS846" s="83"/>
      <c r="AT846" s="93"/>
      <c r="AU846" s="93"/>
      <c r="AV846" s="93"/>
      <c r="AW846" s="83"/>
      <c r="AX846" s="83"/>
      <c r="AY846" s="83"/>
      <c r="AZ846" s="83"/>
      <c r="BA846" s="83"/>
      <c r="BB846" s="83"/>
      <c r="BC846" s="54"/>
      <c r="BD846" s="54" t="str">
        <f t="shared" si="1"/>
        <v/>
      </c>
      <c r="BE846" s="67"/>
      <c r="BF846" s="67"/>
      <c r="BG846" s="67"/>
      <c r="BH846" s="67"/>
      <c r="BI846" s="67"/>
      <c r="BJ846" s="67"/>
      <c r="BK846" s="67"/>
      <c r="BL846" s="67"/>
      <c r="BM846" s="67"/>
      <c r="BN846" s="100"/>
      <c r="BO846" s="102"/>
      <c r="BP846" s="67"/>
      <c r="BQ846" s="79"/>
      <c r="BR846" s="67"/>
      <c r="BS846" s="102"/>
      <c r="BT846" s="106"/>
      <c r="BU846" s="107"/>
      <c r="BV846" s="108" t="str">
        <f t="shared" si="17"/>
        <v/>
      </c>
      <c r="BW846" s="108" t="str">
        <f t="shared" si="16"/>
        <v/>
      </c>
      <c r="BX846" s="102" t="str">
        <f t="shared" si="15"/>
        <v/>
      </c>
      <c r="BY846" s="107" t="str">
        <f t="shared" si="5"/>
        <v/>
      </c>
      <c r="BZ846" s="107" t="str">
        <f t="array" ref="BZ846">IF($A846&lt;&gt;"",INDEX(LISTA!$M$2:$N$27,MATCH($BC846,LISTA!$N$2:$N$27,0),1),"")</f>
        <v/>
      </c>
      <c r="CA846" s="67" t="str">
        <f t="shared" si="6"/>
        <v/>
      </c>
      <c r="CB846" s="114" t="str">
        <f t="shared" si="7"/>
        <v/>
      </c>
      <c r="CC846" s="114"/>
    </row>
    <row r="847" ht="22.5" customHeight="1">
      <c r="A847" s="59"/>
      <c r="B847" s="115"/>
      <c r="C847" s="54"/>
      <c r="D847" s="56"/>
      <c r="E847" s="69"/>
      <c r="F847" s="73"/>
      <c r="G847" s="79"/>
      <c r="H847" s="79"/>
      <c r="I847" s="67"/>
      <c r="J847" s="79"/>
      <c r="K847" s="67"/>
      <c r="L847" s="79"/>
      <c r="M847" s="83"/>
      <c r="N847" s="78"/>
      <c r="O847" s="80"/>
      <c r="P847" s="70"/>
      <c r="Q847" s="54"/>
      <c r="R847" s="67"/>
      <c r="S847" s="67"/>
      <c r="T847" s="54"/>
      <c r="U847" s="86"/>
      <c r="V847" s="54"/>
      <c r="W847" s="86"/>
      <c r="X847" s="54"/>
      <c r="Y847" s="78"/>
      <c r="Z847" s="54"/>
      <c r="AA847" s="70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54"/>
      <c r="AR847" s="83"/>
      <c r="AS847" s="83"/>
      <c r="AT847" s="93"/>
      <c r="AU847" s="93"/>
      <c r="AV847" s="93"/>
      <c r="AW847" s="83"/>
      <c r="AX847" s="83"/>
      <c r="AY847" s="83"/>
      <c r="AZ847" s="83"/>
      <c r="BA847" s="83"/>
      <c r="BB847" s="83"/>
      <c r="BC847" s="54"/>
      <c r="BD847" s="54" t="str">
        <f t="shared" si="1"/>
        <v/>
      </c>
      <c r="BE847" s="67"/>
      <c r="BF847" s="67"/>
      <c r="BG847" s="67"/>
      <c r="BH847" s="67"/>
      <c r="BI847" s="67"/>
      <c r="BJ847" s="67"/>
      <c r="BK847" s="67"/>
      <c r="BL847" s="67"/>
      <c r="BM847" s="67"/>
      <c r="BN847" s="100"/>
      <c r="BO847" s="102"/>
      <c r="BP847" s="67"/>
      <c r="BQ847" s="79"/>
      <c r="BR847" s="67"/>
      <c r="BS847" s="102"/>
      <c r="BT847" s="106"/>
      <c r="BU847" s="107"/>
      <c r="BV847" s="108" t="str">
        <f t="shared" si="17"/>
        <v/>
      </c>
      <c r="BW847" s="108" t="str">
        <f t="shared" si="16"/>
        <v/>
      </c>
      <c r="BX847" s="102" t="str">
        <f t="shared" si="15"/>
        <v/>
      </c>
      <c r="BY847" s="107" t="str">
        <f t="shared" si="5"/>
        <v/>
      </c>
      <c r="BZ847" s="107" t="str">
        <f t="array" ref="BZ847">IF($A847&lt;&gt;"",INDEX(LISTA!$M$2:$N$27,MATCH($BC847,LISTA!$N$2:$N$27,0),1),"")</f>
        <v/>
      </c>
      <c r="CA847" s="67" t="str">
        <f t="shared" si="6"/>
        <v/>
      </c>
      <c r="CB847" s="114" t="str">
        <f t="shared" si="7"/>
        <v/>
      </c>
      <c r="CC847" s="114"/>
    </row>
    <row r="848" ht="22.5" customHeight="1">
      <c r="A848" s="59"/>
      <c r="B848" s="115"/>
      <c r="C848" s="54"/>
      <c r="D848" s="56"/>
      <c r="E848" s="69"/>
      <c r="F848" s="73"/>
      <c r="G848" s="79"/>
      <c r="H848" s="79"/>
      <c r="I848" s="67"/>
      <c r="J848" s="79"/>
      <c r="K848" s="67"/>
      <c r="L848" s="79"/>
      <c r="M848" s="83"/>
      <c r="N848" s="78"/>
      <c r="O848" s="80"/>
      <c r="P848" s="70"/>
      <c r="Q848" s="54"/>
      <c r="R848" s="67"/>
      <c r="S848" s="67"/>
      <c r="T848" s="54"/>
      <c r="U848" s="86"/>
      <c r="V848" s="54"/>
      <c r="W848" s="86"/>
      <c r="X848" s="54"/>
      <c r="Y848" s="78"/>
      <c r="Z848" s="54"/>
      <c r="AA848" s="70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54"/>
      <c r="AR848" s="83"/>
      <c r="AS848" s="83"/>
      <c r="AT848" s="93"/>
      <c r="AU848" s="93"/>
      <c r="AV848" s="93"/>
      <c r="AW848" s="83"/>
      <c r="AX848" s="83"/>
      <c r="AY848" s="83"/>
      <c r="AZ848" s="83"/>
      <c r="BA848" s="83"/>
      <c r="BB848" s="83"/>
      <c r="BC848" s="54"/>
      <c r="BD848" s="54" t="str">
        <f t="shared" si="1"/>
        <v/>
      </c>
      <c r="BE848" s="67"/>
      <c r="BF848" s="67"/>
      <c r="BG848" s="67"/>
      <c r="BH848" s="67"/>
      <c r="BI848" s="67"/>
      <c r="BJ848" s="67"/>
      <c r="BK848" s="67"/>
      <c r="BL848" s="67"/>
      <c r="BM848" s="67"/>
      <c r="BN848" s="100"/>
      <c r="BO848" s="102"/>
      <c r="BP848" s="67"/>
      <c r="BQ848" s="79"/>
      <c r="BR848" s="67"/>
      <c r="BS848" s="102"/>
      <c r="BT848" s="106"/>
      <c r="BU848" s="107"/>
      <c r="BV848" s="108" t="str">
        <f t="shared" si="17"/>
        <v/>
      </c>
      <c r="BW848" s="108" t="str">
        <f t="shared" si="16"/>
        <v/>
      </c>
      <c r="BX848" s="102" t="str">
        <f t="shared" si="15"/>
        <v/>
      </c>
      <c r="BY848" s="107" t="str">
        <f t="shared" si="5"/>
        <v/>
      </c>
      <c r="BZ848" s="107" t="str">
        <f t="array" ref="BZ848">IF($A848&lt;&gt;"",INDEX(LISTA!$M$2:$N$27,MATCH($BC848,LISTA!$N$2:$N$27,0),1),"")</f>
        <v/>
      </c>
      <c r="CA848" s="67" t="str">
        <f t="shared" si="6"/>
        <v/>
      </c>
      <c r="CB848" s="114" t="str">
        <f t="shared" si="7"/>
        <v/>
      </c>
      <c r="CC848" s="114"/>
    </row>
    <row r="849" ht="22.5" customHeight="1">
      <c r="A849" s="59"/>
      <c r="B849" s="115"/>
      <c r="C849" s="54"/>
      <c r="D849" s="56"/>
      <c r="E849" s="69"/>
      <c r="F849" s="73"/>
      <c r="G849" s="79"/>
      <c r="H849" s="79"/>
      <c r="I849" s="67"/>
      <c r="J849" s="79"/>
      <c r="K849" s="67"/>
      <c r="L849" s="79"/>
      <c r="M849" s="83"/>
      <c r="N849" s="78"/>
      <c r="O849" s="80"/>
      <c r="P849" s="70"/>
      <c r="Q849" s="54"/>
      <c r="R849" s="67"/>
      <c r="S849" s="67"/>
      <c r="T849" s="54"/>
      <c r="U849" s="86"/>
      <c r="V849" s="54"/>
      <c r="W849" s="86"/>
      <c r="X849" s="54"/>
      <c r="Y849" s="78"/>
      <c r="Z849" s="54"/>
      <c r="AA849" s="70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54"/>
      <c r="AR849" s="83"/>
      <c r="AS849" s="83"/>
      <c r="AT849" s="93"/>
      <c r="AU849" s="93"/>
      <c r="AV849" s="93"/>
      <c r="AW849" s="83"/>
      <c r="AX849" s="83"/>
      <c r="AY849" s="83"/>
      <c r="AZ849" s="83"/>
      <c r="BA849" s="83"/>
      <c r="BB849" s="83"/>
      <c r="BC849" s="54"/>
      <c r="BD849" s="54" t="str">
        <f t="shared" si="1"/>
        <v/>
      </c>
      <c r="BE849" s="67"/>
      <c r="BF849" s="67"/>
      <c r="BG849" s="67"/>
      <c r="BH849" s="67"/>
      <c r="BI849" s="67"/>
      <c r="BJ849" s="67"/>
      <c r="BK849" s="67"/>
      <c r="BL849" s="67"/>
      <c r="BM849" s="67"/>
      <c r="BN849" s="100"/>
      <c r="BO849" s="102"/>
      <c r="BP849" s="67"/>
      <c r="BQ849" s="79"/>
      <c r="BR849" s="67"/>
      <c r="BS849" s="102"/>
      <c r="BT849" s="106"/>
      <c r="BU849" s="107"/>
      <c r="BV849" s="108" t="str">
        <f t="shared" si="17"/>
        <v/>
      </c>
      <c r="BW849" s="108" t="str">
        <f t="shared" si="16"/>
        <v/>
      </c>
      <c r="BX849" s="102" t="str">
        <f t="shared" si="15"/>
        <v/>
      </c>
      <c r="BY849" s="107" t="str">
        <f t="shared" si="5"/>
        <v/>
      </c>
      <c r="BZ849" s="107" t="str">
        <f t="array" ref="BZ849">IF($A849&lt;&gt;"",INDEX(LISTA!$M$2:$N$27,MATCH($BC849,LISTA!$N$2:$N$27,0),1),"")</f>
        <v/>
      </c>
      <c r="CA849" s="67" t="str">
        <f t="shared" si="6"/>
        <v/>
      </c>
      <c r="CB849" s="114" t="str">
        <f t="shared" si="7"/>
        <v/>
      </c>
      <c r="CC849" s="114"/>
    </row>
    <row r="850" ht="22.5" customHeight="1">
      <c r="A850" s="59"/>
      <c r="B850" s="115"/>
      <c r="C850" s="54"/>
      <c r="D850" s="56"/>
      <c r="E850" s="69"/>
      <c r="F850" s="73"/>
      <c r="G850" s="79"/>
      <c r="H850" s="79"/>
      <c r="I850" s="67"/>
      <c r="J850" s="79"/>
      <c r="K850" s="67"/>
      <c r="L850" s="79"/>
      <c r="M850" s="83"/>
      <c r="N850" s="78"/>
      <c r="O850" s="80"/>
      <c r="P850" s="70"/>
      <c r="Q850" s="54"/>
      <c r="R850" s="67"/>
      <c r="S850" s="67"/>
      <c r="T850" s="54"/>
      <c r="U850" s="86"/>
      <c r="V850" s="54"/>
      <c r="W850" s="86"/>
      <c r="X850" s="54"/>
      <c r="Y850" s="78"/>
      <c r="Z850" s="54"/>
      <c r="AA850" s="70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54"/>
      <c r="AR850" s="83"/>
      <c r="AS850" s="83"/>
      <c r="AT850" s="93"/>
      <c r="AU850" s="93"/>
      <c r="AV850" s="93"/>
      <c r="AW850" s="83"/>
      <c r="AX850" s="83"/>
      <c r="AY850" s="83"/>
      <c r="AZ850" s="83"/>
      <c r="BA850" s="83"/>
      <c r="BB850" s="83"/>
      <c r="BC850" s="54"/>
      <c r="BD850" s="54" t="str">
        <f t="shared" si="1"/>
        <v/>
      </c>
      <c r="BE850" s="67"/>
      <c r="BF850" s="67"/>
      <c r="BG850" s="67"/>
      <c r="BH850" s="67"/>
      <c r="BI850" s="67"/>
      <c r="BJ850" s="67"/>
      <c r="BK850" s="67"/>
      <c r="BL850" s="67"/>
      <c r="BM850" s="67"/>
      <c r="BN850" s="100"/>
      <c r="BO850" s="102"/>
      <c r="BP850" s="67"/>
      <c r="BQ850" s="79"/>
      <c r="BR850" s="67"/>
      <c r="BS850" s="102"/>
      <c r="BT850" s="106"/>
      <c r="BU850" s="107"/>
      <c r="BV850" s="108" t="str">
        <f t="shared" si="17"/>
        <v/>
      </c>
      <c r="BW850" s="108" t="str">
        <f t="shared" si="16"/>
        <v/>
      </c>
      <c r="BX850" s="102" t="str">
        <f t="shared" si="15"/>
        <v/>
      </c>
      <c r="BY850" s="107" t="str">
        <f t="shared" si="5"/>
        <v/>
      </c>
      <c r="BZ850" s="107" t="str">
        <f t="array" ref="BZ850">IF($A850&lt;&gt;"",INDEX(LISTA!$M$2:$N$27,MATCH($BC850,LISTA!$N$2:$N$27,0),1),"")</f>
        <v/>
      </c>
      <c r="CA850" s="67" t="str">
        <f t="shared" si="6"/>
        <v/>
      </c>
      <c r="CB850" s="114" t="str">
        <f t="shared" si="7"/>
        <v/>
      </c>
      <c r="CC850" s="114"/>
    </row>
    <row r="851" ht="22.5" customHeight="1">
      <c r="A851" s="59"/>
      <c r="B851" s="115"/>
      <c r="C851" s="54"/>
      <c r="D851" s="56"/>
      <c r="E851" s="69"/>
      <c r="F851" s="73"/>
      <c r="G851" s="79"/>
      <c r="H851" s="79"/>
      <c r="I851" s="67"/>
      <c r="J851" s="79"/>
      <c r="K851" s="67"/>
      <c r="L851" s="79"/>
      <c r="M851" s="83"/>
      <c r="N851" s="78"/>
      <c r="O851" s="80"/>
      <c r="P851" s="70"/>
      <c r="Q851" s="54"/>
      <c r="R851" s="67"/>
      <c r="S851" s="67"/>
      <c r="T851" s="54"/>
      <c r="U851" s="86"/>
      <c r="V851" s="54"/>
      <c r="W851" s="86"/>
      <c r="X851" s="54"/>
      <c r="Y851" s="78"/>
      <c r="Z851" s="54"/>
      <c r="AA851" s="70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54"/>
      <c r="AR851" s="83"/>
      <c r="AS851" s="83"/>
      <c r="AT851" s="93"/>
      <c r="AU851" s="93"/>
      <c r="AV851" s="93"/>
      <c r="AW851" s="83"/>
      <c r="AX851" s="83"/>
      <c r="AY851" s="83"/>
      <c r="AZ851" s="83"/>
      <c r="BA851" s="83"/>
      <c r="BB851" s="83"/>
      <c r="BC851" s="54"/>
      <c r="BD851" s="54" t="str">
        <f t="shared" si="1"/>
        <v/>
      </c>
      <c r="BE851" s="67"/>
      <c r="BF851" s="67"/>
      <c r="BG851" s="67"/>
      <c r="BH851" s="67"/>
      <c r="BI851" s="67"/>
      <c r="BJ851" s="67"/>
      <c r="BK851" s="67"/>
      <c r="BL851" s="67"/>
      <c r="BM851" s="67"/>
      <c r="BN851" s="100"/>
      <c r="BO851" s="102"/>
      <c r="BP851" s="67"/>
      <c r="BQ851" s="79"/>
      <c r="BR851" s="67"/>
      <c r="BS851" s="102"/>
      <c r="BT851" s="106"/>
      <c r="BU851" s="107"/>
      <c r="BV851" s="108" t="str">
        <f t="shared" si="17"/>
        <v/>
      </c>
      <c r="BW851" s="108" t="str">
        <f t="shared" si="16"/>
        <v/>
      </c>
      <c r="BX851" s="102" t="str">
        <f t="shared" si="15"/>
        <v/>
      </c>
      <c r="BY851" s="107" t="str">
        <f t="shared" si="5"/>
        <v/>
      </c>
      <c r="BZ851" s="107" t="str">
        <f t="array" ref="BZ851">IF($A851&lt;&gt;"",INDEX(LISTA!$M$2:$N$27,MATCH($BC851,LISTA!$N$2:$N$27,0),1),"")</f>
        <v/>
      </c>
      <c r="CA851" s="67" t="str">
        <f t="shared" si="6"/>
        <v/>
      </c>
      <c r="CB851" s="114" t="str">
        <f t="shared" si="7"/>
        <v/>
      </c>
      <c r="CC851" s="114"/>
    </row>
    <row r="852" ht="22.5" customHeight="1">
      <c r="A852" s="59"/>
      <c r="B852" s="115"/>
      <c r="C852" s="54"/>
      <c r="D852" s="56"/>
      <c r="E852" s="69"/>
      <c r="F852" s="73"/>
      <c r="G852" s="79"/>
      <c r="H852" s="79"/>
      <c r="I852" s="67"/>
      <c r="J852" s="79"/>
      <c r="K852" s="67"/>
      <c r="L852" s="79"/>
      <c r="M852" s="83"/>
      <c r="N852" s="78"/>
      <c r="O852" s="80"/>
      <c r="P852" s="70"/>
      <c r="Q852" s="54"/>
      <c r="R852" s="67"/>
      <c r="S852" s="67"/>
      <c r="T852" s="54"/>
      <c r="U852" s="86"/>
      <c r="V852" s="54"/>
      <c r="W852" s="86"/>
      <c r="X852" s="54"/>
      <c r="Y852" s="78"/>
      <c r="Z852" s="54"/>
      <c r="AA852" s="70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54"/>
      <c r="AR852" s="83"/>
      <c r="AS852" s="83"/>
      <c r="AT852" s="93"/>
      <c r="AU852" s="93"/>
      <c r="AV852" s="93"/>
      <c r="AW852" s="83"/>
      <c r="AX852" s="83"/>
      <c r="AY852" s="83"/>
      <c r="AZ852" s="83"/>
      <c r="BA852" s="83"/>
      <c r="BB852" s="83"/>
      <c r="BC852" s="54"/>
      <c r="BD852" s="54" t="str">
        <f t="shared" si="1"/>
        <v/>
      </c>
      <c r="BE852" s="67"/>
      <c r="BF852" s="67"/>
      <c r="BG852" s="67"/>
      <c r="BH852" s="67"/>
      <c r="BI852" s="67"/>
      <c r="BJ852" s="67"/>
      <c r="BK852" s="67"/>
      <c r="BL852" s="67"/>
      <c r="BM852" s="67"/>
      <c r="BN852" s="100"/>
      <c r="BO852" s="102"/>
      <c r="BP852" s="67"/>
      <c r="BQ852" s="79"/>
      <c r="BR852" s="67"/>
      <c r="BS852" s="102"/>
      <c r="BT852" s="106"/>
      <c r="BU852" s="107"/>
      <c r="BV852" s="108" t="str">
        <f t="shared" si="17"/>
        <v/>
      </c>
      <c r="BW852" s="108" t="str">
        <f t="shared" si="16"/>
        <v/>
      </c>
      <c r="BX852" s="102" t="str">
        <f t="shared" si="15"/>
        <v/>
      </c>
      <c r="BY852" s="107" t="str">
        <f t="shared" si="5"/>
        <v/>
      </c>
      <c r="BZ852" s="107" t="str">
        <f t="array" ref="BZ852">IF($A852&lt;&gt;"",INDEX(LISTA!$M$2:$N$27,MATCH($BC852,LISTA!$N$2:$N$27,0),1),"")</f>
        <v/>
      </c>
      <c r="CA852" s="67" t="str">
        <f t="shared" si="6"/>
        <v/>
      </c>
      <c r="CB852" s="114" t="str">
        <f t="shared" si="7"/>
        <v/>
      </c>
      <c r="CC852" s="114"/>
    </row>
    <row r="853" ht="22.5" customHeight="1">
      <c r="A853" s="59"/>
      <c r="B853" s="115"/>
      <c r="C853" s="54"/>
      <c r="D853" s="56"/>
      <c r="E853" s="69"/>
      <c r="F853" s="73"/>
      <c r="G853" s="79"/>
      <c r="H853" s="79"/>
      <c r="I853" s="67"/>
      <c r="J853" s="79"/>
      <c r="K853" s="67"/>
      <c r="L853" s="79"/>
      <c r="M853" s="83"/>
      <c r="N853" s="78"/>
      <c r="O853" s="80"/>
      <c r="P853" s="70"/>
      <c r="Q853" s="54"/>
      <c r="R853" s="67"/>
      <c r="S853" s="67"/>
      <c r="T853" s="54"/>
      <c r="U853" s="86"/>
      <c r="V853" s="54"/>
      <c r="W853" s="86"/>
      <c r="X853" s="54"/>
      <c r="Y853" s="78"/>
      <c r="Z853" s="54"/>
      <c r="AA853" s="70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54"/>
      <c r="AR853" s="83"/>
      <c r="AS853" s="83"/>
      <c r="AT853" s="93"/>
      <c r="AU853" s="93"/>
      <c r="AV853" s="93"/>
      <c r="AW853" s="83"/>
      <c r="AX853" s="83"/>
      <c r="AY853" s="83"/>
      <c r="AZ853" s="83"/>
      <c r="BA853" s="83"/>
      <c r="BB853" s="83"/>
      <c r="BC853" s="54"/>
      <c r="BD853" s="54" t="str">
        <f t="shared" si="1"/>
        <v/>
      </c>
      <c r="BE853" s="67"/>
      <c r="BF853" s="67"/>
      <c r="BG853" s="67"/>
      <c r="BH853" s="67"/>
      <c r="BI853" s="67"/>
      <c r="BJ853" s="67"/>
      <c r="BK853" s="67"/>
      <c r="BL853" s="67"/>
      <c r="BM853" s="67"/>
      <c r="BN853" s="100"/>
      <c r="BO853" s="102"/>
      <c r="BP853" s="67"/>
      <c r="BQ853" s="79"/>
      <c r="BR853" s="67"/>
      <c r="BS853" s="102"/>
      <c r="BT853" s="106"/>
      <c r="BU853" s="107"/>
      <c r="BV853" s="108" t="str">
        <f t="shared" si="17"/>
        <v/>
      </c>
      <c r="BW853" s="108" t="str">
        <f t="shared" si="16"/>
        <v/>
      </c>
      <c r="BX853" s="102" t="str">
        <f t="shared" si="15"/>
        <v/>
      </c>
      <c r="BY853" s="107" t="str">
        <f t="shared" si="5"/>
        <v/>
      </c>
      <c r="BZ853" s="107" t="str">
        <f t="array" ref="BZ853">IF($A853&lt;&gt;"",INDEX(LISTA!$M$2:$N$27,MATCH($BC853,LISTA!$N$2:$N$27,0),1),"")</f>
        <v/>
      </c>
      <c r="CA853" s="67" t="str">
        <f t="shared" si="6"/>
        <v/>
      </c>
      <c r="CB853" s="114" t="str">
        <f t="shared" si="7"/>
        <v/>
      </c>
      <c r="CC853" s="114"/>
    </row>
    <row r="854" ht="22.5" customHeight="1">
      <c r="A854" s="59"/>
      <c r="B854" s="115"/>
      <c r="C854" s="54"/>
      <c r="D854" s="56"/>
      <c r="E854" s="69"/>
      <c r="F854" s="73"/>
      <c r="G854" s="79"/>
      <c r="H854" s="79"/>
      <c r="I854" s="67"/>
      <c r="J854" s="79"/>
      <c r="K854" s="67"/>
      <c r="L854" s="79"/>
      <c r="M854" s="83"/>
      <c r="N854" s="78"/>
      <c r="O854" s="80"/>
      <c r="P854" s="70"/>
      <c r="Q854" s="54"/>
      <c r="R854" s="67"/>
      <c r="S854" s="67"/>
      <c r="T854" s="54"/>
      <c r="U854" s="86"/>
      <c r="V854" s="54"/>
      <c r="W854" s="86"/>
      <c r="X854" s="54"/>
      <c r="Y854" s="78"/>
      <c r="Z854" s="54"/>
      <c r="AA854" s="70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54"/>
      <c r="AR854" s="83"/>
      <c r="AS854" s="83"/>
      <c r="AT854" s="93"/>
      <c r="AU854" s="93"/>
      <c r="AV854" s="93"/>
      <c r="AW854" s="83"/>
      <c r="AX854" s="83"/>
      <c r="AY854" s="83"/>
      <c r="AZ854" s="83"/>
      <c r="BA854" s="83"/>
      <c r="BB854" s="83"/>
      <c r="BC854" s="54"/>
      <c r="BD854" s="54" t="str">
        <f t="shared" si="1"/>
        <v/>
      </c>
      <c r="BE854" s="67"/>
      <c r="BF854" s="67"/>
      <c r="BG854" s="67"/>
      <c r="BH854" s="67"/>
      <c r="BI854" s="67"/>
      <c r="BJ854" s="67"/>
      <c r="BK854" s="67"/>
      <c r="BL854" s="67"/>
      <c r="BM854" s="67"/>
      <c r="BN854" s="100"/>
      <c r="BO854" s="102"/>
      <c r="BP854" s="67"/>
      <c r="BQ854" s="79"/>
      <c r="BR854" s="67"/>
      <c r="BS854" s="102"/>
      <c r="BT854" s="106"/>
      <c r="BU854" s="107"/>
      <c r="BV854" s="108" t="str">
        <f t="shared" si="17"/>
        <v/>
      </c>
      <c r="BW854" s="108" t="str">
        <f t="shared" si="16"/>
        <v/>
      </c>
      <c r="BX854" s="102" t="str">
        <f t="shared" si="15"/>
        <v/>
      </c>
      <c r="BY854" s="107" t="str">
        <f t="shared" si="5"/>
        <v/>
      </c>
      <c r="BZ854" s="107" t="str">
        <f t="array" ref="BZ854">IF($A854&lt;&gt;"",INDEX(LISTA!$M$2:$N$27,MATCH($BC854,LISTA!$N$2:$N$27,0),1),"")</f>
        <v/>
      </c>
      <c r="CA854" s="67" t="str">
        <f t="shared" si="6"/>
        <v/>
      </c>
      <c r="CB854" s="114" t="str">
        <f t="shared" si="7"/>
        <v/>
      </c>
      <c r="CC854" s="114"/>
    </row>
    <row r="855" ht="22.5" customHeight="1">
      <c r="A855" s="59"/>
      <c r="B855" s="115"/>
      <c r="C855" s="54"/>
      <c r="D855" s="56"/>
      <c r="E855" s="69"/>
      <c r="F855" s="73"/>
      <c r="G855" s="79"/>
      <c r="H855" s="79"/>
      <c r="I855" s="67"/>
      <c r="J855" s="79"/>
      <c r="K855" s="67"/>
      <c r="L855" s="79"/>
      <c r="M855" s="83"/>
      <c r="N855" s="78"/>
      <c r="O855" s="80"/>
      <c r="P855" s="70"/>
      <c r="Q855" s="54"/>
      <c r="R855" s="67"/>
      <c r="S855" s="67"/>
      <c r="T855" s="54"/>
      <c r="U855" s="86"/>
      <c r="V855" s="54"/>
      <c r="W855" s="86"/>
      <c r="X855" s="54"/>
      <c r="Y855" s="78"/>
      <c r="Z855" s="54"/>
      <c r="AA855" s="70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54"/>
      <c r="AR855" s="83"/>
      <c r="AS855" s="83"/>
      <c r="AT855" s="93"/>
      <c r="AU855" s="93"/>
      <c r="AV855" s="93"/>
      <c r="AW855" s="83"/>
      <c r="AX855" s="83"/>
      <c r="AY855" s="83"/>
      <c r="AZ855" s="83"/>
      <c r="BA855" s="83"/>
      <c r="BB855" s="83"/>
      <c r="BC855" s="54"/>
      <c r="BD855" s="54" t="str">
        <f t="shared" si="1"/>
        <v/>
      </c>
      <c r="BE855" s="67"/>
      <c r="BF855" s="67"/>
      <c r="BG855" s="67"/>
      <c r="BH855" s="67"/>
      <c r="BI855" s="67"/>
      <c r="BJ855" s="67"/>
      <c r="BK855" s="67"/>
      <c r="BL855" s="67"/>
      <c r="BM855" s="67"/>
      <c r="BN855" s="100"/>
      <c r="BO855" s="102"/>
      <c r="BP855" s="67"/>
      <c r="BQ855" s="79"/>
      <c r="BR855" s="67"/>
      <c r="BS855" s="102"/>
      <c r="BT855" s="106"/>
      <c r="BU855" s="107"/>
      <c r="BV855" s="108" t="str">
        <f t="shared" si="17"/>
        <v/>
      </c>
      <c r="BW855" s="108" t="str">
        <f t="shared" si="16"/>
        <v/>
      </c>
      <c r="BX855" s="102" t="str">
        <f t="shared" si="15"/>
        <v/>
      </c>
      <c r="BY855" s="107" t="str">
        <f t="shared" si="5"/>
        <v/>
      </c>
      <c r="BZ855" s="107" t="str">
        <f t="array" ref="BZ855">IF($A855&lt;&gt;"",INDEX(LISTA!$M$2:$N$27,MATCH($BC855,LISTA!$N$2:$N$27,0),1),"")</f>
        <v/>
      </c>
      <c r="CA855" s="67" t="str">
        <f t="shared" si="6"/>
        <v/>
      </c>
      <c r="CB855" s="114" t="str">
        <f t="shared" si="7"/>
        <v/>
      </c>
      <c r="CC855" s="114"/>
    </row>
    <row r="856" ht="22.5" customHeight="1">
      <c r="A856" s="59"/>
      <c r="B856" s="115"/>
      <c r="C856" s="54"/>
      <c r="D856" s="56"/>
      <c r="E856" s="69"/>
      <c r="F856" s="73"/>
      <c r="G856" s="79"/>
      <c r="H856" s="79"/>
      <c r="I856" s="67"/>
      <c r="J856" s="79"/>
      <c r="K856" s="67"/>
      <c r="L856" s="79"/>
      <c r="M856" s="83"/>
      <c r="N856" s="78"/>
      <c r="O856" s="80"/>
      <c r="P856" s="70"/>
      <c r="Q856" s="54"/>
      <c r="R856" s="67"/>
      <c r="S856" s="67"/>
      <c r="T856" s="54"/>
      <c r="U856" s="86"/>
      <c r="V856" s="54"/>
      <c r="W856" s="86"/>
      <c r="X856" s="54"/>
      <c r="Y856" s="78"/>
      <c r="Z856" s="54"/>
      <c r="AA856" s="70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54"/>
      <c r="AR856" s="83"/>
      <c r="AS856" s="83"/>
      <c r="AT856" s="93"/>
      <c r="AU856" s="93"/>
      <c r="AV856" s="93"/>
      <c r="AW856" s="83"/>
      <c r="AX856" s="83"/>
      <c r="AY856" s="83"/>
      <c r="AZ856" s="83"/>
      <c r="BA856" s="83"/>
      <c r="BB856" s="83"/>
      <c r="BC856" s="54"/>
      <c r="BD856" s="54" t="str">
        <f t="shared" si="1"/>
        <v/>
      </c>
      <c r="BE856" s="67"/>
      <c r="BF856" s="67"/>
      <c r="BG856" s="67"/>
      <c r="BH856" s="67"/>
      <c r="BI856" s="67"/>
      <c r="BJ856" s="67"/>
      <c r="BK856" s="67"/>
      <c r="BL856" s="67"/>
      <c r="BM856" s="67"/>
      <c r="BN856" s="100"/>
      <c r="BO856" s="102"/>
      <c r="BP856" s="67"/>
      <c r="BQ856" s="79"/>
      <c r="BR856" s="67"/>
      <c r="BS856" s="102"/>
      <c r="BT856" s="106"/>
      <c r="BU856" s="107"/>
      <c r="BV856" s="108" t="str">
        <f t="shared" si="17"/>
        <v/>
      </c>
      <c r="BW856" s="108" t="str">
        <f t="shared" si="16"/>
        <v/>
      </c>
      <c r="BX856" s="102" t="str">
        <f t="shared" si="15"/>
        <v/>
      </c>
      <c r="BY856" s="107" t="str">
        <f t="shared" si="5"/>
        <v/>
      </c>
      <c r="BZ856" s="107" t="str">
        <f t="array" ref="BZ856">IF($A856&lt;&gt;"",INDEX(LISTA!$M$2:$N$27,MATCH($BC856,LISTA!$N$2:$N$27,0),1),"")</f>
        <v/>
      </c>
      <c r="CA856" s="67" t="str">
        <f t="shared" si="6"/>
        <v/>
      </c>
      <c r="CB856" s="114" t="str">
        <f t="shared" si="7"/>
        <v/>
      </c>
      <c r="CC856" s="114"/>
    </row>
    <row r="857" ht="22.5" customHeight="1">
      <c r="A857" s="59"/>
      <c r="B857" s="115"/>
      <c r="C857" s="54"/>
      <c r="D857" s="56"/>
      <c r="E857" s="69"/>
      <c r="F857" s="73"/>
      <c r="G857" s="79"/>
      <c r="H857" s="79"/>
      <c r="I857" s="67"/>
      <c r="J857" s="79"/>
      <c r="K857" s="67"/>
      <c r="L857" s="79"/>
      <c r="M857" s="83"/>
      <c r="N857" s="78"/>
      <c r="O857" s="80"/>
      <c r="P857" s="70"/>
      <c r="Q857" s="54"/>
      <c r="R857" s="67"/>
      <c r="S857" s="67"/>
      <c r="T857" s="54"/>
      <c r="U857" s="86"/>
      <c r="V857" s="54"/>
      <c r="W857" s="86"/>
      <c r="X857" s="54"/>
      <c r="Y857" s="78"/>
      <c r="Z857" s="54"/>
      <c r="AA857" s="70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54"/>
      <c r="AR857" s="83"/>
      <c r="AS857" s="83"/>
      <c r="AT857" s="93"/>
      <c r="AU857" s="93"/>
      <c r="AV857" s="93"/>
      <c r="AW857" s="83"/>
      <c r="AX857" s="83"/>
      <c r="AY857" s="83"/>
      <c r="AZ857" s="83"/>
      <c r="BA857" s="83"/>
      <c r="BB857" s="83"/>
      <c r="BC857" s="54"/>
      <c r="BD857" s="54" t="str">
        <f t="shared" si="1"/>
        <v/>
      </c>
      <c r="BE857" s="67"/>
      <c r="BF857" s="67"/>
      <c r="BG857" s="67"/>
      <c r="BH857" s="67"/>
      <c r="BI857" s="67"/>
      <c r="BJ857" s="67"/>
      <c r="BK857" s="67"/>
      <c r="BL857" s="67"/>
      <c r="BM857" s="67"/>
      <c r="BN857" s="100"/>
      <c r="BO857" s="102"/>
      <c r="BP857" s="67"/>
      <c r="BQ857" s="79"/>
      <c r="BR857" s="67"/>
      <c r="BS857" s="102"/>
      <c r="BT857" s="106"/>
      <c r="BU857" s="107"/>
      <c r="BV857" s="108" t="str">
        <f t="shared" si="17"/>
        <v/>
      </c>
      <c r="BW857" s="108" t="str">
        <f t="shared" si="16"/>
        <v/>
      </c>
      <c r="BX857" s="102" t="str">
        <f t="shared" si="15"/>
        <v/>
      </c>
      <c r="BY857" s="107" t="str">
        <f t="shared" si="5"/>
        <v/>
      </c>
      <c r="BZ857" s="107" t="str">
        <f t="array" ref="BZ857">IF($A857&lt;&gt;"",INDEX(LISTA!$M$2:$N$27,MATCH($BC857,LISTA!$N$2:$N$27,0),1),"")</f>
        <v/>
      </c>
      <c r="CA857" s="67" t="str">
        <f t="shared" si="6"/>
        <v/>
      </c>
      <c r="CB857" s="114" t="str">
        <f t="shared" si="7"/>
        <v/>
      </c>
      <c r="CC857" s="114"/>
    </row>
    <row r="858" ht="22.5" customHeight="1">
      <c r="A858" s="59"/>
      <c r="B858" s="115"/>
      <c r="C858" s="54"/>
      <c r="D858" s="56"/>
      <c r="E858" s="69"/>
      <c r="F858" s="73"/>
      <c r="G858" s="79"/>
      <c r="H858" s="79"/>
      <c r="I858" s="67"/>
      <c r="J858" s="79"/>
      <c r="K858" s="67"/>
      <c r="L858" s="79"/>
      <c r="M858" s="83"/>
      <c r="N858" s="78"/>
      <c r="O858" s="80"/>
      <c r="P858" s="70"/>
      <c r="Q858" s="54"/>
      <c r="R858" s="67"/>
      <c r="S858" s="67"/>
      <c r="T858" s="54"/>
      <c r="U858" s="86"/>
      <c r="V858" s="54"/>
      <c r="W858" s="86"/>
      <c r="X858" s="54"/>
      <c r="Y858" s="78"/>
      <c r="Z858" s="54"/>
      <c r="AA858" s="70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54"/>
      <c r="AR858" s="83"/>
      <c r="AS858" s="83"/>
      <c r="AT858" s="93"/>
      <c r="AU858" s="93"/>
      <c r="AV858" s="93"/>
      <c r="AW858" s="83"/>
      <c r="AX858" s="83"/>
      <c r="AY858" s="83"/>
      <c r="AZ858" s="83"/>
      <c r="BA858" s="83"/>
      <c r="BB858" s="83"/>
      <c r="BC858" s="54"/>
      <c r="BD858" s="54" t="str">
        <f t="shared" si="1"/>
        <v/>
      </c>
      <c r="BE858" s="67"/>
      <c r="BF858" s="67"/>
      <c r="BG858" s="67"/>
      <c r="BH858" s="67"/>
      <c r="BI858" s="67"/>
      <c r="BJ858" s="67"/>
      <c r="BK858" s="67"/>
      <c r="BL858" s="67"/>
      <c r="BM858" s="67"/>
      <c r="BN858" s="100"/>
      <c r="BO858" s="102"/>
      <c r="BP858" s="67"/>
      <c r="BQ858" s="79"/>
      <c r="BR858" s="67"/>
      <c r="BS858" s="102"/>
      <c r="BT858" s="106"/>
      <c r="BU858" s="107"/>
      <c r="BV858" s="108" t="str">
        <f t="shared" si="17"/>
        <v/>
      </c>
      <c r="BW858" s="108" t="str">
        <f t="shared" si="16"/>
        <v/>
      </c>
      <c r="BX858" s="102" t="str">
        <f t="shared" si="15"/>
        <v/>
      </c>
      <c r="BY858" s="107" t="str">
        <f t="shared" si="5"/>
        <v/>
      </c>
      <c r="BZ858" s="107" t="str">
        <f t="array" ref="BZ858">IF($A858&lt;&gt;"",INDEX(LISTA!$M$2:$N$27,MATCH($BC858,LISTA!$N$2:$N$27,0),1),"")</f>
        <v/>
      </c>
      <c r="CA858" s="67" t="str">
        <f t="shared" si="6"/>
        <v/>
      </c>
      <c r="CB858" s="114" t="str">
        <f t="shared" si="7"/>
        <v/>
      </c>
      <c r="CC858" s="114"/>
    </row>
    <row r="859" ht="22.5" customHeight="1">
      <c r="A859" s="59"/>
      <c r="B859" s="115"/>
      <c r="C859" s="54"/>
      <c r="D859" s="56"/>
      <c r="E859" s="69"/>
      <c r="F859" s="73"/>
      <c r="G859" s="79"/>
      <c r="H859" s="79"/>
      <c r="I859" s="67"/>
      <c r="J859" s="79"/>
      <c r="K859" s="67"/>
      <c r="L859" s="79"/>
      <c r="M859" s="83"/>
      <c r="N859" s="78"/>
      <c r="O859" s="80"/>
      <c r="P859" s="70"/>
      <c r="Q859" s="54"/>
      <c r="R859" s="67"/>
      <c r="S859" s="67"/>
      <c r="T859" s="54"/>
      <c r="U859" s="86"/>
      <c r="V859" s="54"/>
      <c r="W859" s="86"/>
      <c r="X859" s="54"/>
      <c r="Y859" s="78"/>
      <c r="Z859" s="54"/>
      <c r="AA859" s="70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54"/>
      <c r="AR859" s="83"/>
      <c r="AS859" s="83"/>
      <c r="AT859" s="93"/>
      <c r="AU859" s="93"/>
      <c r="AV859" s="93"/>
      <c r="AW859" s="83"/>
      <c r="AX859" s="83"/>
      <c r="AY859" s="83"/>
      <c r="AZ859" s="83"/>
      <c r="BA859" s="83"/>
      <c r="BB859" s="83"/>
      <c r="BC859" s="54"/>
      <c r="BD859" s="54" t="str">
        <f t="shared" si="1"/>
        <v/>
      </c>
      <c r="BE859" s="67"/>
      <c r="BF859" s="67"/>
      <c r="BG859" s="67"/>
      <c r="BH859" s="67"/>
      <c r="BI859" s="67"/>
      <c r="BJ859" s="67"/>
      <c r="BK859" s="67"/>
      <c r="BL859" s="67"/>
      <c r="BM859" s="67"/>
      <c r="BN859" s="100"/>
      <c r="BO859" s="102"/>
      <c r="BP859" s="67"/>
      <c r="BQ859" s="79"/>
      <c r="BR859" s="67"/>
      <c r="BS859" s="102"/>
      <c r="BT859" s="106"/>
      <c r="BU859" s="107"/>
      <c r="BV859" s="108" t="str">
        <f t="shared" si="17"/>
        <v/>
      </c>
      <c r="BW859" s="108" t="str">
        <f t="shared" si="16"/>
        <v/>
      </c>
      <c r="BX859" s="102" t="str">
        <f t="shared" si="15"/>
        <v/>
      </c>
      <c r="BY859" s="107" t="str">
        <f t="shared" si="5"/>
        <v/>
      </c>
      <c r="BZ859" s="107" t="str">
        <f t="array" ref="BZ859">IF($A859&lt;&gt;"",INDEX(LISTA!$M$2:$N$27,MATCH($BC859,LISTA!$N$2:$N$27,0),1),"")</f>
        <v/>
      </c>
      <c r="CA859" s="67" t="str">
        <f t="shared" si="6"/>
        <v/>
      </c>
      <c r="CB859" s="114" t="str">
        <f t="shared" si="7"/>
        <v/>
      </c>
      <c r="CC859" s="114"/>
    </row>
    <row r="860" ht="22.5" customHeight="1">
      <c r="A860" s="59"/>
      <c r="B860" s="115"/>
      <c r="C860" s="54"/>
      <c r="D860" s="56"/>
      <c r="E860" s="69"/>
      <c r="F860" s="73"/>
      <c r="G860" s="79"/>
      <c r="H860" s="79"/>
      <c r="I860" s="67"/>
      <c r="J860" s="79"/>
      <c r="K860" s="67"/>
      <c r="L860" s="79"/>
      <c r="M860" s="83"/>
      <c r="N860" s="78"/>
      <c r="O860" s="80"/>
      <c r="P860" s="70"/>
      <c r="Q860" s="54"/>
      <c r="R860" s="67"/>
      <c r="S860" s="67"/>
      <c r="T860" s="54"/>
      <c r="U860" s="86"/>
      <c r="V860" s="54"/>
      <c r="W860" s="86"/>
      <c r="X860" s="54"/>
      <c r="Y860" s="78"/>
      <c r="Z860" s="54"/>
      <c r="AA860" s="70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54"/>
      <c r="AR860" s="83"/>
      <c r="AS860" s="83"/>
      <c r="AT860" s="93"/>
      <c r="AU860" s="93"/>
      <c r="AV860" s="93"/>
      <c r="AW860" s="83"/>
      <c r="AX860" s="83"/>
      <c r="AY860" s="83"/>
      <c r="AZ860" s="83"/>
      <c r="BA860" s="83"/>
      <c r="BB860" s="83"/>
      <c r="BC860" s="54"/>
      <c r="BD860" s="54" t="str">
        <f t="shared" si="1"/>
        <v/>
      </c>
      <c r="BE860" s="67"/>
      <c r="BF860" s="67"/>
      <c r="BG860" s="67"/>
      <c r="BH860" s="67"/>
      <c r="BI860" s="67"/>
      <c r="BJ860" s="67"/>
      <c r="BK860" s="67"/>
      <c r="BL860" s="67"/>
      <c r="BM860" s="67"/>
      <c r="BN860" s="100"/>
      <c r="BO860" s="102"/>
      <c r="BP860" s="67"/>
      <c r="BQ860" s="79"/>
      <c r="BR860" s="67"/>
      <c r="BS860" s="102"/>
      <c r="BT860" s="106"/>
      <c r="BU860" s="107"/>
      <c r="BV860" s="108" t="str">
        <f t="shared" si="17"/>
        <v/>
      </c>
      <c r="BW860" s="108" t="str">
        <f t="shared" si="16"/>
        <v/>
      </c>
      <c r="BX860" s="102" t="str">
        <f t="shared" si="15"/>
        <v/>
      </c>
      <c r="BY860" s="107" t="str">
        <f t="shared" si="5"/>
        <v/>
      </c>
      <c r="BZ860" s="107" t="str">
        <f t="array" ref="BZ860">IF($A860&lt;&gt;"",INDEX(LISTA!$M$2:$N$27,MATCH($BC860,LISTA!$N$2:$N$27,0),1),"")</f>
        <v/>
      </c>
      <c r="CA860" s="67" t="str">
        <f t="shared" si="6"/>
        <v/>
      </c>
      <c r="CB860" s="114" t="str">
        <f t="shared" si="7"/>
        <v/>
      </c>
      <c r="CC860" s="114"/>
    </row>
    <row r="861" ht="22.5" customHeight="1">
      <c r="A861" s="59"/>
      <c r="B861" s="115"/>
      <c r="C861" s="54"/>
      <c r="D861" s="56"/>
      <c r="E861" s="69"/>
      <c r="F861" s="73"/>
      <c r="G861" s="79"/>
      <c r="H861" s="79"/>
      <c r="I861" s="67"/>
      <c r="J861" s="79"/>
      <c r="K861" s="67"/>
      <c r="L861" s="79"/>
      <c r="M861" s="83"/>
      <c r="N861" s="78"/>
      <c r="O861" s="80"/>
      <c r="P861" s="70"/>
      <c r="Q861" s="54"/>
      <c r="R861" s="67"/>
      <c r="S861" s="67"/>
      <c r="T861" s="54"/>
      <c r="U861" s="86"/>
      <c r="V861" s="54"/>
      <c r="W861" s="86"/>
      <c r="X861" s="54"/>
      <c r="Y861" s="78"/>
      <c r="Z861" s="54"/>
      <c r="AA861" s="70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54"/>
      <c r="AR861" s="83"/>
      <c r="AS861" s="83"/>
      <c r="AT861" s="93"/>
      <c r="AU861" s="93"/>
      <c r="AV861" s="93"/>
      <c r="AW861" s="83"/>
      <c r="AX861" s="83"/>
      <c r="AY861" s="83"/>
      <c r="AZ861" s="83"/>
      <c r="BA861" s="83"/>
      <c r="BB861" s="83"/>
      <c r="BC861" s="54"/>
      <c r="BD861" s="54" t="str">
        <f t="shared" si="1"/>
        <v/>
      </c>
      <c r="BE861" s="67"/>
      <c r="BF861" s="67"/>
      <c r="BG861" s="67"/>
      <c r="BH861" s="67"/>
      <c r="BI861" s="67"/>
      <c r="BJ861" s="67"/>
      <c r="BK861" s="67"/>
      <c r="BL861" s="67"/>
      <c r="BM861" s="67"/>
      <c r="BN861" s="100"/>
      <c r="BO861" s="102"/>
      <c r="BP861" s="67"/>
      <c r="BQ861" s="79"/>
      <c r="BR861" s="67"/>
      <c r="BS861" s="102"/>
      <c r="BT861" s="106"/>
      <c r="BU861" s="107"/>
      <c r="BV861" s="108" t="str">
        <f t="shared" si="17"/>
        <v/>
      </c>
      <c r="BW861" s="108" t="str">
        <f t="shared" si="16"/>
        <v/>
      </c>
      <c r="BX861" s="102" t="str">
        <f t="shared" si="15"/>
        <v/>
      </c>
      <c r="BY861" s="107" t="str">
        <f t="shared" si="5"/>
        <v/>
      </c>
      <c r="BZ861" s="107" t="str">
        <f t="array" ref="BZ861">IF($A861&lt;&gt;"",INDEX(LISTA!$M$2:$N$27,MATCH($BC861,LISTA!$N$2:$N$27,0),1),"")</f>
        <v/>
      </c>
      <c r="CA861" s="67" t="str">
        <f t="shared" si="6"/>
        <v/>
      </c>
      <c r="CB861" s="114" t="str">
        <f t="shared" si="7"/>
        <v/>
      </c>
      <c r="CC861" s="114"/>
    </row>
    <row r="862" ht="22.5" customHeight="1">
      <c r="A862" s="59"/>
      <c r="B862" s="115"/>
      <c r="C862" s="54"/>
      <c r="D862" s="56"/>
      <c r="E862" s="69"/>
      <c r="F862" s="73"/>
      <c r="G862" s="79"/>
      <c r="H862" s="79"/>
      <c r="I862" s="67"/>
      <c r="J862" s="79"/>
      <c r="K862" s="67"/>
      <c r="L862" s="79"/>
      <c r="M862" s="83"/>
      <c r="N862" s="78"/>
      <c r="O862" s="80"/>
      <c r="P862" s="70"/>
      <c r="Q862" s="54"/>
      <c r="R862" s="67"/>
      <c r="S862" s="67"/>
      <c r="T862" s="54"/>
      <c r="U862" s="86"/>
      <c r="V862" s="54"/>
      <c r="W862" s="86"/>
      <c r="X862" s="54"/>
      <c r="Y862" s="78"/>
      <c r="Z862" s="54"/>
      <c r="AA862" s="70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54"/>
      <c r="AR862" s="83"/>
      <c r="AS862" s="83"/>
      <c r="AT862" s="93"/>
      <c r="AU862" s="93"/>
      <c r="AV862" s="93"/>
      <c r="AW862" s="83"/>
      <c r="AX862" s="83"/>
      <c r="AY862" s="83"/>
      <c r="AZ862" s="83"/>
      <c r="BA862" s="83"/>
      <c r="BB862" s="83"/>
      <c r="BC862" s="54"/>
      <c r="BD862" s="54" t="str">
        <f t="shared" si="1"/>
        <v/>
      </c>
      <c r="BE862" s="67"/>
      <c r="BF862" s="67"/>
      <c r="BG862" s="67"/>
      <c r="BH862" s="67"/>
      <c r="BI862" s="67"/>
      <c r="BJ862" s="67"/>
      <c r="BK862" s="67"/>
      <c r="BL862" s="67"/>
      <c r="BM862" s="67"/>
      <c r="BN862" s="100"/>
      <c r="BO862" s="102"/>
      <c r="BP862" s="67"/>
      <c r="BQ862" s="79"/>
      <c r="BR862" s="67"/>
      <c r="BS862" s="102"/>
      <c r="BT862" s="106"/>
      <c r="BU862" s="107"/>
      <c r="BV862" s="108" t="str">
        <f t="shared" si="17"/>
        <v/>
      </c>
      <c r="BW862" s="108" t="str">
        <f t="shared" si="16"/>
        <v/>
      </c>
      <c r="BX862" s="102" t="str">
        <f t="shared" si="15"/>
        <v/>
      </c>
      <c r="BY862" s="107" t="str">
        <f t="shared" si="5"/>
        <v/>
      </c>
      <c r="BZ862" s="107" t="str">
        <f t="array" ref="BZ862">IF($A862&lt;&gt;"",INDEX(LISTA!$M$2:$N$27,MATCH($BC862,LISTA!$N$2:$N$27,0),1),"")</f>
        <v/>
      </c>
      <c r="CA862" s="67" t="str">
        <f t="shared" si="6"/>
        <v/>
      </c>
      <c r="CB862" s="114" t="str">
        <f t="shared" si="7"/>
        <v/>
      </c>
      <c r="CC862" s="114"/>
    </row>
    <row r="863" ht="22.5" customHeight="1">
      <c r="A863" s="59"/>
      <c r="B863" s="115"/>
      <c r="C863" s="54"/>
      <c r="D863" s="56"/>
      <c r="E863" s="69"/>
      <c r="F863" s="73"/>
      <c r="G863" s="79"/>
      <c r="H863" s="79"/>
      <c r="I863" s="67"/>
      <c r="J863" s="79"/>
      <c r="K863" s="67"/>
      <c r="L863" s="79"/>
      <c r="M863" s="83"/>
      <c r="N863" s="78"/>
      <c r="O863" s="80"/>
      <c r="P863" s="70"/>
      <c r="Q863" s="54"/>
      <c r="R863" s="67"/>
      <c r="S863" s="67"/>
      <c r="T863" s="54"/>
      <c r="U863" s="86"/>
      <c r="V863" s="54"/>
      <c r="W863" s="86"/>
      <c r="X863" s="54"/>
      <c r="Y863" s="78"/>
      <c r="Z863" s="54"/>
      <c r="AA863" s="70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54"/>
      <c r="AR863" s="83"/>
      <c r="AS863" s="83"/>
      <c r="AT863" s="93"/>
      <c r="AU863" s="93"/>
      <c r="AV863" s="93"/>
      <c r="AW863" s="83"/>
      <c r="AX863" s="83"/>
      <c r="AY863" s="83"/>
      <c r="AZ863" s="83"/>
      <c r="BA863" s="83"/>
      <c r="BB863" s="83"/>
      <c r="BC863" s="54"/>
      <c r="BD863" s="54" t="str">
        <f t="shared" si="1"/>
        <v/>
      </c>
      <c r="BE863" s="67"/>
      <c r="BF863" s="67"/>
      <c r="BG863" s="67"/>
      <c r="BH863" s="67"/>
      <c r="BI863" s="67"/>
      <c r="BJ863" s="67"/>
      <c r="BK863" s="67"/>
      <c r="BL863" s="67"/>
      <c r="BM863" s="67"/>
      <c r="BN863" s="100"/>
      <c r="BO863" s="102"/>
      <c r="BP863" s="67"/>
      <c r="BQ863" s="79"/>
      <c r="BR863" s="67"/>
      <c r="BS863" s="102"/>
      <c r="BT863" s="106"/>
      <c r="BU863" s="107"/>
      <c r="BV863" s="108" t="str">
        <f t="shared" si="17"/>
        <v/>
      </c>
      <c r="BW863" s="108" t="str">
        <f t="shared" si="16"/>
        <v/>
      </c>
      <c r="BX863" s="102" t="str">
        <f t="shared" si="15"/>
        <v/>
      </c>
      <c r="BY863" s="107" t="str">
        <f t="shared" si="5"/>
        <v/>
      </c>
      <c r="BZ863" s="107" t="str">
        <f t="array" ref="BZ863">IF($A863&lt;&gt;"",INDEX(LISTA!$M$2:$N$27,MATCH($BC863,LISTA!$N$2:$N$27,0),1),"")</f>
        <v/>
      </c>
      <c r="CA863" s="67" t="str">
        <f t="shared" si="6"/>
        <v/>
      </c>
      <c r="CB863" s="114" t="str">
        <f t="shared" si="7"/>
        <v/>
      </c>
      <c r="CC863" s="114"/>
    </row>
    <row r="864" ht="22.5" customHeight="1">
      <c r="A864" s="59"/>
      <c r="B864" s="115"/>
      <c r="C864" s="54"/>
      <c r="D864" s="56"/>
      <c r="E864" s="69"/>
      <c r="F864" s="73"/>
      <c r="G864" s="79"/>
      <c r="H864" s="79"/>
      <c r="I864" s="67"/>
      <c r="J864" s="79"/>
      <c r="K864" s="67"/>
      <c r="L864" s="79"/>
      <c r="M864" s="83"/>
      <c r="N864" s="78"/>
      <c r="O864" s="80"/>
      <c r="P864" s="70"/>
      <c r="Q864" s="54"/>
      <c r="R864" s="67"/>
      <c r="S864" s="67"/>
      <c r="T864" s="54"/>
      <c r="U864" s="86"/>
      <c r="V864" s="54"/>
      <c r="W864" s="86"/>
      <c r="X864" s="54"/>
      <c r="Y864" s="78"/>
      <c r="Z864" s="54"/>
      <c r="AA864" s="70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54"/>
      <c r="AR864" s="83"/>
      <c r="AS864" s="83"/>
      <c r="AT864" s="93"/>
      <c r="AU864" s="93"/>
      <c r="AV864" s="93"/>
      <c r="AW864" s="83"/>
      <c r="AX864" s="83"/>
      <c r="AY864" s="83"/>
      <c r="AZ864" s="83"/>
      <c r="BA864" s="83"/>
      <c r="BB864" s="83"/>
      <c r="BC864" s="54"/>
      <c r="BD864" s="54" t="str">
        <f t="shared" si="1"/>
        <v/>
      </c>
      <c r="BE864" s="67"/>
      <c r="BF864" s="67"/>
      <c r="BG864" s="67"/>
      <c r="BH864" s="67"/>
      <c r="BI864" s="67"/>
      <c r="BJ864" s="67"/>
      <c r="BK864" s="67"/>
      <c r="BL864" s="67"/>
      <c r="BM864" s="67"/>
      <c r="BN864" s="100"/>
      <c r="BO864" s="102"/>
      <c r="BP864" s="67"/>
      <c r="BQ864" s="79"/>
      <c r="BR864" s="67"/>
      <c r="BS864" s="102"/>
      <c r="BT864" s="106"/>
      <c r="BU864" s="107"/>
      <c r="BV864" s="108" t="str">
        <f t="shared" si="17"/>
        <v/>
      </c>
      <c r="BW864" s="108" t="str">
        <f t="shared" si="16"/>
        <v/>
      </c>
      <c r="BX864" s="102" t="str">
        <f t="shared" si="15"/>
        <v/>
      </c>
      <c r="BY864" s="107" t="str">
        <f t="shared" si="5"/>
        <v/>
      </c>
      <c r="BZ864" s="107" t="str">
        <f t="array" ref="BZ864">IF($A864&lt;&gt;"",INDEX(LISTA!$M$2:$N$27,MATCH($BC864,LISTA!$N$2:$N$27,0),1),"")</f>
        <v/>
      </c>
      <c r="CA864" s="67" t="str">
        <f t="shared" si="6"/>
        <v/>
      </c>
      <c r="CB864" s="114" t="str">
        <f t="shared" si="7"/>
        <v/>
      </c>
      <c r="CC864" s="114"/>
    </row>
    <row r="865" ht="22.5" customHeight="1">
      <c r="A865" s="59"/>
      <c r="B865" s="115"/>
      <c r="C865" s="54"/>
      <c r="D865" s="56"/>
      <c r="E865" s="69"/>
      <c r="F865" s="73"/>
      <c r="G865" s="79"/>
      <c r="H865" s="79"/>
      <c r="I865" s="67"/>
      <c r="J865" s="79"/>
      <c r="K865" s="67"/>
      <c r="L865" s="79"/>
      <c r="M865" s="83"/>
      <c r="N865" s="78"/>
      <c r="O865" s="80"/>
      <c r="P865" s="70"/>
      <c r="Q865" s="54"/>
      <c r="R865" s="67"/>
      <c r="S865" s="67"/>
      <c r="T865" s="54"/>
      <c r="U865" s="86"/>
      <c r="V865" s="54"/>
      <c r="W865" s="86"/>
      <c r="X865" s="54"/>
      <c r="Y865" s="78"/>
      <c r="Z865" s="54"/>
      <c r="AA865" s="70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54"/>
      <c r="AR865" s="83"/>
      <c r="AS865" s="83"/>
      <c r="AT865" s="93"/>
      <c r="AU865" s="93"/>
      <c r="AV865" s="93"/>
      <c r="AW865" s="83"/>
      <c r="AX865" s="83"/>
      <c r="AY865" s="83"/>
      <c r="AZ865" s="83"/>
      <c r="BA865" s="83"/>
      <c r="BB865" s="83"/>
      <c r="BC865" s="54"/>
      <c r="BD865" s="54" t="str">
        <f t="shared" si="1"/>
        <v/>
      </c>
      <c r="BE865" s="67"/>
      <c r="BF865" s="67"/>
      <c r="BG865" s="67"/>
      <c r="BH865" s="67"/>
      <c r="BI865" s="67"/>
      <c r="BJ865" s="67"/>
      <c r="BK865" s="67"/>
      <c r="BL865" s="67"/>
      <c r="BM865" s="67"/>
      <c r="BN865" s="100"/>
      <c r="BO865" s="102"/>
      <c r="BP865" s="67"/>
      <c r="BQ865" s="79"/>
      <c r="BR865" s="67"/>
      <c r="BS865" s="102"/>
      <c r="BT865" s="106"/>
      <c r="BU865" s="107"/>
      <c r="BV865" s="108" t="str">
        <f t="shared" si="17"/>
        <v/>
      </c>
      <c r="BW865" s="108" t="str">
        <f t="shared" si="16"/>
        <v/>
      </c>
      <c r="BX865" s="102" t="str">
        <f t="shared" si="15"/>
        <v/>
      </c>
      <c r="BY865" s="107" t="str">
        <f t="shared" si="5"/>
        <v/>
      </c>
      <c r="BZ865" s="107" t="str">
        <f t="array" ref="BZ865">IF($A865&lt;&gt;"",INDEX(LISTA!$M$2:$N$27,MATCH($BC865,LISTA!$N$2:$N$27,0),1),"")</f>
        <v/>
      </c>
      <c r="CA865" s="67" t="str">
        <f t="shared" si="6"/>
        <v/>
      </c>
      <c r="CB865" s="114" t="str">
        <f t="shared" si="7"/>
        <v/>
      </c>
      <c r="CC865" s="114"/>
    </row>
    <row r="866" ht="22.5" customHeight="1">
      <c r="A866" s="59"/>
      <c r="B866" s="115"/>
      <c r="C866" s="54"/>
      <c r="D866" s="56"/>
      <c r="E866" s="69"/>
      <c r="F866" s="73"/>
      <c r="G866" s="79"/>
      <c r="H866" s="79"/>
      <c r="I866" s="67"/>
      <c r="J866" s="79"/>
      <c r="K866" s="67"/>
      <c r="L866" s="79"/>
      <c r="M866" s="83"/>
      <c r="N866" s="78"/>
      <c r="O866" s="80"/>
      <c r="P866" s="70"/>
      <c r="Q866" s="54"/>
      <c r="R866" s="67"/>
      <c r="S866" s="67"/>
      <c r="T866" s="54"/>
      <c r="U866" s="86"/>
      <c r="V866" s="54"/>
      <c r="W866" s="86"/>
      <c r="X866" s="54"/>
      <c r="Y866" s="78"/>
      <c r="Z866" s="54"/>
      <c r="AA866" s="70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54"/>
      <c r="AR866" s="83"/>
      <c r="AS866" s="83"/>
      <c r="AT866" s="93"/>
      <c r="AU866" s="93"/>
      <c r="AV866" s="93"/>
      <c r="AW866" s="83"/>
      <c r="AX866" s="83"/>
      <c r="AY866" s="83"/>
      <c r="AZ866" s="83"/>
      <c r="BA866" s="83"/>
      <c r="BB866" s="83"/>
      <c r="BC866" s="54"/>
      <c r="BD866" s="54" t="str">
        <f t="shared" si="1"/>
        <v/>
      </c>
      <c r="BE866" s="67"/>
      <c r="BF866" s="67"/>
      <c r="BG866" s="67"/>
      <c r="BH866" s="67"/>
      <c r="BI866" s="67"/>
      <c r="BJ866" s="67"/>
      <c r="BK866" s="67"/>
      <c r="BL866" s="67"/>
      <c r="BM866" s="67"/>
      <c r="BN866" s="100"/>
      <c r="BO866" s="102"/>
      <c r="BP866" s="67"/>
      <c r="BQ866" s="79"/>
      <c r="BR866" s="67"/>
      <c r="BS866" s="102"/>
      <c r="BT866" s="106"/>
      <c r="BU866" s="107"/>
      <c r="BV866" s="108" t="str">
        <f t="shared" si="17"/>
        <v/>
      </c>
      <c r="BW866" s="108" t="str">
        <f t="shared" si="16"/>
        <v/>
      </c>
      <c r="BX866" s="102" t="str">
        <f t="shared" si="15"/>
        <v/>
      </c>
      <c r="BY866" s="107" t="str">
        <f t="shared" si="5"/>
        <v/>
      </c>
      <c r="BZ866" s="107" t="str">
        <f t="array" ref="BZ866">IF($A866&lt;&gt;"",INDEX(LISTA!$M$2:$N$27,MATCH($BC866,LISTA!$N$2:$N$27,0),1),"")</f>
        <v/>
      </c>
      <c r="CA866" s="67" t="str">
        <f t="shared" si="6"/>
        <v/>
      </c>
      <c r="CB866" s="114" t="str">
        <f t="shared" si="7"/>
        <v/>
      </c>
      <c r="CC866" s="114"/>
    </row>
    <row r="867" ht="22.5" customHeight="1">
      <c r="A867" s="59"/>
      <c r="B867" s="115"/>
      <c r="C867" s="54"/>
      <c r="D867" s="56"/>
      <c r="E867" s="69"/>
      <c r="F867" s="73"/>
      <c r="G867" s="79"/>
      <c r="H867" s="79"/>
      <c r="I867" s="67"/>
      <c r="J867" s="79"/>
      <c r="K867" s="67"/>
      <c r="L867" s="79"/>
      <c r="M867" s="83"/>
      <c r="N867" s="78"/>
      <c r="O867" s="80"/>
      <c r="P867" s="70"/>
      <c r="Q867" s="54"/>
      <c r="R867" s="67"/>
      <c r="S867" s="67"/>
      <c r="T867" s="54"/>
      <c r="U867" s="86"/>
      <c r="V867" s="54"/>
      <c r="W867" s="86"/>
      <c r="X867" s="54"/>
      <c r="Y867" s="78"/>
      <c r="Z867" s="54"/>
      <c r="AA867" s="70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54"/>
      <c r="AR867" s="83"/>
      <c r="AS867" s="83"/>
      <c r="AT867" s="93"/>
      <c r="AU867" s="93"/>
      <c r="AV867" s="93"/>
      <c r="AW867" s="83"/>
      <c r="AX867" s="83"/>
      <c r="AY867" s="83"/>
      <c r="AZ867" s="83"/>
      <c r="BA867" s="83"/>
      <c r="BB867" s="83"/>
      <c r="BC867" s="54"/>
      <c r="BD867" s="54" t="str">
        <f t="shared" si="1"/>
        <v/>
      </c>
      <c r="BE867" s="67"/>
      <c r="BF867" s="67"/>
      <c r="BG867" s="67"/>
      <c r="BH867" s="67"/>
      <c r="BI867" s="67"/>
      <c r="BJ867" s="67"/>
      <c r="BK867" s="67"/>
      <c r="BL867" s="67"/>
      <c r="BM867" s="67"/>
      <c r="BN867" s="100"/>
      <c r="BO867" s="102"/>
      <c r="BP867" s="67"/>
      <c r="BQ867" s="79"/>
      <c r="BR867" s="67"/>
      <c r="BS867" s="102"/>
      <c r="BT867" s="106"/>
      <c r="BU867" s="107"/>
      <c r="BV867" s="108" t="str">
        <f t="shared" si="17"/>
        <v/>
      </c>
      <c r="BW867" s="108" t="str">
        <f t="shared" si="16"/>
        <v/>
      </c>
      <c r="BX867" s="102" t="str">
        <f t="shared" si="15"/>
        <v/>
      </c>
      <c r="BY867" s="107" t="str">
        <f t="shared" si="5"/>
        <v/>
      </c>
      <c r="BZ867" s="107" t="str">
        <f t="array" ref="BZ867">IF($A867&lt;&gt;"",INDEX(LISTA!$M$2:$N$27,MATCH($BC867,LISTA!$N$2:$N$27,0),1),"")</f>
        <v/>
      </c>
      <c r="CA867" s="67" t="str">
        <f t="shared" si="6"/>
        <v/>
      </c>
      <c r="CB867" s="114" t="str">
        <f t="shared" si="7"/>
        <v/>
      </c>
      <c r="CC867" s="114"/>
    </row>
    <row r="868" ht="22.5" customHeight="1">
      <c r="A868" s="59"/>
      <c r="B868" s="115"/>
      <c r="C868" s="54"/>
      <c r="D868" s="56"/>
      <c r="E868" s="69"/>
      <c r="F868" s="73"/>
      <c r="G868" s="79"/>
      <c r="H868" s="79"/>
      <c r="I868" s="67"/>
      <c r="J868" s="79"/>
      <c r="K868" s="67"/>
      <c r="L868" s="79"/>
      <c r="M868" s="83"/>
      <c r="N868" s="78"/>
      <c r="O868" s="80"/>
      <c r="P868" s="70"/>
      <c r="Q868" s="54"/>
      <c r="R868" s="67"/>
      <c r="S868" s="67"/>
      <c r="T868" s="54"/>
      <c r="U868" s="86"/>
      <c r="V868" s="54"/>
      <c r="W868" s="86"/>
      <c r="X868" s="54"/>
      <c r="Y868" s="78"/>
      <c r="Z868" s="54"/>
      <c r="AA868" s="70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54"/>
      <c r="AR868" s="83"/>
      <c r="AS868" s="83"/>
      <c r="AT868" s="93"/>
      <c r="AU868" s="93"/>
      <c r="AV868" s="93"/>
      <c r="AW868" s="83"/>
      <c r="AX868" s="83"/>
      <c r="AY868" s="83"/>
      <c r="AZ868" s="83"/>
      <c r="BA868" s="83"/>
      <c r="BB868" s="83"/>
      <c r="BC868" s="54"/>
      <c r="BD868" s="54" t="str">
        <f t="shared" si="1"/>
        <v/>
      </c>
      <c r="BE868" s="67"/>
      <c r="BF868" s="67"/>
      <c r="BG868" s="67"/>
      <c r="BH868" s="67"/>
      <c r="BI868" s="67"/>
      <c r="BJ868" s="67"/>
      <c r="BK868" s="67"/>
      <c r="BL868" s="67"/>
      <c r="BM868" s="67"/>
      <c r="BN868" s="100"/>
      <c r="BO868" s="102"/>
      <c r="BP868" s="67"/>
      <c r="BQ868" s="79"/>
      <c r="BR868" s="67"/>
      <c r="BS868" s="102"/>
      <c r="BT868" s="106"/>
      <c r="BU868" s="107"/>
      <c r="BV868" s="108" t="str">
        <f t="shared" si="17"/>
        <v/>
      </c>
      <c r="BW868" s="108" t="str">
        <f t="shared" si="16"/>
        <v/>
      </c>
      <c r="BX868" s="102" t="str">
        <f t="shared" si="15"/>
        <v/>
      </c>
      <c r="BY868" s="107" t="str">
        <f t="shared" si="5"/>
        <v/>
      </c>
      <c r="BZ868" s="107" t="str">
        <f t="array" ref="BZ868">IF($A868&lt;&gt;"",INDEX(LISTA!$M$2:$N$27,MATCH($BC868,LISTA!$N$2:$N$27,0),1),"")</f>
        <v/>
      </c>
      <c r="CA868" s="67" t="str">
        <f t="shared" si="6"/>
        <v/>
      </c>
      <c r="CB868" s="114" t="str">
        <f t="shared" si="7"/>
        <v/>
      </c>
      <c r="CC868" s="114"/>
    </row>
    <row r="869" ht="22.5" customHeight="1">
      <c r="A869" s="59"/>
      <c r="B869" s="115"/>
      <c r="C869" s="54"/>
      <c r="D869" s="56"/>
      <c r="E869" s="69"/>
      <c r="F869" s="73"/>
      <c r="G869" s="79"/>
      <c r="H869" s="79"/>
      <c r="I869" s="67"/>
      <c r="J869" s="79"/>
      <c r="K869" s="67"/>
      <c r="L869" s="79"/>
      <c r="M869" s="83"/>
      <c r="N869" s="78"/>
      <c r="O869" s="80"/>
      <c r="P869" s="70"/>
      <c r="Q869" s="54"/>
      <c r="R869" s="67"/>
      <c r="S869" s="67"/>
      <c r="T869" s="54"/>
      <c r="U869" s="86"/>
      <c r="V869" s="54"/>
      <c r="W869" s="86"/>
      <c r="X869" s="54"/>
      <c r="Y869" s="78"/>
      <c r="Z869" s="54"/>
      <c r="AA869" s="70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54"/>
      <c r="AR869" s="83"/>
      <c r="AS869" s="83"/>
      <c r="AT869" s="93"/>
      <c r="AU869" s="93"/>
      <c r="AV869" s="93"/>
      <c r="AW869" s="83"/>
      <c r="AX869" s="83"/>
      <c r="AY869" s="83"/>
      <c r="AZ869" s="83"/>
      <c r="BA869" s="83"/>
      <c r="BB869" s="83"/>
      <c r="BC869" s="54"/>
      <c r="BD869" s="54" t="str">
        <f t="shared" si="1"/>
        <v/>
      </c>
      <c r="BE869" s="67"/>
      <c r="BF869" s="67"/>
      <c r="BG869" s="67"/>
      <c r="BH869" s="67"/>
      <c r="BI869" s="67"/>
      <c r="BJ869" s="67"/>
      <c r="BK869" s="67"/>
      <c r="BL869" s="67"/>
      <c r="BM869" s="67"/>
      <c r="BN869" s="100"/>
      <c r="BO869" s="102"/>
      <c r="BP869" s="67"/>
      <c r="BQ869" s="79"/>
      <c r="BR869" s="67"/>
      <c r="BS869" s="102"/>
      <c r="BT869" s="106"/>
      <c r="BU869" s="107"/>
      <c r="BV869" s="108" t="str">
        <f t="shared" si="17"/>
        <v/>
      </c>
      <c r="BW869" s="108" t="str">
        <f t="shared" si="16"/>
        <v/>
      </c>
      <c r="BX869" s="102" t="str">
        <f t="shared" si="15"/>
        <v/>
      </c>
      <c r="BY869" s="107" t="str">
        <f t="shared" si="5"/>
        <v/>
      </c>
      <c r="BZ869" s="107" t="str">
        <f t="array" ref="BZ869">IF($A869&lt;&gt;"",INDEX(LISTA!$M$2:$N$27,MATCH($BC869,LISTA!$N$2:$N$27,0),1),"")</f>
        <v/>
      </c>
      <c r="CA869" s="67" t="str">
        <f t="shared" si="6"/>
        <v/>
      </c>
      <c r="CB869" s="114" t="str">
        <f t="shared" si="7"/>
        <v/>
      </c>
      <c r="CC869" s="114"/>
    </row>
    <row r="870" ht="22.5" customHeight="1">
      <c r="A870" s="59"/>
      <c r="B870" s="115"/>
      <c r="C870" s="54"/>
      <c r="D870" s="56"/>
      <c r="E870" s="69"/>
      <c r="F870" s="73"/>
      <c r="G870" s="79"/>
      <c r="H870" s="79"/>
      <c r="I870" s="67"/>
      <c r="J870" s="79"/>
      <c r="K870" s="67"/>
      <c r="L870" s="79"/>
      <c r="M870" s="83"/>
      <c r="N870" s="78"/>
      <c r="O870" s="80"/>
      <c r="P870" s="70"/>
      <c r="Q870" s="54"/>
      <c r="R870" s="67"/>
      <c r="S870" s="67"/>
      <c r="T870" s="54"/>
      <c r="U870" s="86"/>
      <c r="V870" s="54"/>
      <c r="W870" s="86"/>
      <c r="X870" s="54"/>
      <c r="Y870" s="78"/>
      <c r="Z870" s="54"/>
      <c r="AA870" s="70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54"/>
      <c r="AR870" s="83"/>
      <c r="AS870" s="83"/>
      <c r="AT870" s="93"/>
      <c r="AU870" s="93"/>
      <c r="AV870" s="93"/>
      <c r="AW870" s="83"/>
      <c r="AX870" s="83"/>
      <c r="AY870" s="83"/>
      <c r="AZ870" s="83"/>
      <c r="BA870" s="83"/>
      <c r="BB870" s="83"/>
      <c r="BC870" s="54"/>
      <c r="BD870" s="54" t="str">
        <f t="shared" si="1"/>
        <v/>
      </c>
      <c r="BE870" s="67"/>
      <c r="BF870" s="67"/>
      <c r="BG870" s="67"/>
      <c r="BH870" s="67"/>
      <c r="BI870" s="67"/>
      <c r="BJ870" s="67"/>
      <c r="BK870" s="67"/>
      <c r="BL870" s="67"/>
      <c r="BM870" s="67"/>
      <c r="BN870" s="100"/>
      <c r="BO870" s="102"/>
      <c r="BP870" s="67"/>
      <c r="BQ870" s="79"/>
      <c r="BR870" s="67"/>
      <c r="BS870" s="102"/>
      <c r="BT870" s="106"/>
      <c r="BU870" s="107"/>
      <c r="BV870" s="108" t="str">
        <f t="shared" si="17"/>
        <v/>
      </c>
      <c r="BW870" s="108" t="str">
        <f t="shared" si="16"/>
        <v/>
      </c>
      <c r="BX870" s="102" t="str">
        <f t="shared" si="15"/>
        <v/>
      </c>
      <c r="BY870" s="107" t="str">
        <f t="shared" si="5"/>
        <v/>
      </c>
      <c r="BZ870" s="107" t="str">
        <f t="array" ref="BZ870">IF($A870&lt;&gt;"",INDEX(LISTA!$M$2:$N$27,MATCH($BC870,LISTA!$N$2:$N$27,0),1),"")</f>
        <v/>
      </c>
      <c r="CA870" s="67" t="str">
        <f t="shared" si="6"/>
        <v/>
      </c>
      <c r="CB870" s="114" t="str">
        <f t="shared" si="7"/>
        <v/>
      </c>
      <c r="CC870" s="114"/>
    </row>
    <row r="871" ht="22.5" customHeight="1">
      <c r="A871" s="59"/>
      <c r="B871" s="115"/>
      <c r="C871" s="54"/>
      <c r="D871" s="56"/>
      <c r="E871" s="69"/>
      <c r="F871" s="73"/>
      <c r="G871" s="79"/>
      <c r="H871" s="79"/>
      <c r="I871" s="67"/>
      <c r="J871" s="79"/>
      <c r="K871" s="67"/>
      <c r="L871" s="79"/>
      <c r="M871" s="83"/>
      <c r="N871" s="78"/>
      <c r="O871" s="80"/>
      <c r="P871" s="70"/>
      <c r="Q871" s="54"/>
      <c r="R871" s="67"/>
      <c r="S871" s="67"/>
      <c r="T871" s="54"/>
      <c r="U871" s="86"/>
      <c r="V871" s="54"/>
      <c r="W871" s="86"/>
      <c r="X871" s="54"/>
      <c r="Y871" s="78"/>
      <c r="Z871" s="54"/>
      <c r="AA871" s="70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54"/>
      <c r="AR871" s="83"/>
      <c r="AS871" s="83"/>
      <c r="AT871" s="93"/>
      <c r="AU871" s="93"/>
      <c r="AV871" s="93"/>
      <c r="AW871" s="83"/>
      <c r="AX871" s="83"/>
      <c r="AY871" s="83"/>
      <c r="AZ871" s="83"/>
      <c r="BA871" s="83"/>
      <c r="BB871" s="83"/>
      <c r="BC871" s="54"/>
      <c r="BD871" s="54" t="str">
        <f t="shared" si="1"/>
        <v/>
      </c>
      <c r="BE871" s="67"/>
      <c r="BF871" s="67"/>
      <c r="BG871" s="67"/>
      <c r="BH871" s="67"/>
      <c r="BI871" s="67"/>
      <c r="BJ871" s="67"/>
      <c r="BK871" s="67"/>
      <c r="BL871" s="67"/>
      <c r="BM871" s="67"/>
      <c r="BN871" s="100"/>
      <c r="BO871" s="102"/>
      <c r="BP871" s="67"/>
      <c r="BQ871" s="79"/>
      <c r="BR871" s="67"/>
      <c r="BS871" s="102"/>
      <c r="BT871" s="106"/>
      <c r="BU871" s="107"/>
      <c r="BV871" s="108" t="str">
        <f t="shared" si="17"/>
        <v/>
      </c>
      <c r="BW871" s="108" t="str">
        <f t="shared" si="16"/>
        <v/>
      </c>
      <c r="BX871" s="102" t="str">
        <f t="shared" si="15"/>
        <v/>
      </c>
      <c r="BY871" s="107" t="str">
        <f t="shared" si="5"/>
        <v/>
      </c>
      <c r="BZ871" s="107" t="str">
        <f t="array" ref="BZ871">IF($A871&lt;&gt;"",INDEX(LISTA!$M$2:$N$27,MATCH($BC871,LISTA!$N$2:$N$27,0),1),"")</f>
        <v/>
      </c>
      <c r="CA871" s="67" t="str">
        <f t="shared" si="6"/>
        <v/>
      </c>
      <c r="CB871" s="114" t="str">
        <f t="shared" si="7"/>
        <v/>
      </c>
      <c r="CC871" s="114"/>
    </row>
    <row r="872" ht="22.5" customHeight="1">
      <c r="A872" s="59"/>
      <c r="B872" s="115"/>
      <c r="C872" s="54"/>
      <c r="D872" s="56"/>
      <c r="E872" s="69"/>
      <c r="F872" s="73"/>
      <c r="G872" s="79"/>
      <c r="H872" s="79"/>
      <c r="I872" s="67"/>
      <c r="J872" s="79"/>
      <c r="K872" s="67"/>
      <c r="L872" s="79"/>
      <c r="M872" s="83"/>
      <c r="N872" s="78"/>
      <c r="O872" s="80"/>
      <c r="P872" s="70"/>
      <c r="Q872" s="54"/>
      <c r="R872" s="67"/>
      <c r="S872" s="67"/>
      <c r="T872" s="54"/>
      <c r="U872" s="86"/>
      <c r="V872" s="54"/>
      <c r="W872" s="86"/>
      <c r="X872" s="54"/>
      <c r="Y872" s="78"/>
      <c r="Z872" s="54"/>
      <c r="AA872" s="70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54"/>
      <c r="AR872" s="83"/>
      <c r="AS872" s="83"/>
      <c r="AT872" s="93"/>
      <c r="AU872" s="93"/>
      <c r="AV872" s="93"/>
      <c r="AW872" s="83"/>
      <c r="AX872" s="83"/>
      <c r="AY872" s="83"/>
      <c r="AZ872" s="83"/>
      <c r="BA872" s="83"/>
      <c r="BB872" s="83"/>
      <c r="BC872" s="54"/>
      <c r="BD872" s="54" t="str">
        <f t="shared" si="1"/>
        <v/>
      </c>
      <c r="BE872" s="67"/>
      <c r="BF872" s="67"/>
      <c r="BG872" s="67"/>
      <c r="BH872" s="67"/>
      <c r="BI872" s="67"/>
      <c r="BJ872" s="67"/>
      <c r="BK872" s="67"/>
      <c r="BL872" s="67"/>
      <c r="BM872" s="67"/>
      <c r="BN872" s="100"/>
      <c r="BO872" s="102"/>
      <c r="BP872" s="67"/>
      <c r="BQ872" s="79"/>
      <c r="BR872" s="67"/>
      <c r="BS872" s="102"/>
      <c r="BT872" s="106"/>
      <c r="BU872" s="107"/>
      <c r="BV872" s="108" t="str">
        <f t="shared" si="17"/>
        <v/>
      </c>
      <c r="BW872" s="108" t="str">
        <f t="shared" si="16"/>
        <v/>
      </c>
      <c r="BX872" s="102" t="str">
        <f t="shared" si="15"/>
        <v/>
      </c>
      <c r="BY872" s="107" t="str">
        <f t="shared" si="5"/>
        <v/>
      </c>
      <c r="BZ872" s="107" t="str">
        <f t="array" ref="BZ872">IF($A872&lt;&gt;"",INDEX(LISTA!$M$2:$N$27,MATCH($BC872,LISTA!$N$2:$N$27,0),1),"")</f>
        <v/>
      </c>
      <c r="CA872" s="67" t="str">
        <f t="shared" si="6"/>
        <v/>
      </c>
      <c r="CB872" s="114" t="str">
        <f t="shared" si="7"/>
        <v/>
      </c>
      <c r="CC872" s="114"/>
    </row>
    <row r="873" ht="22.5" customHeight="1">
      <c r="A873" s="59"/>
      <c r="B873" s="115"/>
      <c r="C873" s="54"/>
      <c r="D873" s="56"/>
      <c r="E873" s="69"/>
      <c r="F873" s="73"/>
      <c r="G873" s="79"/>
      <c r="H873" s="79"/>
      <c r="I873" s="67"/>
      <c r="J873" s="79"/>
      <c r="K873" s="67"/>
      <c r="L873" s="79"/>
      <c r="M873" s="83"/>
      <c r="N873" s="78"/>
      <c r="O873" s="80"/>
      <c r="P873" s="70"/>
      <c r="Q873" s="54"/>
      <c r="R873" s="67"/>
      <c r="S873" s="67"/>
      <c r="T873" s="54"/>
      <c r="U873" s="86"/>
      <c r="V873" s="54"/>
      <c r="W873" s="86"/>
      <c r="X873" s="54"/>
      <c r="Y873" s="78"/>
      <c r="Z873" s="54"/>
      <c r="AA873" s="70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54"/>
      <c r="AR873" s="83"/>
      <c r="AS873" s="83"/>
      <c r="AT873" s="93"/>
      <c r="AU873" s="93"/>
      <c r="AV873" s="93"/>
      <c r="AW873" s="83"/>
      <c r="AX873" s="83"/>
      <c r="AY873" s="83"/>
      <c r="AZ873" s="83"/>
      <c r="BA873" s="83"/>
      <c r="BB873" s="83"/>
      <c r="BC873" s="54"/>
      <c r="BD873" s="54" t="str">
        <f t="shared" si="1"/>
        <v/>
      </c>
      <c r="BE873" s="67"/>
      <c r="BF873" s="67"/>
      <c r="BG873" s="67"/>
      <c r="BH873" s="67"/>
      <c r="BI873" s="67"/>
      <c r="BJ873" s="67"/>
      <c r="BK873" s="67"/>
      <c r="BL873" s="67"/>
      <c r="BM873" s="67"/>
      <c r="BN873" s="100"/>
      <c r="BO873" s="102"/>
      <c r="BP873" s="67"/>
      <c r="BQ873" s="79"/>
      <c r="BR873" s="67"/>
      <c r="BS873" s="102"/>
      <c r="BT873" s="106"/>
      <c r="BU873" s="107"/>
      <c r="BV873" s="108" t="str">
        <f t="shared" si="17"/>
        <v/>
      </c>
      <c r="BW873" s="108" t="str">
        <f t="shared" si="16"/>
        <v/>
      </c>
      <c r="BX873" s="102" t="str">
        <f t="shared" si="15"/>
        <v/>
      </c>
      <c r="BY873" s="107" t="str">
        <f t="shared" si="5"/>
        <v/>
      </c>
      <c r="BZ873" s="107" t="str">
        <f t="array" ref="BZ873">IF($A873&lt;&gt;"",INDEX(LISTA!$M$2:$N$27,MATCH($BC873,LISTA!$N$2:$N$27,0),1),"")</f>
        <v/>
      </c>
      <c r="CA873" s="67" t="str">
        <f t="shared" si="6"/>
        <v/>
      </c>
      <c r="CB873" s="114" t="str">
        <f t="shared" si="7"/>
        <v/>
      </c>
      <c r="CC873" s="114"/>
    </row>
    <row r="874" ht="22.5" customHeight="1">
      <c r="A874" s="59"/>
      <c r="B874" s="115"/>
      <c r="C874" s="54"/>
      <c r="D874" s="56"/>
      <c r="E874" s="69"/>
      <c r="F874" s="73"/>
      <c r="G874" s="79"/>
      <c r="H874" s="79"/>
      <c r="I874" s="67"/>
      <c r="J874" s="79"/>
      <c r="K874" s="67"/>
      <c r="L874" s="79"/>
      <c r="M874" s="83"/>
      <c r="N874" s="78"/>
      <c r="O874" s="80"/>
      <c r="P874" s="70"/>
      <c r="Q874" s="54"/>
      <c r="R874" s="67"/>
      <c r="S874" s="67"/>
      <c r="T874" s="54"/>
      <c r="U874" s="86"/>
      <c r="V874" s="54"/>
      <c r="W874" s="86"/>
      <c r="X874" s="54"/>
      <c r="Y874" s="78"/>
      <c r="Z874" s="54"/>
      <c r="AA874" s="70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54"/>
      <c r="AR874" s="83"/>
      <c r="AS874" s="83"/>
      <c r="AT874" s="93"/>
      <c r="AU874" s="93"/>
      <c r="AV874" s="93"/>
      <c r="AW874" s="83"/>
      <c r="AX874" s="83"/>
      <c r="AY874" s="83"/>
      <c r="AZ874" s="83"/>
      <c r="BA874" s="83"/>
      <c r="BB874" s="83"/>
      <c r="BC874" s="54"/>
      <c r="BD874" s="54" t="str">
        <f t="shared" si="1"/>
        <v/>
      </c>
      <c r="BE874" s="67"/>
      <c r="BF874" s="67"/>
      <c r="BG874" s="67"/>
      <c r="BH874" s="67"/>
      <c r="BI874" s="67"/>
      <c r="BJ874" s="67"/>
      <c r="BK874" s="67"/>
      <c r="BL874" s="67"/>
      <c r="BM874" s="67"/>
      <c r="BN874" s="100"/>
      <c r="BO874" s="102"/>
      <c r="BP874" s="67"/>
      <c r="BQ874" s="79"/>
      <c r="BR874" s="67"/>
      <c r="BS874" s="102"/>
      <c r="BT874" s="106"/>
      <c r="BU874" s="107"/>
      <c r="BV874" s="108" t="str">
        <f t="shared" si="17"/>
        <v/>
      </c>
      <c r="BW874" s="108" t="str">
        <f t="shared" si="16"/>
        <v/>
      </c>
      <c r="BX874" s="102" t="str">
        <f t="shared" si="15"/>
        <v/>
      </c>
      <c r="BY874" s="107" t="str">
        <f t="shared" si="5"/>
        <v/>
      </c>
      <c r="BZ874" s="107" t="str">
        <f t="array" ref="BZ874">IF($A874&lt;&gt;"",INDEX(LISTA!$M$2:$N$27,MATCH($BC874,LISTA!$N$2:$N$27,0),1),"")</f>
        <v/>
      </c>
      <c r="CA874" s="67" t="str">
        <f t="shared" si="6"/>
        <v/>
      </c>
      <c r="CB874" s="114" t="str">
        <f t="shared" si="7"/>
        <v/>
      </c>
      <c r="CC874" s="114"/>
    </row>
    <row r="875" ht="22.5" customHeight="1">
      <c r="A875" s="59"/>
      <c r="B875" s="115"/>
      <c r="C875" s="54"/>
      <c r="D875" s="56"/>
      <c r="E875" s="69"/>
      <c r="F875" s="73"/>
      <c r="G875" s="79"/>
      <c r="H875" s="79"/>
      <c r="I875" s="67"/>
      <c r="J875" s="79"/>
      <c r="K875" s="67"/>
      <c r="L875" s="79"/>
      <c r="M875" s="83"/>
      <c r="N875" s="78"/>
      <c r="O875" s="80"/>
      <c r="P875" s="70"/>
      <c r="Q875" s="54"/>
      <c r="R875" s="67"/>
      <c r="S875" s="67"/>
      <c r="T875" s="54"/>
      <c r="U875" s="86"/>
      <c r="V875" s="54"/>
      <c r="W875" s="86"/>
      <c r="X875" s="54"/>
      <c r="Y875" s="78"/>
      <c r="Z875" s="54"/>
      <c r="AA875" s="70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54"/>
      <c r="AR875" s="83"/>
      <c r="AS875" s="83"/>
      <c r="AT875" s="93"/>
      <c r="AU875" s="93"/>
      <c r="AV875" s="93"/>
      <c r="AW875" s="83"/>
      <c r="AX875" s="83"/>
      <c r="AY875" s="83"/>
      <c r="AZ875" s="83"/>
      <c r="BA875" s="83"/>
      <c r="BB875" s="83"/>
      <c r="BC875" s="54"/>
      <c r="BD875" s="54" t="str">
        <f t="shared" si="1"/>
        <v/>
      </c>
      <c r="BE875" s="67"/>
      <c r="BF875" s="67"/>
      <c r="BG875" s="67"/>
      <c r="BH875" s="67"/>
      <c r="BI875" s="67"/>
      <c r="BJ875" s="67"/>
      <c r="BK875" s="67"/>
      <c r="BL875" s="67"/>
      <c r="BM875" s="67"/>
      <c r="BN875" s="100"/>
      <c r="BO875" s="102"/>
      <c r="BP875" s="67"/>
      <c r="BQ875" s="79"/>
      <c r="BR875" s="67"/>
      <c r="BS875" s="102"/>
      <c r="BT875" s="106"/>
      <c r="BU875" s="107"/>
      <c r="BV875" s="108" t="str">
        <f t="shared" si="17"/>
        <v/>
      </c>
      <c r="BW875" s="108" t="str">
        <f t="shared" si="16"/>
        <v/>
      </c>
      <c r="BX875" s="102" t="str">
        <f t="shared" si="15"/>
        <v/>
      </c>
      <c r="BY875" s="107" t="str">
        <f t="shared" si="5"/>
        <v/>
      </c>
      <c r="BZ875" s="107" t="str">
        <f t="array" ref="BZ875">IF($A875&lt;&gt;"",INDEX(LISTA!$M$2:$N$27,MATCH($BC875,LISTA!$N$2:$N$27,0),1),"")</f>
        <v/>
      </c>
      <c r="CA875" s="67" t="str">
        <f t="shared" si="6"/>
        <v/>
      </c>
      <c r="CB875" s="114" t="str">
        <f t="shared" si="7"/>
        <v/>
      </c>
      <c r="CC875" s="114"/>
    </row>
    <row r="876" ht="22.5" customHeight="1">
      <c r="A876" s="59"/>
      <c r="B876" s="115"/>
      <c r="C876" s="54"/>
      <c r="D876" s="56"/>
      <c r="E876" s="69"/>
      <c r="F876" s="73"/>
      <c r="G876" s="79"/>
      <c r="H876" s="79"/>
      <c r="I876" s="67"/>
      <c r="J876" s="79"/>
      <c r="K876" s="67"/>
      <c r="L876" s="79"/>
      <c r="M876" s="83"/>
      <c r="N876" s="78"/>
      <c r="O876" s="80"/>
      <c r="P876" s="70"/>
      <c r="Q876" s="54"/>
      <c r="R876" s="67"/>
      <c r="S876" s="67"/>
      <c r="T876" s="54"/>
      <c r="U876" s="86"/>
      <c r="V876" s="54"/>
      <c r="W876" s="86"/>
      <c r="X876" s="54"/>
      <c r="Y876" s="78"/>
      <c r="Z876" s="54"/>
      <c r="AA876" s="70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54"/>
      <c r="AR876" s="83"/>
      <c r="AS876" s="83"/>
      <c r="AT876" s="93"/>
      <c r="AU876" s="93"/>
      <c r="AV876" s="93"/>
      <c r="AW876" s="83"/>
      <c r="AX876" s="83"/>
      <c r="AY876" s="83"/>
      <c r="AZ876" s="83"/>
      <c r="BA876" s="83"/>
      <c r="BB876" s="83"/>
      <c r="BC876" s="54"/>
      <c r="BD876" s="54" t="str">
        <f t="shared" si="1"/>
        <v/>
      </c>
      <c r="BE876" s="67"/>
      <c r="BF876" s="67"/>
      <c r="BG876" s="67"/>
      <c r="BH876" s="67"/>
      <c r="BI876" s="67"/>
      <c r="BJ876" s="67"/>
      <c r="BK876" s="67"/>
      <c r="BL876" s="67"/>
      <c r="BM876" s="67"/>
      <c r="BN876" s="100"/>
      <c r="BO876" s="102"/>
      <c r="BP876" s="67"/>
      <c r="BQ876" s="79"/>
      <c r="BR876" s="67"/>
      <c r="BS876" s="102"/>
      <c r="BT876" s="106"/>
      <c r="BU876" s="107"/>
      <c r="BV876" s="108" t="str">
        <f t="shared" si="17"/>
        <v/>
      </c>
      <c r="BW876" s="108" t="str">
        <f t="shared" si="16"/>
        <v/>
      </c>
      <c r="BX876" s="102" t="str">
        <f t="shared" si="15"/>
        <v/>
      </c>
      <c r="BY876" s="107" t="str">
        <f t="shared" si="5"/>
        <v/>
      </c>
      <c r="BZ876" s="107" t="str">
        <f t="array" ref="BZ876">IF($A876&lt;&gt;"",INDEX(LISTA!$M$2:$N$27,MATCH($BC876,LISTA!$N$2:$N$27,0),1),"")</f>
        <v/>
      </c>
      <c r="CA876" s="67" t="str">
        <f t="shared" si="6"/>
        <v/>
      </c>
      <c r="CB876" s="114" t="str">
        <f t="shared" si="7"/>
        <v/>
      </c>
      <c r="CC876" s="114"/>
    </row>
    <row r="877" ht="22.5" customHeight="1">
      <c r="A877" s="59"/>
      <c r="B877" s="115"/>
      <c r="C877" s="54"/>
      <c r="D877" s="56"/>
      <c r="E877" s="69"/>
      <c r="F877" s="73"/>
      <c r="G877" s="79"/>
      <c r="H877" s="79"/>
      <c r="I877" s="67"/>
      <c r="J877" s="79"/>
      <c r="K877" s="67"/>
      <c r="L877" s="79"/>
      <c r="M877" s="83"/>
      <c r="N877" s="78"/>
      <c r="O877" s="80"/>
      <c r="P877" s="70"/>
      <c r="Q877" s="54"/>
      <c r="R877" s="67"/>
      <c r="S877" s="67"/>
      <c r="T877" s="54"/>
      <c r="U877" s="86"/>
      <c r="V877" s="54"/>
      <c r="W877" s="86"/>
      <c r="X877" s="54"/>
      <c r="Y877" s="78"/>
      <c r="Z877" s="54"/>
      <c r="AA877" s="70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54"/>
      <c r="AR877" s="83"/>
      <c r="AS877" s="83"/>
      <c r="AT877" s="93"/>
      <c r="AU877" s="93"/>
      <c r="AV877" s="93"/>
      <c r="AW877" s="83"/>
      <c r="AX877" s="83"/>
      <c r="AY877" s="83"/>
      <c r="AZ877" s="83"/>
      <c r="BA877" s="83"/>
      <c r="BB877" s="83"/>
      <c r="BC877" s="54"/>
      <c r="BD877" s="54" t="str">
        <f t="shared" si="1"/>
        <v/>
      </c>
      <c r="BE877" s="67"/>
      <c r="BF877" s="67"/>
      <c r="BG877" s="67"/>
      <c r="BH877" s="67"/>
      <c r="BI877" s="67"/>
      <c r="BJ877" s="67"/>
      <c r="BK877" s="67"/>
      <c r="BL877" s="67"/>
      <c r="BM877" s="67"/>
      <c r="BN877" s="100"/>
      <c r="BO877" s="102"/>
      <c r="BP877" s="67"/>
      <c r="BQ877" s="79"/>
      <c r="BR877" s="67"/>
      <c r="BS877" s="102"/>
      <c r="BT877" s="106"/>
      <c r="BU877" s="107"/>
      <c r="BV877" s="108" t="str">
        <f t="shared" si="17"/>
        <v/>
      </c>
      <c r="BW877" s="108" t="str">
        <f t="shared" si="16"/>
        <v/>
      </c>
      <c r="BX877" s="102" t="str">
        <f t="shared" si="15"/>
        <v/>
      </c>
      <c r="BY877" s="107" t="str">
        <f t="shared" si="5"/>
        <v/>
      </c>
      <c r="BZ877" s="107" t="str">
        <f t="array" ref="BZ877">IF($A877&lt;&gt;"",INDEX(LISTA!$M$2:$N$27,MATCH($BC877,LISTA!$N$2:$N$27,0),1),"")</f>
        <v/>
      </c>
      <c r="CA877" s="67" t="str">
        <f t="shared" si="6"/>
        <v/>
      </c>
      <c r="CB877" s="114" t="str">
        <f t="shared" si="7"/>
        <v/>
      </c>
      <c r="CC877" s="114"/>
    </row>
    <row r="878" ht="22.5" customHeight="1">
      <c r="A878" s="59"/>
      <c r="B878" s="115"/>
      <c r="C878" s="54"/>
      <c r="D878" s="56"/>
      <c r="E878" s="69"/>
      <c r="F878" s="73"/>
      <c r="G878" s="79"/>
      <c r="H878" s="79"/>
      <c r="I878" s="67"/>
      <c r="J878" s="79"/>
      <c r="K878" s="67"/>
      <c r="L878" s="79"/>
      <c r="M878" s="83"/>
      <c r="N878" s="78"/>
      <c r="O878" s="80"/>
      <c r="P878" s="70"/>
      <c r="Q878" s="54"/>
      <c r="R878" s="67"/>
      <c r="S878" s="67"/>
      <c r="T878" s="54"/>
      <c r="U878" s="86"/>
      <c r="V878" s="54"/>
      <c r="W878" s="86"/>
      <c r="X878" s="54"/>
      <c r="Y878" s="78"/>
      <c r="Z878" s="54"/>
      <c r="AA878" s="70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54"/>
      <c r="AR878" s="83"/>
      <c r="AS878" s="83"/>
      <c r="AT878" s="93"/>
      <c r="AU878" s="93"/>
      <c r="AV878" s="93"/>
      <c r="AW878" s="83"/>
      <c r="AX878" s="83"/>
      <c r="AY878" s="83"/>
      <c r="AZ878" s="83"/>
      <c r="BA878" s="83"/>
      <c r="BB878" s="83"/>
      <c r="BC878" s="54"/>
      <c r="BD878" s="54" t="str">
        <f t="shared" si="1"/>
        <v/>
      </c>
      <c r="BE878" s="67"/>
      <c r="BF878" s="67"/>
      <c r="BG878" s="67"/>
      <c r="BH878" s="67"/>
      <c r="BI878" s="67"/>
      <c r="BJ878" s="67"/>
      <c r="BK878" s="67"/>
      <c r="BL878" s="67"/>
      <c r="BM878" s="67"/>
      <c r="BN878" s="100"/>
      <c r="BO878" s="102"/>
      <c r="BP878" s="67"/>
      <c r="BQ878" s="79"/>
      <c r="BR878" s="67"/>
      <c r="BS878" s="102"/>
      <c r="BT878" s="106"/>
      <c r="BU878" s="107"/>
      <c r="BV878" s="108" t="str">
        <f t="shared" si="17"/>
        <v/>
      </c>
      <c r="BW878" s="108" t="str">
        <f t="shared" si="16"/>
        <v/>
      </c>
      <c r="BX878" s="102" t="str">
        <f t="shared" si="15"/>
        <v/>
      </c>
      <c r="BY878" s="107" t="str">
        <f t="shared" si="5"/>
        <v/>
      </c>
      <c r="BZ878" s="107" t="str">
        <f t="array" ref="BZ878">IF($A878&lt;&gt;"",INDEX(LISTA!$M$2:$N$27,MATCH($BC878,LISTA!$N$2:$N$27,0),1),"")</f>
        <v/>
      </c>
      <c r="CA878" s="67" t="str">
        <f t="shared" si="6"/>
        <v/>
      </c>
      <c r="CB878" s="114" t="str">
        <f t="shared" si="7"/>
        <v/>
      </c>
      <c r="CC878" s="114"/>
    </row>
    <row r="879" ht="22.5" customHeight="1">
      <c r="A879" s="59"/>
      <c r="B879" s="115"/>
      <c r="C879" s="54"/>
      <c r="D879" s="56"/>
      <c r="E879" s="69"/>
      <c r="F879" s="73"/>
      <c r="G879" s="79"/>
      <c r="H879" s="79"/>
      <c r="I879" s="67"/>
      <c r="J879" s="79"/>
      <c r="K879" s="67"/>
      <c r="L879" s="79"/>
      <c r="M879" s="83"/>
      <c r="N879" s="78"/>
      <c r="O879" s="80"/>
      <c r="P879" s="70"/>
      <c r="Q879" s="54"/>
      <c r="R879" s="67"/>
      <c r="S879" s="67"/>
      <c r="T879" s="54"/>
      <c r="U879" s="86"/>
      <c r="V879" s="54"/>
      <c r="W879" s="86"/>
      <c r="X879" s="54"/>
      <c r="Y879" s="78"/>
      <c r="Z879" s="54"/>
      <c r="AA879" s="70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54"/>
      <c r="AR879" s="83"/>
      <c r="AS879" s="83"/>
      <c r="AT879" s="93"/>
      <c r="AU879" s="93"/>
      <c r="AV879" s="93"/>
      <c r="AW879" s="83"/>
      <c r="AX879" s="83"/>
      <c r="AY879" s="83"/>
      <c r="AZ879" s="83"/>
      <c r="BA879" s="83"/>
      <c r="BB879" s="83"/>
      <c r="BC879" s="54"/>
      <c r="BD879" s="54" t="str">
        <f t="shared" si="1"/>
        <v/>
      </c>
      <c r="BE879" s="67"/>
      <c r="BF879" s="67"/>
      <c r="BG879" s="67"/>
      <c r="BH879" s="67"/>
      <c r="BI879" s="67"/>
      <c r="BJ879" s="67"/>
      <c r="BK879" s="67"/>
      <c r="BL879" s="67"/>
      <c r="BM879" s="67"/>
      <c r="BN879" s="100"/>
      <c r="BO879" s="102"/>
      <c r="BP879" s="67"/>
      <c r="BQ879" s="79"/>
      <c r="BR879" s="67"/>
      <c r="BS879" s="102"/>
      <c r="BT879" s="106"/>
      <c r="BU879" s="107"/>
      <c r="BV879" s="108" t="str">
        <f t="shared" si="17"/>
        <v/>
      </c>
      <c r="BW879" s="108" t="str">
        <f t="shared" si="16"/>
        <v/>
      </c>
      <c r="BX879" s="102" t="str">
        <f t="shared" si="15"/>
        <v/>
      </c>
      <c r="BY879" s="107" t="str">
        <f t="shared" si="5"/>
        <v/>
      </c>
      <c r="BZ879" s="107" t="str">
        <f t="array" ref="BZ879">IF($A879&lt;&gt;"",INDEX(LISTA!$M$2:$N$27,MATCH($BC879,LISTA!$N$2:$N$27,0),1),"")</f>
        <v/>
      </c>
      <c r="CA879" s="67" t="str">
        <f t="shared" si="6"/>
        <v/>
      </c>
      <c r="CB879" s="114" t="str">
        <f t="shared" si="7"/>
        <v/>
      </c>
      <c r="CC879" s="114"/>
    </row>
    <row r="880" ht="22.5" customHeight="1">
      <c r="A880" s="59"/>
      <c r="B880" s="115"/>
      <c r="C880" s="54"/>
      <c r="D880" s="56"/>
      <c r="E880" s="69"/>
      <c r="F880" s="73"/>
      <c r="G880" s="79"/>
      <c r="H880" s="79"/>
      <c r="I880" s="67"/>
      <c r="J880" s="79"/>
      <c r="K880" s="67"/>
      <c r="L880" s="79"/>
      <c r="M880" s="83"/>
      <c r="N880" s="78"/>
      <c r="O880" s="80"/>
      <c r="P880" s="70"/>
      <c r="Q880" s="54"/>
      <c r="R880" s="67"/>
      <c r="S880" s="67"/>
      <c r="T880" s="54"/>
      <c r="U880" s="86"/>
      <c r="V880" s="54"/>
      <c r="W880" s="86"/>
      <c r="X880" s="54"/>
      <c r="Y880" s="78"/>
      <c r="Z880" s="54"/>
      <c r="AA880" s="70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54"/>
      <c r="AR880" s="83"/>
      <c r="AS880" s="83"/>
      <c r="AT880" s="93"/>
      <c r="AU880" s="93"/>
      <c r="AV880" s="93"/>
      <c r="AW880" s="83"/>
      <c r="AX880" s="83"/>
      <c r="AY880" s="83"/>
      <c r="AZ880" s="83"/>
      <c r="BA880" s="83"/>
      <c r="BB880" s="83"/>
      <c r="BC880" s="54"/>
      <c r="BD880" s="54" t="str">
        <f t="shared" si="1"/>
        <v/>
      </c>
      <c r="BE880" s="67"/>
      <c r="BF880" s="67"/>
      <c r="BG880" s="67"/>
      <c r="BH880" s="67"/>
      <c r="BI880" s="67"/>
      <c r="BJ880" s="67"/>
      <c r="BK880" s="67"/>
      <c r="BL880" s="67"/>
      <c r="BM880" s="67"/>
      <c r="BN880" s="100"/>
      <c r="BO880" s="102"/>
      <c r="BP880" s="67"/>
      <c r="BQ880" s="79"/>
      <c r="BR880" s="67"/>
      <c r="BS880" s="102"/>
      <c r="BT880" s="106"/>
      <c r="BU880" s="107"/>
      <c r="BV880" s="108" t="str">
        <f t="shared" si="17"/>
        <v/>
      </c>
      <c r="BW880" s="108" t="str">
        <f t="shared" si="16"/>
        <v/>
      </c>
      <c r="BX880" s="102" t="str">
        <f t="shared" si="15"/>
        <v/>
      </c>
      <c r="BY880" s="107" t="str">
        <f t="shared" si="5"/>
        <v/>
      </c>
      <c r="BZ880" s="107" t="str">
        <f t="array" ref="BZ880">IF($A880&lt;&gt;"",INDEX(LISTA!$M$2:$N$27,MATCH($BC880,LISTA!$N$2:$N$27,0),1),"")</f>
        <v/>
      </c>
      <c r="CA880" s="67" t="str">
        <f t="shared" si="6"/>
        <v/>
      </c>
      <c r="CB880" s="114" t="str">
        <f t="shared" si="7"/>
        <v/>
      </c>
      <c r="CC880" s="114"/>
    </row>
    <row r="881" ht="22.5" customHeight="1">
      <c r="A881" s="59"/>
      <c r="B881" s="115"/>
      <c r="C881" s="54"/>
      <c r="D881" s="56"/>
      <c r="E881" s="69"/>
      <c r="F881" s="73"/>
      <c r="G881" s="79"/>
      <c r="H881" s="79"/>
      <c r="I881" s="67"/>
      <c r="J881" s="79"/>
      <c r="K881" s="67"/>
      <c r="L881" s="79"/>
      <c r="M881" s="83"/>
      <c r="N881" s="78"/>
      <c r="O881" s="80"/>
      <c r="P881" s="70"/>
      <c r="Q881" s="54"/>
      <c r="R881" s="67"/>
      <c r="S881" s="67"/>
      <c r="T881" s="54"/>
      <c r="U881" s="86"/>
      <c r="V881" s="54"/>
      <c r="W881" s="86"/>
      <c r="X881" s="54"/>
      <c r="Y881" s="78"/>
      <c r="Z881" s="54"/>
      <c r="AA881" s="70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54"/>
      <c r="AR881" s="83"/>
      <c r="AS881" s="83"/>
      <c r="AT881" s="93"/>
      <c r="AU881" s="93"/>
      <c r="AV881" s="93"/>
      <c r="AW881" s="83"/>
      <c r="AX881" s="83"/>
      <c r="AY881" s="83"/>
      <c r="AZ881" s="83"/>
      <c r="BA881" s="83"/>
      <c r="BB881" s="83"/>
      <c r="BC881" s="54"/>
      <c r="BD881" s="54" t="str">
        <f t="shared" si="1"/>
        <v/>
      </c>
      <c r="BE881" s="67"/>
      <c r="BF881" s="67"/>
      <c r="BG881" s="67"/>
      <c r="BH881" s="67"/>
      <c r="BI881" s="67"/>
      <c r="BJ881" s="67"/>
      <c r="BK881" s="67"/>
      <c r="BL881" s="67"/>
      <c r="BM881" s="67"/>
      <c r="BN881" s="100"/>
      <c r="BO881" s="102"/>
      <c r="BP881" s="67"/>
      <c r="BQ881" s="79"/>
      <c r="BR881" s="67"/>
      <c r="BS881" s="102"/>
      <c r="BT881" s="106"/>
      <c r="BU881" s="107"/>
      <c r="BV881" s="108" t="str">
        <f t="shared" si="17"/>
        <v/>
      </c>
      <c r="BW881" s="108" t="str">
        <f t="shared" si="16"/>
        <v/>
      </c>
      <c r="BX881" s="102" t="str">
        <f t="shared" si="15"/>
        <v/>
      </c>
      <c r="BY881" s="107" t="str">
        <f t="shared" si="5"/>
        <v/>
      </c>
      <c r="BZ881" s="107" t="str">
        <f t="array" ref="BZ881">IF($A881&lt;&gt;"",INDEX(LISTA!$M$2:$N$27,MATCH($BC881,LISTA!$N$2:$N$27,0),1),"")</f>
        <v/>
      </c>
      <c r="CA881" s="67" t="str">
        <f t="shared" si="6"/>
        <v/>
      </c>
      <c r="CB881" s="114" t="str">
        <f t="shared" si="7"/>
        <v/>
      </c>
      <c r="CC881" s="114"/>
    </row>
    <row r="882" ht="22.5" customHeight="1">
      <c r="A882" s="59"/>
      <c r="B882" s="115"/>
      <c r="C882" s="54"/>
      <c r="D882" s="56"/>
      <c r="E882" s="69"/>
      <c r="F882" s="73"/>
      <c r="G882" s="79"/>
      <c r="H882" s="79"/>
      <c r="I882" s="67"/>
      <c r="J882" s="79"/>
      <c r="K882" s="67"/>
      <c r="L882" s="79"/>
      <c r="M882" s="83"/>
      <c r="N882" s="78"/>
      <c r="O882" s="80"/>
      <c r="P882" s="70"/>
      <c r="Q882" s="54"/>
      <c r="R882" s="67"/>
      <c r="S882" s="67"/>
      <c r="T882" s="54"/>
      <c r="U882" s="86"/>
      <c r="V882" s="54"/>
      <c r="W882" s="86"/>
      <c r="X882" s="54"/>
      <c r="Y882" s="78"/>
      <c r="Z882" s="54"/>
      <c r="AA882" s="70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54"/>
      <c r="AR882" s="83"/>
      <c r="AS882" s="83"/>
      <c r="AT882" s="93"/>
      <c r="AU882" s="93"/>
      <c r="AV882" s="93"/>
      <c r="AW882" s="83"/>
      <c r="AX882" s="83"/>
      <c r="AY882" s="83"/>
      <c r="AZ882" s="83"/>
      <c r="BA882" s="83"/>
      <c r="BB882" s="83"/>
      <c r="BC882" s="54"/>
      <c r="BD882" s="54" t="str">
        <f t="shared" si="1"/>
        <v/>
      </c>
      <c r="BE882" s="67"/>
      <c r="BF882" s="67"/>
      <c r="BG882" s="67"/>
      <c r="BH882" s="67"/>
      <c r="BI882" s="67"/>
      <c r="BJ882" s="67"/>
      <c r="BK882" s="67"/>
      <c r="BL882" s="67"/>
      <c r="BM882" s="67"/>
      <c r="BN882" s="100"/>
      <c r="BO882" s="102"/>
      <c r="BP882" s="67"/>
      <c r="BQ882" s="79"/>
      <c r="BR882" s="67"/>
      <c r="BS882" s="102"/>
      <c r="BT882" s="106"/>
      <c r="BU882" s="107"/>
      <c r="BV882" s="108" t="str">
        <f t="shared" si="17"/>
        <v/>
      </c>
      <c r="BW882" s="108" t="str">
        <f t="shared" si="16"/>
        <v/>
      </c>
      <c r="BX882" s="102" t="str">
        <f t="shared" si="15"/>
        <v/>
      </c>
      <c r="BY882" s="107" t="str">
        <f t="shared" si="5"/>
        <v/>
      </c>
      <c r="BZ882" s="107" t="str">
        <f t="array" ref="BZ882">IF($A882&lt;&gt;"",INDEX(LISTA!$M$2:$N$27,MATCH($BC882,LISTA!$N$2:$N$27,0),1),"")</f>
        <v/>
      </c>
      <c r="CA882" s="67" t="str">
        <f t="shared" si="6"/>
        <v/>
      </c>
      <c r="CB882" s="114" t="str">
        <f t="shared" si="7"/>
        <v/>
      </c>
      <c r="CC882" s="114"/>
    </row>
    <row r="883" ht="22.5" customHeight="1">
      <c r="A883" s="59"/>
      <c r="B883" s="115"/>
      <c r="C883" s="54"/>
      <c r="D883" s="56"/>
      <c r="E883" s="69"/>
      <c r="F883" s="73"/>
      <c r="G883" s="79"/>
      <c r="H883" s="79"/>
      <c r="I883" s="67"/>
      <c r="J883" s="79"/>
      <c r="K883" s="67"/>
      <c r="L883" s="79"/>
      <c r="M883" s="83"/>
      <c r="N883" s="78"/>
      <c r="O883" s="80"/>
      <c r="P883" s="70"/>
      <c r="Q883" s="54"/>
      <c r="R883" s="67"/>
      <c r="S883" s="67"/>
      <c r="T883" s="54"/>
      <c r="U883" s="86"/>
      <c r="V883" s="54"/>
      <c r="W883" s="86"/>
      <c r="X883" s="54"/>
      <c r="Y883" s="78"/>
      <c r="Z883" s="54"/>
      <c r="AA883" s="70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54"/>
      <c r="AR883" s="83"/>
      <c r="AS883" s="83"/>
      <c r="AT883" s="93"/>
      <c r="AU883" s="93"/>
      <c r="AV883" s="93"/>
      <c r="AW883" s="83"/>
      <c r="AX883" s="83"/>
      <c r="AY883" s="83"/>
      <c r="AZ883" s="83"/>
      <c r="BA883" s="83"/>
      <c r="BB883" s="83"/>
      <c r="BC883" s="54"/>
      <c r="BD883" s="54" t="str">
        <f t="shared" si="1"/>
        <v/>
      </c>
      <c r="BE883" s="67"/>
      <c r="BF883" s="67"/>
      <c r="BG883" s="67"/>
      <c r="BH883" s="67"/>
      <c r="BI883" s="67"/>
      <c r="BJ883" s="67"/>
      <c r="BK883" s="67"/>
      <c r="BL883" s="67"/>
      <c r="BM883" s="67"/>
      <c r="BN883" s="100"/>
      <c r="BO883" s="102"/>
      <c r="BP883" s="67"/>
      <c r="BQ883" s="79"/>
      <c r="BR883" s="67"/>
      <c r="BS883" s="102"/>
      <c r="BT883" s="106"/>
      <c r="BU883" s="107"/>
      <c r="BV883" s="108" t="str">
        <f t="shared" si="17"/>
        <v/>
      </c>
      <c r="BW883" s="108" t="str">
        <f t="shared" si="16"/>
        <v/>
      </c>
      <c r="BX883" s="102" t="str">
        <f t="shared" si="15"/>
        <v/>
      </c>
      <c r="BY883" s="107" t="str">
        <f t="shared" si="5"/>
        <v/>
      </c>
      <c r="BZ883" s="107" t="str">
        <f t="array" ref="BZ883">IF($A883&lt;&gt;"",INDEX(LISTA!$M$2:$N$27,MATCH($BC883,LISTA!$N$2:$N$27,0),1),"")</f>
        <v/>
      </c>
      <c r="CA883" s="67" t="str">
        <f t="shared" si="6"/>
        <v/>
      </c>
      <c r="CB883" s="114" t="str">
        <f t="shared" si="7"/>
        <v/>
      </c>
      <c r="CC883" s="114"/>
    </row>
    <row r="884" ht="22.5" customHeight="1">
      <c r="A884" s="59"/>
      <c r="B884" s="115"/>
      <c r="C884" s="54"/>
      <c r="D884" s="56"/>
      <c r="E884" s="69"/>
      <c r="F884" s="73"/>
      <c r="G884" s="79"/>
      <c r="H884" s="79"/>
      <c r="I884" s="67"/>
      <c r="J884" s="79"/>
      <c r="K884" s="67"/>
      <c r="L884" s="79"/>
      <c r="M884" s="83"/>
      <c r="N884" s="78"/>
      <c r="O884" s="80"/>
      <c r="P884" s="70"/>
      <c r="Q884" s="54"/>
      <c r="R884" s="67"/>
      <c r="S884" s="67"/>
      <c r="T884" s="54"/>
      <c r="U884" s="86"/>
      <c r="V884" s="54"/>
      <c r="W884" s="86"/>
      <c r="X884" s="54"/>
      <c r="Y884" s="78"/>
      <c r="Z884" s="54"/>
      <c r="AA884" s="70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54"/>
      <c r="AR884" s="83"/>
      <c r="AS884" s="83"/>
      <c r="AT884" s="93"/>
      <c r="AU884" s="93"/>
      <c r="AV884" s="93"/>
      <c r="AW884" s="83"/>
      <c r="AX884" s="83"/>
      <c r="AY884" s="83"/>
      <c r="AZ884" s="83"/>
      <c r="BA884" s="83"/>
      <c r="BB884" s="83"/>
      <c r="BC884" s="54"/>
      <c r="BD884" s="54" t="str">
        <f t="shared" si="1"/>
        <v/>
      </c>
      <c r="BE884" s="67"/>
      <c r="BF884" s="67"/>
      <c r="BG884" s="67"/>
      <c r="BH884" s="67"/>
      <c r="BI884" s="67"/>
      <c r="BJ884" s="67"/>
      <c r="BK884" s="67"/>
      <c r="BL884" s="67"/>
      <c r="BM884" s="67"/>
      <c r="BN884" s="100"/>
      <c r="BO884" s="102"/>
      <c r="BP884" s="67"/>
      <c r="BQ884" s="79"/>
      <c r="BR884" s="67"/>
      <c r="BS884" s="102"/>
      <c r="BT884" s="106"/>
      <c r="BU884" s="107"/>
      <c r="BV884" s="108" t="str">
        <f t="shared" si="17"/>
        <v/>
      </c>
      <c r="BW884" s="108" t="str">
        <f t="shared" si="16"/>
        <v/>
      </c>
      <c r="BX884" s="102" t="str">
        <f t="shared" si="15"/>
        <v/>
      </c>
      <c r="BY884" s="107" t="str">
        <f t="shared" si="5"/>
        <v/>
      </c>
      <c r="BZ884" s="107" t="str">
        <f t="array" ref="BZ884">IF($A884&lt;&gt;"",INDEX(LISTA!$M$2:$N$27,MATCH($BC884,LISTA!$N$2:$N$27,0),1),"")</f>
        <v/>
      </c>
      <c r="CA884" s="67" t="str">
        <f t="shared" si="6"/>
        <v/>
      </c>
      <c r="CB884" s="114" t="str">
        <f t="shared" si="7"/>
        <v/>
      </c>
      <c r="CC884" s="114"/>
    </row>
    <row r="885" ht="22.5" customHeight="1">
      <c r="A885" s="59"/>
      <c r="B885" s="115"/>
      <c r="C885" s="54"/>
      <c r="D885" s="56"/>
      <c r="E885" s="69"/>
      <c r="F885" s="73"/>
      <c r="G885" s="79"/>
      <c r="H885" s="79"/>
      <c r="I885" s="67"/>
      <c r="J885" s="79"/>
      <c r="K885" s="67"/>
      <c r="L885" s="79"/>
      <c r="M885" s="83"/>
      <c r="N885" s="78"/>
      <c r="O885" s="80"/>
      <c r="P885" s="70"/>
      <c r="Q885" s="54"/>
      <c r="R885" s="67"/>
      <c r="S885" s="67"/>
      <c r="T885" s="54"/>
      <c r="U885" s="86"/>
      <c r="V885" s="54"/>
      <c r="W885" s="86"/>
      <c r="X885" s="54"/>
      <c r="Y885" s="78"/>
      <c r="Z885" s="54"/>
      <c r="AA885" s="70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54"/>
      <c r="AR885" s="83"/>
      <c r="AS885" s="83"/>
      <c r="AT885" s="93"/>
      <c r="AU885" s="93"/>
      <c r="AV885" s="93"/>
      <c r="AW885" s="83"/>
      <c r="AX885" s="83"/>
      <c r="AY885" s="83"/>
      <c r="AZ885" s="83"/>
      <c r="BA885" s="83"/>
      <c r="BB885" s="83"/>
      <c r="BC885" s="54"/>
      <c r="BD885" s="54" t="str">
        <f t="shared" si="1"/>
        <v/>
      </c>
      <c r="BE885" s="67"/>
      <c r="BF885" s="67"/>
      <c r="BG885" s="67"/>
      <c r="BH885" s="67"/>
      <c r="BI885" s="67"/>
      <c r="BJ885" s="67"/>
      <c r="BK885" s="67"/>
      <c r="BL885" s="67"/>
      <c r="BM885" s="67"/>
      <c r="BN885" s="100"/>
      <c r="BO885" s="102"/>
      <c r="BP885" s="67"/>
      <c r="BQ885" s="79"/>
      <c r="BR885" s="67"/>
      <c r="BS885" s="102"/>
      <c r="BT885" s="106"/>
      <c r="BU885" s="107"/>
      <c r="BV885" s="108" t="str">
        <f t="shared" si="17"/>
        <v/>
      </c>
      <c r="BW885" s="108" t="str">
        <f t="shared" si="16"/>
        <v/>
      </c>
      <c r="BX885" s="102" t="str">
        <f t="shared" si="15"/>
        <v/>
      </c>
      <c r="BY885" s="107" t="str">
        <f t="shared" si="5"/>
        <v/>
      </c>
      <c r="BZ885" s="107" t="str">
        <f t="array" ref="BZ885">IF($A885&lt;&gt;"",INDEX(LISTA!$M$2:$N$27,MATCH($BC885,LISTA!$N$2:$N$27,0),1),"")</f>
        <v/>
      </c>
      <c r="CA885" s="67" t="str">
        <f t="shared" si="6"/>
        <v/>
      </c>
      <c r="CB885" s="114" t="str">
        <f t="shared" si="7"/>
        <v/>
      </c>
      <c r="CC885" s="114"/>
    </row>
    <row r="886" ht="22.5" customHeight="1">
      <c r="A886" s="59"/>
      <c r="B886" s="115"/>
      <c r="C886" s="54"/>
      <c r="D886" s="56"/>
      <c r="E886" s="69"/>
      <c r="F886" s="73"/>
      <c r="G886" s="79"/>
      <c r="H886" s="79"/>
      <c r="I886" s="67"/>
      <c r="J886" s="79"/>
      <c r="K886" s="67"/>
      <c r="L886" s="79"/>
      <c r="M886" s="83"/>
      <c r="N886" s="78"/>
      <c r="O886" s="80"/>
      <c r="P886" s="70"/>
      <c r="Q886" s="54"/>
      <c r="R886" s="67"/>
      <c r="S886" s="67"/>
      <c r="T886" s="54"/>
      <c r="U886" s="86"/>
      <c r="V886" s="54"/>
      <c r="W886" s="86"/>
      <c r="X886" s="54"/>
      <c r="Y886" s="78"/>
      <c r="Z886" s="54"/>
      <c r="AA886" s="70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54"/>
      <c r="AR886" s="83"/>
      <c r="AS886" s="83"/>
      <c r="AT886" s="93"/>
      <c r="AU886" s="93"/>
      <c r="AV886" s="93"/>
      <c r="AW886" s="83"/>
      <c r="AX886" s="83"/>
      <c r="AY886" s="83"/>
      <c r="AZ886" s="83"/>
      <c r="BA886" s="83"/>
      <c r="BB886" s="83"/>
      <c r="BC886" s="54"/>
      <c r="BD886" s="54" t="str">
        <f t="shared" si="1"/>
        <v/>
      </c>
      <c r="BE886" s="67"/>
      <c r="BF886" s="67"/>
      <c r="BG886" s="67"/>
      <c r="BH886" s="67"/>
      <c r="BI886" s="67"/>
      <c r="BJ886" s="67"/>
      <c r="BK886" s="67"/>
      <c r="BL886" s="67"/>
      <c r="BM886" s="67"/>
      <c r="BN886" s="100"/>
      <c r="BO886" s="102"/>
      <c r="BP886" s="67"/>
      <c r="BQ886" s="79"/>
      <c r="BR886" s="67"/>
      <c r="BS886" s="102"/>
      <c r="BT886" s="106"/>
      <c r="BU886" s="107"/>
      <c r="BV886" s="108" t="str">
        <f t="shared" si="17"/>
        <v/>
      </c>
      <c r="BW886" s="108" t="str">
        <f t="shared" si="16"/>
        <v/>
      </c>
      <c r="BX886" s="102" t="str">
        <f t="shared" si="15"/>
        <v/>
      </c>
      <c r="BY886" s="107" t="str">
        <f t="shared" si="5"/>
        <v/>
      </c>
      <c r="BZ886" s="107" t="str">
        <f t="array" ref="BZ886">IF($A886&lt;&gt;"",INDEX(LISTA!$M$2:$N$27,MATCH($BC886,LISTA!$N$2:$N$27,0),1),"")</f>
        <v/>
      </c>
      <c r="CA886" s="67" t="str">
        <f t="shared" si="6"/>
        <v/>
      </c>
      <c r="CB886" s="114" t="str">
        <f t="shared" si="7"/>
        <v/>
      </c>
      <c r="CC886" s="114"/>
    </row>
    <row r="887" ht="22.5" customHeight="1">
      <c r="A887" s="59"/>
      <c r="B887" s="115"/>
      <c r="C887" s="54"/>
      <c r="D887" s="56"/>
      <c r="E887" s="69"/>
      <c r="F887" s="73"/>
      <c r="G887" s="79"/>
      <c r="H887" s="79"/>
      <c r="I887" s="67"/>
      <c r="J887" s="79"/>
      <c r="K887" s="67"/>
      <c r="L887" s="79"/>
      <c r="M887" s="83"/>
      <c r="N887" s="78"/>
      <c r="O887" s="80"/>
      <c r="P887" s="70"/>
      <c r="Q887" s="54"/>
      <c r="R887" s="67"/>
      <c r="S887" s="67"/>
      <c r="T887" s="54"/>
      <c r="U887" s="86"/>
      <c r="V887" s="54"/>
      <c r="W887" s="86"/>
      <c r="X887" s="54"/>
      <c r="Y887" s="78"/>
      <c r="Z887" s="54"/>
      <c r="AA887" s="70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54"/>
      <c r="AR887" s="83"/>
      <c r="AS887" s="83"/>
      <c r="AT887" s="93"/>
      <c r="AU887" s="93"/>
      <c r="AV887" s="93"/>
      <c r="AW887" s="83"/>
      <c r="AX887" s="83"/>
      <c r="AY887" s="83"/>
      <c r="AZ887" s="83"/>
      <c r="BA887" s="83"/>
      <c r="BB887" s="83"/>
      <c r="BC887" s="54"/>
      <c r="BD887" s="54" t="str">
        <f t="shared" si="1"/>
        <v/>
      </c>
      <c r="BE887" s="67"/>
      <c r="BF887" s="67"/>
      <c r="BG887" s="67"/>
      <c r="BH887" s="67"/>
      <c r="BI887" s="67"/>
      <c r="BJ887" s="67"/>
      <c r="BK887" s="67"/>
      <c r="BL887" s="67"/>
      <c r="BM887" s="67"/>
      <c r="BN887" s="100"/>
      <c r="BO887" s="102"/>
      <c r="BP887" s="67"/>
      <c r="BQ887" s="79"/>
      <c r="BR887" s="67"/>
      <c r="BS887" s="102"/>
      <c r="BT887" s="106"/>
      <c r="BU887" s="107"/>
      <c r="BV887" s="108" t="str">
        <f t="shared" si="17"/>
        <v/>
      </c>
      <c r="BW887" s="108" t="str">
        <f t="shared" si="16"/>
        <v/>
      </c>
      <c r="BX887" s="102" t="str">
        <f t="shared" si="15"/>
        <v/>
      </c>
      <c r="BY887" s="107" t="str">
        <f t="shared" si="5"/>
        <v/>
      </c>
      <c r="BZ887" s="107" t="str">
        <f t="array" ref="BZ887">IF($A887&lt;&gt;"",INDEX(LISTA!$M$2:$N$27,MATCH($BC887,LISTA!$N$2:$N$27,0),1),"")</f>
        <v/>
      </c>
      <c r="CA887" s="67" t="str">
        <f t="shared" si="6"/>
        <v/>
      </c>
      <c r="CB887" s="114" t="str">
        <f t="shared" si="7"/>
        <v/>
      </c>
      <c r="CC887" s="114"/>
    </row>
    <row r="888" ht="22.5" customHeight="1">
      <c r="A888" s="59"/>
      <c r="B888" s="115"/>
      <c r="C888" s="54"/>
      <c r="D888" s="56"/>
      <c r="E888" s="69"/>
      <c r="F888" s="73"/>
      <c r="G888" s="79"/>
      <c r="H888" s="79"/>
      <c r="I888" s="67"/>
      <c r="J888" s="79"/>
      <c r="K888" s="67"/>
      <c r="L888" s="79"/>
      <c r="M888" s="83"/>
      <c r="N888" s="78"/>
      <c r="O888" s="80"/>
      <c r="P888" s="70"/>
      <c r="Q888" s="54"/>
      <c r="R888" s="67"/>
      <c r="S888" s="67"/>
      <c r="T888" s="54"/>
      <c r="U888" s="86"/>
      <c r="V888" s="54"/>
      <c r="W888" s="86"/>
      <c r="X888" s="54"/>
      <c r="Y888" s="78"/>
      <c r="Z888" s="54"/>
      <c r="AA888" s="70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54"/>
      <c r="AR888" s="83"/>
      <c r="AS888" s="83"/>
      <c r="AT888" s="93"/>
      <c r="AU888" s="93"/>
      <c r="AV888" s="93"/>
      <c r="AW888" s="83"/>
      <c r="AX888" s="83"/>
      <c r="AY888" s="83"/>
      <c r="AZ888" s="83"/>
      <c r="BA888" s="83"/>
      <c r="BB888" s="83"/>
      <c r="BC888" s="54"/>
      <c r="BD888" s="54" t="str">
        <f t="shared" si="1"/>
        <v/>
      </c>
      <c r="BE888" s="67"/>
      <c r="BF888" s="67"/>
      <c r="BG888" s="67"/>
      <c r="BH888" s="67"/>
      <c r="BI888" s="67"/>
      <c r="BJ888" s="67"/>
      <c r="BK888" s="67"/>
      <c r="BL888" s="67"/>
      <c r="BM888" s="67"/>
      <c r="BN888" s="100"/>
      <c r="BO888" s="102"/>
      <c r="BP888" s="67"/>
      <c r="BQ888" s="79"/>
      <c r="BR888" s="67"/>
      <c r="BS888" s="102"/>
      <c r="BT888" s="106"/>
      <c r="BU888" s="107"/>
      <c r="BV888" s="108" t="str">
        <f t="shared" si="17"/>
        <v/>
      </c>
      <c r="BW888" s="108" t="str">
        <f t="shared" si="16"/>
        <v/>
      </c>
      <c r="BX888" s="102" t="str">
        <f t="shared" si="15"/>
        <v/>
      </c>
      <c r="BY888" s="107" t="str">
        <f t="shared" si="5"/>
        <v/>
      </c>
      <c r="BZ888" s="107" t="str">
        <f t="array" ref="BZ888">IF($A888&lt;&gt;"",INDEX(LISTA!$M$2:$N$27,MATCH($BC888,LISTA!$N$2:$N$27,0),1),"")</f>
        <v/>
      </c>
      <c r="CA888" s="67" t="str">
        <f t="shared" si="6"/>
        <v/>
      </c>
      <c r="CB888" s="114" t="str">
        <f t="shared" si="7"/>
        <v/>
      </c>
      <c r="CC888" s="114"/>
    </row>
    <row r="889" ht="22.5" customHeight="1">
      <c r="A889" s="59"/>
      <c r="B889" s="115"/>
      <c r="C889" s="54"/>
      <c r="D889" s="56"/>
      <c r="E889" s="69"/>
      <c r="F889" s="73"/>
      <c r="G889" s="79"/>
      <c r="H889" s="79"/>
      <c r="I889" s="67"/>
      <c r="J889" s="79"/>
      <c r="K889" s="67"/>
      <c r="L889" s="79"/>
      <c r="M889" s="83"/>
      <c r="N889" s="78"/>
      <c r="O889" s="80"/>
      <c r="P889" s="70"/>
      <c r="Q889" s="54"/>
      <c r="R889" s="67"/>
      <c r="S889" s="67"/>
      <c r="T889" s="54"/>
      <c r="U889" s="86"/>
      <c r="V889" s="54"/>
      <c r="W889" s="86"/>
      <c r="X889" s="54"/>
      <c r="Y889" s="78"/>
      <c r="Z889" s="54"/>
      <c r="AA889" s="70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54"/>
      <c r="AR889" s="83"/>
      <c r="AS889" s="83"/>
      <c r="AT889" s="93"/>
      <c r="AU889" s="93"/>
      <c r="AV889" s="93"/>
      <c r="AW889" s="83"/>
      <c r="AX889" s="83"/>
      <c r="AY889" s="83"/>
      <c r="AZ889" s="83"/>
      <c r="BA889" s="83"/>
      <c r="BB889" s="83"/>
      <c r="BC889" s="54"/>
      <c r="BD889" s="54" t="str">
        <f t="shared" si="1"/>
        <v/>
      </c>
      <c r="BE889" s="67"/>
      <c r="BF889" s="67"/>
      <c r="BG889" s="67"/>
      <c r="BH889" s="67"/>
      <c r="BI889" s="67"/>
      <c r="BJ889" s="67"/>
      <c r="BK889" s="67"/>
      <c r="BL889" s="67"/>
      <c r="BM889" s="67"/>
      <c r="BN889" s="100"/>
      <c r="BO889" s="102"/>
      <c r="BP889" s="67"/>
      <c r="BQ889" s="79"/>
      <c r="BR889" s="67"/>
      <c r="BS889" s="102"/>
      <c r="BT889" s="106"/>
      <c r="BU889" s="107"/>
      <c r="BV889" s="108" t="str">
        <f t="shared" si="17"/>
        <v/>
      </c>
      <c r="BW889" s="108" t="str">
        <f t="shared" si="16"/>
        <v/>
      </c>
      <c r="BX889" s="102" t="str">
        <f t="shared" si="15"/>
        <v/>
      </c>
      <c r="BY889" s="107" t="str">
        <f t="shared" si="5"/>
        <v/>
      </c>
      <c r="BZ889" s="107" t="str">
        <f t="array" ref="BZ889">IF($A889&lt;&gt;"",INDEX(LISTA!$M$2:$N$27,MATCH($BC889,LISTA!$N$2:$N$27,0),1),"")</f>
        <v/>
      </c>
      <c r="CA889" s="67" t="str">
        <f t="shared" si="6"/>
        <v/>
      </c>
      <c r="CB889" s="114" t="str">
        <f t="shared" si="7"/>
        <v/>
      </c>
      <c r="CC889" s="114"/>
    </row>
    <row r="890" ht="22.5" customHeight="1">
      <c r="A890" s="59"/>
      <c r="B890" s="115"/>
      <c r="C890" s="54"/>
      <c r="D890" s="56"/>
      <c r="E890" s="69"/>
      <c r="F890" s="73"/>
      <c r="G890" s="79"/>
      <c r="H890" s="79"/>
      <c r="I890" s="67"/>
      <c r="J890" s="79"/>
      <c r="K890" s="67"/>
      <c r="L890" s="79"/>
      <c r="M890" s="83"/>
      <c r="N890" s="78"/>
      <c r="O890" s="80"/>
      <c r="P890" s="70"/>
      <c r="Q890" s="54"/>
      <c r="R890" s="67"/>
      <c r="S890" s="67"/>
      <c r="T890" s="54"/>
      <c r="U890" s="86"/>
      <c r="V890" s="54"/>
      <c r="W890" s="86"/>
      <c r="X890" s="54"/>
      <c r="Y890" s="78"/>
      <c r="Z890" s="54"/>
      <c r="AA890" s="70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54"/>
      <c r="AR890" s="83"/>
      <c r="AS890" s="83"/>
      <c r="AT890" s="93"/>
      <c r="AU890" s="93"/>
      <c r="AV890" s="93"/>
      <c r="AW890" s="83"/>
      <c r="AX890" s="83"/>
      <c r="AY890" s="83"/>
      <c r="AZ890" s="83"/>
      <c r="BA890" s="83"/>
      <c r="BB890" s="83"/>
      <c r="BC890" s="54"/>
      <c r="BD890" s="54" t="str">
        <f t="shared" si="1"/>
        <v/>
      </c>
      <c r="BE890" s="67"/>
      <c r="BF890" s="67"/>
      <c r="BG890" s="67"/>
      <c r="BH890" s="67"/>
      <c r="BI890" s="67"/>
      <c r="BJ890" s="67"/>
      <c r="BK890" s="67"/>
      <c r="BL890" s="67"/>
      <c r="BM890" s="67"/>
      <c r="BN890" s="100"/>
      <c r="BO890" s="102"/>
      <c r="BP890" s="67"/>
      <c r="BQ890" s="79"/>
      <c r="BR890" s="67"/>
      <c r="BS890" s="102"/>
      <c r="BT890" s="106"/>
      <c r="BU890" s="107"/>
      <c r="BV890" s="108" t="str">
        <f t="shared" si="17"/>
        <v/>
      </c>
      <c r="BW890" s="108" t="str">
        <f t="shared" si="16"/>
        <v/>
      </c>
      <c r="BX890" s="102" t="str">
        <f t="shared" si="15"/>
        <v/>
      </c>
      <c r="BY890" s="107" t="str">
        <f t="shared" si="5"/>
        <v/>
      </c>
      <c r="BZ890" s="107" t="str">
        <f t="array" ref="BZ890">IF($A890&lt;&gt;"",INDEX(LISTA!$M$2:$N$27,MATCH($BC890,LISTA!$N$2:$N$27,0),1),"")</f>
        <v/>
      </c>
      <c r="CA890" s="67" t="str">
        <f t="shared" si="6"/>
        <v/>
      </c>
      <c r="CB890" s="114" t="str">
        <f t="shared" si="7"/>
        <v/>
      </c>
      <c r="CC890" s="114"/>
    </row>
    <row r="891" ht="22.5" customHeight="1">
      <c r="A891" s="59"/>
      <c r="B891" s="115"/>
      <c r="C891" s="54"/>
      <c r="D891" s="56"/>
      <c r="E891" s="69"/>
      <c r="F891" s="73"/>
      <c r="G891" s="79"/>
      <c r="H891" s="79"/>
      <c r="I891" s="67"/>
      <c r="J891" s="79"/>
      <c r="K891" s="67"/>
      <c r="L891" s="79"/>
      <c r="M891" s="83"/>
      <c r="N891" s="78"/>
      <c r="O891" s="80"/>
      <c r="P891" s="70"/>
      <c r="Q891" s="54"/>
      <c r="R891" s="67"/>
      <c r="S891" s="67"/>
      <c r="T891" s="54"/>
      <c r="U891" s="86"/>
      <c r="V891" s="54"/>
      <c r="W891" s="86"/>
      <c r="X891" s="54"/>
      <c r="Y891" s="78"/>
      <c r="Z891" s="54"/>
      <c r="AA891" s="70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54"/>
      <c r="AR891" s="83"/>
      <c r="AS891" s="83"/>
      <c r="AT891" s="93"/>
      <c r="AU891" s="93"/>
      <c r="AV891" s="93"/>
      <c r="AW891" s="83"/>
      <c r="AX891" s="83"/>
      <c r="AY891" s="83"/>
      <c r="AZ891" s="83"/>
      <c r="BA891" s="83"/>
      <c r="BB891" s="83"/>
      <c r="BC891" s="54"/>
      <c r="BD891" s="54" t="str">
        <f t="shared" si="1"/>
        <v/>
      </c>
      <c r="BE891" s="67"/>
      <c r="BF891" s="67"/>
      <c r="BG891" s="67"/>
      <c r="BH891" s="67"/>
      <c r="BI891" s="67"/>
      <c r="BJ891" s="67"/>
      <c r="BK891" s="67"/>
      <c r="BL891" s="67"/>
      <c r="BM891" s="67"/>
      <c r="BN891" s="100"/>
      <c r="BO891" s="102"/>
      <c r="BP891" s="67"/>
      <c r="BQ891" s="79"/>
      <c r="BR891" s="67"/>
      <c r="BS891" s="102"/>
      <c r="BT891" s="106"/>
      <c r="BU891" s="107"/>
      <c r="BV891" s="108" t="str">
        <f t="shared" si="17"/>
        <v/>
      </c>
      <c r="BW891" s="108" t="str">
        <f t="shared" si="16"/>
        <v/>
      </c>
      <c r="BX891" s="102" t="str">
        <f t="shared" si="15"/>
        <v/>
      </c>
      <c r="BY891" s="107" t="str">
        <f t="shared" si="5"/>
        <v/>
      </c>
      <c r="BZ891" s="107" t="str">
        <f t="array" ref="BZ891">IF($A891&lt;&gt;"",INDEX(LISTA!$M$2:$N$27,MATCH($BC891,LISTA!$N$2:$N$27,0),1),"")</f>
        <v/>
      </c>
      <c r="CA891" s="67" t="str">
        <f t="shared" si="6"/>
        <v/>
      </c>
      <c r="CB891" s="114" t="str">
        <f t="shared" si="7"/>
        <v/>
      </c>
      <c r="CC891" s="114"/>
    </row>
    <row r="892" ht="22.5" customHeight="1">
      <c r="A892" s="59"/>
      <c r="B892" s="115"/>
      <c r="C892" s="54"/>
      <c r="D892" s="56"/>
      <c r="E892" s="69"/>
      <c r="F892" s="73"/>
      <c r="G892" s="79"/>
      <c r="H892" s="79"/>
      <c r="I892" s="67"/>
      <c r="J892" s="79"/>
      <c r="K892" s="67"/>
      <c r="L892" s="79"/>
      <c r="M892" s="83"/>
      <c r="N892" s="78"/>
      <c r="O892" s="80"/>
      <c r="P892" s="70"/>
      <c r="Q892" s="54"/>
      <c r="R892" s="67"/>
      <c r="S892" s="67"/>
      <c r="T892" s="54"/>
      <c r="U892" s="86"/>
      <c r="V892" s="54"/>
      <c r="W892" s="86"/>
      <c r="X892" s="54"/>
      <c r="Y892" s="78"/>
      <c r="Z892" s="54"/>
      <c r="AA892" s="70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54"/>
      <c r="AR892" s="83"/>
      <c r="AS892" s="83"/>
      <c r="AT892" s="93"/>
      <c r="AU892" s="93"/>
      <c r="AV892" s="93"/>
      <c r="AW892" s="83"/>
      <c r="AX892" s="83"/>
      <c r="AY892" s="83"/>
      <c r="AZ892" s="83"/>
      <c r="BA892" s="83"/>
      <c r="BB892" s="83"/>
      <c r="BC892" s="54"/>
      <c r="BD892" s="54" t="str">
        <f t="shared" si="1"/>
        <v/>
      </c>
      <c r="BE892" s="67"/>
      <c r="BF892" s="67"/>
      <c r="BG892" s="67"/>
      <c r="BH892" s="67"/>
      <c r="BI892" s="67"/>
      <c r="BJ892" s="67"/>
      <c r="BK892" s="67"/>
      <c r="BL892" s="67"/>
      <c r="BM892" s="67"/>
      <c r="BN892" s="100"/>
      <c r="BO892" s="102"/>
      <c r="BP892" s="67"/>
      <c r="BQ892" s="79"/>
      <c r="BR892" s="67"/>
      <c r="BS892" s="102"/>
      <c r="BT892" s="106"/>
      <c r="BU892" s="107"/>
      <c r="BV892" s="108" t="str">
        <f t="shared" si="17"/>
        <v/>
      </c>
      <c r="BW892" s="108" t="str">
        <f t="shared" si="16"/>
        <v/>
      </c>
      <c r="BX892" s="102" t="str">
        <f t="shared" si="15"/>
        <v/>
      </c>
      <c r="BY892" s="107" t="str">
        <f t="shared" si="5"/>
        <v/>
      </c>
      <c r="BZ892" s="107" t="str">
        <f t="array" ref="BZ892">IF($A892&lt;&gt;"",INDEX(LISTA!$M$2:$N$27,MATCH($BC892,LISTA!$N$2:$N$27,0),1),"")</f>
        <v/>
      </c>
      <c r="CA892" s="67" t="str">
        <f t="shared" si="6"/>
        <v/>
      </c>
      <c r="CB892" s="114" t="str">
        <f t="shared" si="7"/>
        <v/>
      </c>
      <c r="CC892" s="114"/>
    </row>
    <row r="893" ht="22.5" customHeight="1">
      <c r="A893" s="59"/>
      <c r="B893" s="115"/>
      <c r="C893" s="54"/>
      <c r="D893" s="56"/>
      <c r="E893" s="69"/>
      <c r="F893" s="73"/>
      <c r="G893" s="79"/>
      <c r="H893" s="79"/>
      <c r="I893" s="67"/>
      <c r="J893" s="79"/>
      <c r="K893" s="67"/>
      <c r="L893" s="79"/>
      <c r="M893" s="83"/>
      <c r="N893" s="78"/>
      <c r="O893" s="80"/>
      <c r="P893" s="70"/>
      <c r="Q893" s="54"/>
      <c r="R893" s="67"/>
      <c r="S893" s="67"/>
      <c r="T893" s="54"/>
      <c r="U893" s="86"/>
      <c r="V893" s="54"/>
      <c r="W893" s="86"/>
      <c r="X893" s="54"/>
      <c r="Y893" s="78"/>
      <c r="Z893" s="54"/>
      <c r="AA893" s="70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54"/>
      <c r="AR893" s="83"/>
      <c r="AS893" s="83"/>
      <c r="AT893" s="93"/>
      <c r="AU893" s="93"/>
      <c r="AV893" s="93"/>
      <c r="AW893" s="83"/>
      <c r="AX893" s="83"/>
      <c r="AY893" s="83"/>
      <c r="AZ893" s="83"/>
      <c r="BA893" s="83"/>
      <c r="BB893" s="83"/>
      <c r="BC893" s="54"/>
      <c r="BD893" s="54" t="str">
        <f t="shared" si="1"/>
        <v/>
      </c>
      <c r="BE893" s="67"/>
      <c r="BF893" s="67"/>
      <c r="BG893" s="67"/>
      <c r="BH893" s="67"/>
      <c r="BI893" s="67"/>
      <c r="BJ893" s="67"/>
      <c r="BK893" s="67"/>
      <c r="BL893" s="67"/>
      <c r="BM893" s="67"/>
      <c r="BN893" s="100"/>
      <c r="BO893" s="102"/>
      <c r="BP893" s="67"/>
      <c r="BQ893" s="79"/>
      <c r="BR893" s="67"/>
      <c r="BS893" s="102"/>
      <c r="BT893" s="106"/>
      <c r="BU893" s="107"/>
      <c r="BV893" s="108" t="str">
        <f t="shared" si="17"/>
        <v/>
      </c>
      <c r="BW893" s="108" t="str">
        <f t="shared" si="16"/>
        <v/>
      </c>
      <c r="BX893" s="102" t="str">
        <f t="shared" si="15"/>
        <v/>
      </c>
      <c r="BY893" s="107" t="str">
        <f t="shared" si="5"/>
        <v/>
      </c>
      <c r="BZ893" s="107" t="str">
        <f t="array" ref="BZ893">IF($A893&lt;&gt;"",INDEX(LISTA!$M$2:$N$27,MATCH($BC893,LISTA!$N$2:$N$27,0),1),"")</f>
        <v/>
      </c>
      <c r="CA893" s="67" t="str">
        <f t="shared" si="6"/>
        <v/>
      </c>
      <c r="CB893" s="114" t="str">
        <f t="shared" si="7"/>
        <v/>
      </c>
      <c r="CC893" s="114"/>
    </row>
    <row r="894" ht="22.5" customHeight="1">
      <c r="A894" s="59"/>
      <c r="B894" s="115"/>
      <c r="C894" s="54"/>
      <c r="D894" s="56"/>
      <c r="E894" s="69"/>
      <c r="F894" s="73"/>
      <c r="G894" s="79"/>
      <c r="H894" s="79"/>
      <c r="I894" s="67"/>
      <c r="J894" s="79"/>
      <c r="K894" s="67"/>
      <c r="L894" s="79"/>
      <c r="M894" s="83"/>
      <c r="N894" s="78"/>
      <c r="O894" s="80"/>
      <c r="P894" s="70"/>
      <c r="Q894" s="54"/>
      <c r="R894" s="67"/>
      <c r="S894" s="67"/>
      <c r="T894" s="54"/>
      <c r="U894" s="86"/>
      <c r="V894" s="54"/>
      <c r="W894" s="86"/>
      <c r="X894" s="54"/>
      <c r="Y894" s="78"/>
      <c r="Z894" s="54"/>
      <c r="AA894" s="70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54"/>
      <c r="AR894" s="83"/>
      <c r="AS894" s="83"/>
      <c r="AT894" s="93"/>
      <c r="AU894" s="93"/>
      <c r="AV894" s="93"/>
      <c r="AW894" s="83"/>
      <c r="AX894" s="83"/>
      <c r="AY894" s="83"/>
      <c r="AZ894" s="83"/>
      <c r="BA894" s="83"/>
      <c r="BB894" s="83"/>
      <c r="BC894" s="54"/>
      <c r="BD894" s="54" t="str">
        <f t="shared" si="1"/>
        <v/>
      </c>
      <c r="BE894" s="67"/>
      <c r="BF894" s="67"/>
      <c r="BG894" s="67"/>
      <c r="BH894" s="67"/>
      <c r="BI894" s="67"/>
      <c r="BJ894" s="67"/>
      <c r="BK894" s="67"/>
      <c r="BL894" s="67"/>
      <c r="BM894" s="67"/>
      <c r="BN894" s="100"/>
      <c r="BO894" s="102"/>
      <c r="BP894" s="67"/>
      <c r="BQ894" s="79"/>
      <c r="BR894" s="67"/>
      <c r="BS894" s="102"/>
      <c r="BT894" s="106"/>
      <c r="BU894" s="107"/>
      <c r="BV894" s="108" t="str">
        <f t="shared" si="17"/>
        <v/>
      </c>
      <c r="BW894" s="108" t="str">
        <f t="shared" si="16"/>
        <v/>
      </c>
      <c r="BX894" s="102" t="str">
        <f t="shared" si="15"/>
        <v/>
      </c>
      <c r="BY894" s="107" t="str">
        <f t="shared" si="5"/>
        <v/>
      </c>
      <c r="BZ894" s="107" t="str">
        <f t="array" ref="BZ894">IF($A894&lt;&gt;"",INDEX(LISTA!$M$2:$N$27,MATCH($BC894,LISTA!$N$2:$N$27,0),1),"")</f>
        <v/>
      </c>
      <c r="CA894" s="67" t="str">
        <f t="shared" si="6"/>
        <v/>
      </c>
      <c r="CB894" s="114" t="str">
        <f t="shared" si="7"/>
        <v/>
      </c>
      <c r="CC894" s="114"/>
    </row>
    <row r="895" ht="22.5" customHeight="1">
      <c r="A895" s="59"/>
      <c r="B895" s="115"/>
      <c r="C895" s="54"/>
      <c r="D895" s="56"/>
      <c r="E895" s="69"/>
      <c r="F895" s="73"/>
      <c r="G895" s="79"/>
      <c r="H895" s="79"/>
      <c r="I895" s="67"/>
      <c r="J895" s="79"/>
      <c r="K895" s="67"/>
      <c r="L895" s="79"/>
      <c r="M895" s="83"/>
      <c r="N895" s="78"/>
      <c r="O895" s="80"/>
      <c r="P895" s="70"/>
      <c r="Q895" s="54"/>
      <c r="R895" s="67"/>
      <c r="S895" s="67"/>
      <c r="T895" s="54"/>
      <c r="U895" s="86"/>
      <c r="V895" s="54"/>
      <c r="W895" s="86"/>
      <c r="X895" s="54"/>
      <c r="Y895" s="78"/>
      <c r="Z895" s="54"/>
      <c r="AA895" s="70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54"/>
      <c r="AR895" s="83"/>
      <c r="AS895" s="83"/>
      <c r="AT895" s="93"/>
      <c r="AU895" s="93"/>
      <c r="AV895" s="93"/>
      <c r="AW895" s="83"/>
      <c r="AX895" s="83"/>
      <c r="AY895" s="83"/>
      <c r="AZ895" s="83"/>
      <c r="BA895" s="83"/>
      <c r="BB895" s="83"/>
      <c r="BC895" s="54"/>
      <c r="BD895" s="54" t="str">
        <f t="shared" si="1"/>
        <v/>
      </c>
      <c r="BE895" s="67"/>
      <c r="BF895" s="67"/>
      <c r="BG895" s="67"/>
      <c r="BH895" s="67"/>
      <c r="BI895" s="67"/>
      <c r="BJ895" s="67"/>
      <c r="BK895" s="67"/>
      <c r="BL895" s="67"/>
      <c r="BM895" s="67"/>
      <c r="BN895" s="100"/>
      <c r="BO895" s="102"/>
      <c r="BP895" s="67"/>
      <c r="BQ895" s="79"/>
      <c r="BR895" s="67"/>
      <c r="BS895" s="102"/>
      <c r="BT895" s="106"/>
      <c r="BU895" s="107"/>
      <c r="BV895" s="108" t="str">
        <f t="shared" si="17"/>
        <v/>
      </c>
      <c r="BW895" s="108" t="str">
        <f t="shared" si="16"/>
        <v/>
      </c>
      <c r="BX895" s="102" t="str">
        <f t="shared" si="15"/>
        <v/>
      </c>
      <c r="BY895" s="107" t="str">
        <f t="shared" si="5"/>
        <v/>
      </c>
      <c r="BZ895" s="107" t="str">
        <f t="array" ref="BZ895">IF($A895&lt;&gt;"",INDEX(LISTA!$M$2:$N$27,MATCH($BC895,LISTA!$N$2:$N$27,0),1),"")</f>
        <v/>
      </c>
      <c r="CA895" s="67" t="str">
        <f t="shared" si="6"/>
        <v/>
      </c>
      <c r="CB895" s="114" t="str">
        <f t="shared" si="7"/>
        <v/>
      </c>
      <c r="CC895" s="114"/>
    </row>
    <row r="896" ht="22.5" customHeight="1">
      <c r="A896" s="59"/>
      <c r="B896" s="115"/>
      <c r="C896" s="54"/>
      <c r="D896" s="56"/>
      <c r="E896" s="69"/>
      <c r="F896" s="73"/>
      <c r="G896" s="79"/>
      <c r="H896" s="79"/>
      <c r="I896" s="67"/>
      <c r="J896" s="79"/>
      <c r="K896" s="67"/>
      <c r="L896" s="79"/>
      <c r="M896" s="83"/>
      <c r="N896" s="78"/>
      <c r="O896" s="80"/>
      <c r="P896" s="70"/>
      <c r="Q896" s="54"/>
      <c r="R896" s="67"/>
      <c r="S896" s="67"/>
      <c r="T896" s="54"/>
      <c r="U896" s="86"/>
      <c r="V896" s="54"/>
      <c r="W896" s="86"/>
      <c r="X896" s="54"/>
      <c r="Y896" s="78"/>
      <c r="Z896" s="54"/>
      <c r="AA896" s="70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54"/>
      <c r="AR896" s="83"/>
      <c r="AS896" s="83"/>
      <c r="AT896" s="93"/>
      <c r="AU896" s="93"/>
      <c r="AV896" s="93"/>
      <c r="AW896" s="83"/>
      <c r="AX896" s="83"/>
      <c r="AY896" s="83"/>
      <c r="AZ896" s="83"/>
      <c r="BA896" s="83"/>
      <c r="BB896" s="83"/>
      <c r="BC896" s="54"/>
      <c r="BD896" s="54" t="str">
        <f t="shared" si="1"/>
        <v/>
      </c>
      <c r="BE896" s="67"/>
      <c r="BF896" s="67"/>
      <c r="BG896" s="67"/>
      <c r="BH896" s="67"/>
      <c r="BI896" s="67"/>
      <c r="BJ896" s="67"/>
      <c r="BK896" s="67"/>
      <c r="BL896" s="67"/>
      <c r="BM896" s="67"/>
      <c r="BN896" s="100"/>
      <c r="BO896" s="102"/>
      <c r="BP896" s="67"/>
      <c r="BQ896" s="79"/>
      <c r="BR896" s="67"/>
      <c r="BS896" s="102"/>
      <c r="BT896" s="106"/>
      <c r="BU896" s="107"/>
      <c r="BV896" s="108" t="str">
        <f t="shared" si="17"/>
        <v/>
      </c>
      <c r="BW896" s="108" t="str">
        <f t="shared" si="16"/>
        <v/>
      </c>
      <c r="BX896" s="102" t="str">
        <f t="shared" si="15"/>
        <v/>
      </c>
      <c r="BY896" s="107" t="str">
        <f t="shared" si="5"/>
        <v/>
      </c>
      <c r="BZ896" s="107" t="str">
        <f t="array" ref="BZ896">IF($A896&lt;&gt;"",INDEX(LISTA!$M$2:$N$27,MATCH($BC896,LISTA!$N$2:$N$27,0),1),"")</f>
        <v/>
      </c>
      <c r="CA896" s="67" t="str">
        <f t="shared" si="6"/>
        <v/>
      </c>
      <c r="CB896" s="114" t="str">
        <f t="shared" si="7"/>
        <v/>
      </c>
      <c r="CC896" s="114"/>
    </row>
    <row r="897" ht="22.5" customHeight="1">
      <c r="A897" s="59"/>
      <c r="B897" s="115"/>
      <c r="C897" s="54"/>
      <c r="D897" s="56"/>
      <c r="E897" s="69"/>
      <c r="F897" s="73"/>
      <c r="G897" s="79"/>
      <c r="H897" s="79"/>
      <c r="I897" s="67"/>
      <c r="J897" s="79"/>
      <c r="K897" s="67"/>
      <c r="L897" s="79"/>
      <c r="M897" s="83"/>
      <c r="N897" s="78"/>
      <c r="O897" s="80"/>
      <c r="P897" s="70"/>
      <c r="Q897" s="54"/>
      <c r="R897" s="67"/>
      <c r="S897" s="67"/>
      <c r="T897" s="54"/>
      <c r="U897" s="86"/>
      <c r="V897" s="54"/>
      <c r="W897" s="86"/>
      <c r="X897" s="54"/>
      <c r="Y897" s="78"/>
      <c r="Z897" s="54"/>
      <c r="AA897" s="70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54"/>
      <c r="AR897" s="83"/>
      <c r="AS897" s="83"/>
      <c r="AT897" s="93"/>
      <c r="AU897" s="93"/>
      <c r="AV897" s="93"/>
      <c r="AW897" s="83"/>
      <c r="AX897" s="83"/>
      <c r="AY897" s="83"/>
      <c r="AZ897" s="83"/>
      <c r="BA897" s="83"/>
      <c r="BB897" s="83"/>
      <c r="BC897" s="54"/>
      <c r="BD897" s="54" t="str">
        <f t="shared" si="1"/>
        <v/>
      </c>
      <c r="BE897" s="67"/>
      <c r="BF897" s="67"/>
      <c r="BG897" s="67"/>
      <c r="BH897" s="67"/>
      <c r="BI897" s="67"/>
      <c r="BJ897" s="67"/>
      <c r="BK897" s="67"/>
      <c r="BL897" s="67"/>
      <c r="BM897" s="67"/>
      <c r="BN897" s="100"/>
      <c r="BO897" s="102"/>
      <c r="BP897" s="67"/>
      <c r="BQ897" s="79"/>
      <c r="BR897" s="67"/>
      <c r="BS897" s="102"/>
      <c r="BT897" s="106"/>
      <c r="BU897" s="107"/>
      <c r="BV897" s="108" t="str">
        <f t="shared" si="17"/>
        <v/>
      </c>
      <c r="BW897" s="108" t="str">
        <f t="shared" si="16"/>
        <v/>
      </c>
      <c r="BX897" s="102" t="str">
        <f t="shared" si="15"/>
        <v/>
      </c>
      <c r="BY897" s="107" t="str">
        <f t="shared" si="5"/>
        <v/>
      </c>
      <c r="BZ897" s="107" t="str">
        <f t="array" ref="BZ897">IF($A897&lt;&gt;"",INDEX(LISTA!$M$2:$N$27,MATCH($BC897,LISTA!$N$2:$N$27,0),1),"")</f>
        <v/>
      </c>
      <c r="CA897" s="67" t="str">
        <f t="shared" si="6"/>
        <v/>
      </c>
      <c r="CB897" s="114" t="str">
        <f t="shared" si="7"/>
        <v/>
      </c>
      <c r="CC897" s="114"/>
    </row>
    <row r="898" ht="22.5" customHeight="1">
      <c r="A898" s="59"/>
      <c r="B898" s="115"/>
      <c r="C898" s="54"/>
      <c r="D898" s="56"/>
      <c r="E898" s="69"/>
      <c r="F898" s="73"/>
      <c r="G898" s="79"/>
      <c r="H898" s="79"/>
      <c r="I898" s="67"/>
      <c r="J898" s="79"/>
      <c r="K898" s="67"/>
      <c r="L898" s="79"/>
      <c r="M898" s="83"/>
      <c r="N898" s="78"/>
      <c r="O898" s="80"/>
      <c r="P898" s="70"/>
      <c r="Q898" s="54"/>
      <c r="R898" s="67"/>
      <c r="S898" s="67"/>
      <c r="T898" s="54"/>
      <c r="U898" s="86"/>
      <c r="V898" s="54"/>
      <c r="W898" s="86"/>
      <c r="X898" s="54"/>
      <c r="Y898" s="78"/>
      <c r="Z898" s="54"/>
      <c r="AA898" s="70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54"/>
      <c r="AR898" s="83"/>
      <c r="AS898" s="83"/>
      <c r="AT898" s="93"/>
      <c r="AU898" s="93"/>
      <c r="AV898" s="93"/>
      <c r="AW898" s="83"/>
      <c r="AX898" s="83"/>
      <c r="AY898" s="83"/>
      <c r="AZ898" s="83"/>
      <c r="BA898" s="83"/>
      <c r="BB898" s="83"/>
      <c r="BC898" s="54"/>
      <c r="BD898" s="54" t="str">
        <f t="shared" si="1"/>
        <v/>
      </c>
      <c r="BE898" s="67"/>
      <c r="BF898" s="67"/>
      <c r="BG898" s="67"/>
      <c r="BH898" s="67"/>
      <c r="BI898" s="67"/>
      <c r="BJ898" s="67"/>
      <c r="BK898" s="67"/>
      <c r="BL898" s="67"/>
      <c r="BM898" s="67"/>
      <c r="BN898" s="100"/>
      <c r="BO898" s="102"/>
      <c r="BP898" s="67"/>
      <c r="BQ898" s="79"/>
      <c r="BR898" s="67"/>
      <c r="BS898" s="102"/>
      <c r="BT898" s="106"/>
      <c r="BU898" s="107"/>
      <c r="BV898" s="108" t="str">
        <f t="shared" si="17"/>
        <v/>
      </c>
      <c r="BW898" s="108" t="str">
        <f t="shared" si="16"/>
        <v/>
      </c>
      <c r="BX898" s="102" t="str">
        <f t="shared" si="15"/>
        <v/>
      </c>
      <c r="BY898" s="107" t="str">
        <f t="shared" si="5"/>
        <v/>
      </c>
      <c r="BZ898" s="107" t="str">
        <f t="array" ref="BZ898">IF($A898&lt;&gt;"",INDEX(LISTA!$M$2:$N$27,MATCH($BC898,LISTA!$N$2:$N$27,0),1),"")</f>
        <v/>
      </c>
      <c r="CA898" s="67" t="str">
        <f t="shared" si="6"/>
        <v/>
      </c>
      <c r="CB898" s="114" t="str">
        <f t="shared" si="7"/>
        <v/>
      </c>
      <c r="CC898" s="114"/>
    </row>
    <row r="899" ht="22.5" customHeight="1">
      <c r="A899" s="59"/>
      <c r="B899" s="115"/>
      <c r="C899" s="54"/>
      <c r="D899" s="56"/>
      <c r="E899" s="69"/>
      <c r="F899" s="73"/>
      <c r="G899" s="79"/>
      <c r="H899" s="79"/>
      <c r="I899" s="67"/>
      <c r="J899" s="79"/>
      <c r="K899" s="67"/>
      <c r="L899" s="79"/>
      <c r="M899" s="83"/>
      <c r="N899" s="78"/>
      <c r="O899" s="80"/>
      <c r="P899" s="70"/>
      <c r="Q899" s="54"/>
      <c r="R899" s="67"/>
      <c r="S899" s="67"/>
      <c r="T899" s="54"/>
      <c r="U899" s="86"/>
      <c r="V899" s="54"/>
      <c r="W899" s="86"/>
      <c r="X899" s="54"/>
      <c r="Y899" s="78"/>
      <c r="Z899" s="54"/>
      <c r="AA899" s="70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54"/>
      <c r="AR899" s="83"/>
      <c r="AS899" s="83"/>
      <c r="AT899" s="93"/>
      <c r="AU899" s="93"/>
      <c r="AV899" s="93"/>
      <c r="AW899" s="83"/>
      <c r="AX899" s="83"/>
      <c r="AY899" s="83"/>
      <c r="AZ899" s="83"/>
      <c r="BA899" s="83"/>
      <c r="BB899" s="83"/>
      <c r="BC899" s="54"/>
      <c r="BD899" s="54" t="str">
        <f t="shared" si="1"/>
        <v/>
      </c>
      <c r="BE899" s="67"/>
      <c r="BF899" s="67"/>
      <c r="BG899" s="67"/>
      <c r="BH899" s="67"/>
      <c r="BI899" s="67"/>
      <c r="BJ899" s="67"/>
      <c r="BK899" s="67"/>
      <c r="BL899" s="67"/>
      <c r="BM899" s="67"/>
      <c r="BN899" s="100"/>
      <c r="BO899" s="102"/>
      <c r="BP899" s="67"/>
      <c r="BQ899" s="79"/>
      <c r="BR899" s="67"/>
      <c r="BS899" s="102"/>
      <c r="BT899" s="106"/>
      <c r="BU899" s="107"/>
      <c r="BV899" s="108" t="str">
        <f t="shared" si="17"/>
        <v/>
      </c>
      <c r="BW899" s="108" t="str">
        <f t="shared" si="16"/>
        <v/>
      </c>
      <c r="BX899" s="102" t="str">
        <f t="shared" si="15"/>
        <v/>
      </c>
      <c r="BY899" s="107" t="str">
        <f t="shared" si="5"/>
        <v/>
      </c>
      <c r="BZ899" s="107" t="str">
        <f t="array" ref="BZ899">IF($A899&lt;&gt;"",INDEX(LISTA!$M$2:$N$27,MATCH($BC899,LISTA!$N$2:$N$27,0),1),"")</f>
        <v/>
      </c>
      <c r="CA899" s="67" t="str">
        <f t="shared" si="6"/>
        <v/>
      </c>
      <c r="CB899" s="114" t="str">
        <f t="shared" si="7"/>
        <v/>
      </c>
      <c r="CC899" s="114"/>
    </row>
    <row r="900" ht="22.5" customHeight="1">
      <c r="A900" s="59"/>
      <c r="B900" s="115"/>
      <c r="C900" s="54"/>
      <c r="D900" s="56"/>
      <c r="E900" s="69"/>
      <c r="F900" s="73"/>
      <c r="G900" s="79"/>
      <c r="H900" s="79"/>
      <c r="I900" s="67"/>
      <c r="J900" s="79"/>
      <c r="K900" s="67"/>
      <c r="L900" s="79"/>
      <c r="M900" s="83"/>
      <c r="N900" s="78"/>
      <c r="O900" s="80"/>
      <c r="P900" s="70"/>
      <c r="Q900" s="54"/>
      <c r="R900" s="67"/>
      <c r="S900" s="67"/>
      <c r="T900" s="54"/>
      <c r="U900" s="86"/>
      <c r="V900" s="54"/>
      <c r="W900" s="86"/>
      <c r="X900" s="54"/>
      <c r="Y900" s="78"/>
      <c r="Z900" s="54"/>
      <c r="AA900" s="70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54"/>
      <c r="AR900" s="83"/>
      <c r="AS900" s="83"/>
      <c r="AT900" s="93"/>
      <c r="AU900" s="93"/>
      <c r="AV900" s="93"/>
      <c r="AW900" s="83"/>
      <c r="AX900" s="83"/>
      <c r="AY900" s="83"/>
      <c r="AZ900" s="83"/>
      <c r="BA900" s="83"/>
      <c r="BB900" s="83"/>
      <c r="BC900" s="54"/>
      <c r="BD900" s="54" t="str">
        <f t="shared" si="1"/>
        <v/>
      </c>
      <c r="BE900" s="67"/>
      <c r="BF900" s="67"/>
      <c r="BG900" s="67"/>
      <c r="BH900" s="67"/>
      <c r="BI900" s="67"/>
      <c r="BJ900" s="67"/>
      <c r="BK900" s="67"/>
      <c r="BL900" s="67"/>
      <c r="BM900" s="67"/>
      <c r="BN900" s="100"/>
      <c r="BO900" s="102"/>
      <c r="BP900" s="67"/>
      <c r="BQ900" s="79"/>
      <c r="BR900" s="67"/>
      <c r="BS900" s="102"/>
      <c r="BT900" s="106"/>
      <c r="BU900" s="107"/>
      <c r="BV900" s="108" t="str">
        <f t="shared" si="17"/>
        <v/>
      </c>
      <c r="BW900" s="108" t="str">
        <f t="shared" si="16"/>
        <v/>
      </c>
      <c r="BX900" s="102" t="str">
        <f t="shared" si="15"/>
        <v/>
      </c>
      <c r="BY900" s="107" t="str">
        <f t="shared" si="5"/>
        <v/>
      </c>
      <c r="BZ900" s="107" t="str">
        <f t="array" ref="BZ900">IF($A900&lt;&gt;"",INDEX(LISTA!$M$2:$N$27,MATCH($BC900,LISTA!$N$2:$N$27,0),1),"")</f>
        <v/>
      </c>
      <c r="CA900" s="67" t="str">
        <f t="shared" si="6"/>
        <v/>
      </c>
      <c r="CB900" s="114" t="str">
        <f t="shared" si="7"/>
        <v/>
      </c>
      <c r="CC900" s="114"/>
    </row>
    <row r="901" ht="22.5" customHeight="1">
      <c r="A901" s="59"/>
      <c r="B901" s="115"/>
      <c r="C901" s="54"/>
      <c r="D901" s="56"/>
      <c r="E901" s="69"/>
      <c r="F901" s="73"/>
      <c r="G901" s="79"/>
      <c r="H901" s="79"/>
      <c r="I901" s="67"/>
      <c r="J901" s="79"/>
      <c r="K901" s="67"/>
      <c r="L901" s="79"/>
      <c r="M901" s="83"/>
      <c r="N901" s="78"/>
      <c r="O901" s="80"/>
      <c r="P901" s="70"/>
      <c r="Q901" s="54"/>
      <c r="R901" s="67"/>
      <c r="S901" s="67"/>
      <c r="T901" s="54"/>
      <c r="U901" s="86"/>
      <c r="V901" s="54"/>
      <c r="W901" s="86"/>
      <c r="X901" s="54"/>
      <c r="Y901" s="78"/>
      <c r="Z901" s="54"/>
      <c r="AA901" s="70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54"/>
      <c r="AR901" s="83"/>
      <c r="AS901" s="83"/>
      <c r="AT901" s="93"/>
      <c r="AU901" s="93"/>
      <c r="AV901" s="93"/>
      <c r="AW901" s="83"/>
      <c r="AX901" s="83"/>
      <c r="AY901" s="83"/>
      <c r="AZ901" s="83"/>
      <c r="BA901" s="83"/>
      <c r="BB901" s="83"/>
      <c r="BC901" s="54"/>
      <c r="BD901" s="54" t="str">
        <f t="shared" si="1"/>
        <v/>
      </c>
      <c r="BE901" s="67"/>
      <c r="BF901" s="67"/>
      <c r="BG901" s="67"/>
      <c r="BH901" s="67"/>
      <c r="BI901" s="67"/>
      <c r="BJ901" s="67"/>
      <c r="BK901" s="67"/>
      <c r="BL901" s="67"/>
      <c r="BM901" s="67"/>
      <c r="BN901" s="100"/>
      <c r="BO901" s="102"/>
      <c r="BP901" s="67"/>
      <c r="BQ901" s="79"/>
      <c r="BR901" s="67"/>
      <c r="BS901" s="102"/>
      <c r="BT901" s="106"/>
      <c r="BU901" s="107"/>
      <c r="BV901" s="108" t="str">
        <f t="shared" si="17"/>
        <v/>
      </c>
      <c r="BW901" s="108" t="str">
        <f t="shared" si="16"/>
        <v/>
      </c>
      <c r="BX901" s="102" t="str">
        <f t="shared" si="15"/>
        <v/>
      </c>
      <c r="BY901" s="107" t="str">
        <f t="shared" si="5"/>
        <v/>
      </c>
      <c r="BZ901" s="107" t="str">
        <f t="array" ref="BZ901">IF($A901&lt;&gt;"",INDEX(LISTA!$M$2:$N$27,MATCH($BC901,LISTA!$N$2:$N$27,0),1),"")</f>
        <v/>
      </c>
      <c r="CA901" s="67" t="str">
        <f t="shared" si="6"/>
        <v/>
      </c>
      <c r="CB901" s="114" t="str">
        <f t="shared" si="7"/>
        <v/>
      </c>
      <c r="CC901" s="114"/>
    </row>
    <row r="902" ht="22.5" customHeight="1">
      <c r="A902" s="59"/>
      <c r="B902" s="115"/>
      <c r="C902" s="54"/>
      <c r="D902" s="56"/>
      <c r="E902" s="69"/>
      <c r="F902" s="73"/>
      <c r="G902" s="79"/>
      <c r="H902" s="79"/>
      <c r="I902" s="67"/>
      <c r="J902" s="79"/>
      <c r="K902" s="67"/>
      <c r="L902" s="79"/>
      <c r="M902" s="83"/>
      <c r="N902" s="78"/>
      <c r="O902" s="80"/>
      <c r="P902" s="70"/>
      <c r="Q902" s="54"/>
      <c r="R902" s="67"/>
      <c r="S902" s="67"/>
      <c r="T902" s="54"/>
      <c r="U902" s="86"/>
      <c r="V902" s="54"/>
      <c r="W902" s="86"/>
      <c r="X902" s="54"/>
      <c r="Y902" s="78"/>
      <c r="Z902" s="54"/>
      <c r="AA902" s="70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54"/>
      <c r="AR902" s="83"/>
      <c r="AS902" s="83"/>
      <c r="AT902" s="93"/>
      <c r="AU902" s="93"/>
      <c r="AV902" s="93"/>
      <c r="AW902" s="83"/>
      <c r="AX902" s="83"/>
      <c r="AY902" s="83"/>
      <c r="AZ902" s="83"/>
      <c r="BA902" s="83"/>
      <c r="BB902" s="83"/>
      <c r="BC902" s="54"/>
      <c r="BD902" s="54" t="str">
        <f t="shared" si="1"/>
        <v/>
      </c>
      <c r="BE902" s="67"/>
      <c r="BF902" s="67"/>
      <c r="BG902" s="67"/>
      <c r="BH902" s="67"/>
      <c r="BI902" s="67"/>
      <c r="BJ902" s="67"/>
      <c r="BK902" s="67"/>
      <c r="BL902" s="67"/>
      <c r="BM902" s="67"/>
      <c r="BN902" s="100"/>
      <c r="BO902" s="102"/>
      <c r="BP902" s="67"/>
      <c r="BQ902" s="79"/>
      <c r="BR902" s="67"/>
      <c r="BS902" s="102"/>
      <c r="BT902" s="106"/>
      <c r="BU902" s="107"/>
      <c r="BV902" s="108" t="str">
        <f t="shared" si="17"/>
        <v/>
      </c>
      <c r="BW902" s="108" t="str">
        <f t="shared" si="16"/>
        <v/>
      </c>
      <c r="BX902" s="102" t="str">
        <f t="shared" si="15"/>
        <v/>
      </c>
      <c r="BY902" s="107" t="str">
        <f t="shared" si="5"/>
        <v/>
      </c>
      <c r="BZ902" s="107" t="str">
        <f t="array" ref="BZ902">IF($A902&lt;&gt;"",INDEX(LISTA!$M$2:$N$27,MATCH($BC902,LISTA!$N$2:$N$27,0),1),"")</f>
        <v/>
      </c>
      <c r="CA902" s="67" t="str">
        <f t="shared" si="6"/>
        <v/>
      </c>
      <c r="CB902" s="114" t="str">
        <f t="shared" si="7"/>
        <v/>
      </c>
      <c r="CC902" s="114"/>
    </row>
    <row r="903" ht="22.5" customHeight="1">
      <c r="A903" s="59"/>
      <c r="B903" s="115"/>
      <c r="C903" s="54"/>
      <c r="D903" s="56"/>
      <c r="E903" s="69"/>
      <c r="F903" s="73"/>
      <c r="G903" s="79"/>
      <c r="H903" s="79"/>
      <c r="I903" s="67"/>
      <c r="J903" s="79"/>
      <c r="K903" s="67"/>
      <c r="L903" s="79"/>
      <c r="M903" s="83"/>
      <c r="N903" s="78"/>
      <c r="O903" s="80"/>
      <c r="P903" s="70"/>
      <c r="Q903" s="54"/>
      <c r="R903" s="67"/>
      <c r="S903" s="67"/>
      <c r="T903" s="54"/>
      <c r="U903" s="86"/>
      <c r="V903" s="54"/>
      <c r="W903" s="86"/>
      <c r="X903" s="54"/>
      <c r="Y903" s="78"/>
      <c r="Z903" s="54"/>
      <c r="AA903" s="70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54"/>
      <c r="AR903" s="83"/>
      <c r="AS903" s="83"/>
      <c r="AT903" s="93"/>
      <c r="AU903" s="93"/>
      <c r="AV903" s="93"/>
      <c r="AW903" s="83"/>
      <c r="AX903" s="83"/>
      <c r="AY903" s="83"/>
      <c r="AZ903" s="83"/>
      <c r="BA903" s="83"/>
      <c r="BB903" s="83"/>
      <c r="BC903" s="54"/>
      <c r="BD903" s="54" t="str">
        <f t="shared" si="1"/>
        <v/>
      </c>
      <c r="BE903" s="67"/>
      <c r="BF903" s="67"/>
      <c r="BG903" s="67"/>
      <c r="BH903" s="67"/>
      <c r="BI903" s="67"/>
      <c r="BJ903" s="67"/>
      <c r="BK903" s="67"/>
      <c r="BL903" s="67"/>
      <c r="BM903" s="67"/>
      <c r="BN903" s="100"/>
      <c r="BO903" s="102"/>
      <c r="BP903" s="67"/>
      <c r="BQ903" s="79"/>
      <c r="BR903" s="67"/>
      <c r="BS903" s="102"/>
      <c r="BT903" s="106"/>
      <c r="BU903" s="107"/>
      <c r="BV903" s="108" t="str">
        <f t="shared" si="17"/>
        <v/>
      </c>
      <c r="BW903" s="108" t="str">
        <f t="shared" si="16"/>
        <v/>
      </c>
      <c r="BX903" s="102" t="str">
        <f t="shared" si="15"/>
        <v/>
      </c>
      <c r="BY903" s="107" t="str">
        <f t="shared" si="5"/>
        <v/>
      </c>
      <c r="BZ903" s="107" t="str">
        <f t="array" ref="BZ903">IF($A903&lt;&gt;"",INDEX(LISTA!$M$2:$N$27,MATCH($BC903,LISTA!$N$2:$N$27,0),1),"")</f>
        <v/>
      </c>
      <c r="CA903" s="67" t="str">
        <f t="shared" si="6"/>
        <v/>
      </c>
      <c r="CB903" s="114" t="str">
        <f t="shared" si="7"/>
        <v/>
      </c>
      <c r="CC903" s="114"/>
    </row>
    <row r="904" ht="22.5" customHeight="1">
      <c r="A904" s="59"/>
      <c r="B904" s="115"/>
      <c r="C904" s="54"/>
      <c r="D904" s="56"/>
      <c r="E904" s="69"/>
      <c r="F904" s="73"/>
      <c r="G904" s="79"/>
      <c r="H904" s="79"/>
      <c r="I904" s="67"/>
      <c r="J904" s="79"/>
      <c r="K904" s="67"/>
      <c r="L904" s="79"/>
      <c r="M904" s="83"/>
      <c r="N904" s="78"/>
      <c r="O904" s="80"/>
      <c r="P904" s="70"/>
      <c r="Q904" s="54"/>
      <c r="R904" s="67"/>
      <c r="S904" s="67"/>
      <c r="T904" s="54"/>
      <c r="U904" s="86"/>
      <c r="V904" s="54"/>
      <c r="W904" s="86"/>
      <c r="X904" s="54"/>
      <c r="Y904" s="78"/>
      <c r="Z904" s="54"/>
      <c r="AA904" s="70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54"/>
      <c r="AR904" s="83"/>
      <c r="AS904" s="83"/>
      <c r="AT904" s="93"/>
      <c r="AU904" s="93"/>
      <c r="AV904" s="93"/>
      <c r="AW904" s="83"/>
      <c r="AX904" s="83"/>
      <c r="AY904" s="83"/>
      <c r="AZ904" s="83"/>
      <c r="BA904" s="83"/>
      <c r="BB904" s="83"/>
      <c r="BC904" s="54"/>
      <c r="BD904" s="54" t="str">
        <f t="shared" si="1"/>
        <v/>
      </c>
      <c r="BE904" s="67"/>
      <c r="BF904" s="67"/>
      <c r="BG904" s="67"/>
      <c r="BH904" s="67"/>
      <c r="BI904" s="67"/>
      <c r="BJ904" s="67"/>
      <c r="BK904" s="67"/>
      <c r="BL904" s="67"/>
      <c r="BM904" s="67"/>
      <c r="BN904" s="100"/>
      <c r="BO904" s="102"/>
      <c r="BP904" s="67"/>
      <c r="BQ904" s="79"/>
      <c r="BR904" s="67"/>
      <c r="BS904" s="102"/>
      <c r="BT904" s="106"/>
      <c r="BU904" s="107"/>
      <c r="BV904" s="108" t="str">
        <f t="shared" si="17"/>
        <v/>
      </c>
      <c r="BW904" s="108" t="str">
        <f t="shared" si="16"/>
        <v/>
      </c>
      <c r="BX904" s="102" t="str">
        <f t="shared" si="15"/>
        <v/>
      </c>
      <c r="BY904" s="107" t="str">
        <f t="shared" si="5"/>
        <v/>
      </c>
      <c r="BZ904" s="107" t="str">
        <f t="array" ref="BZ904">IF($A904&lt;&gt;"",INDEX(LISTA!$M$2:$N$27,MATCH($BC904,LISTA!$N$2:$N$27,0),1),"")</f>
        <v/>
      </c>
      <c r="CA904" s="67" t="str">
        <f t="shared" si="6"/>
        <v/>
      </c>
      <c r="CB904" s="114" t="str">
        <f t="shared" si="7"/>
        <v/>
      </c>
      <c r="CC904" s="114"/>
    </row>
    <row r="905" ht="22.5" customHeight="1">
      <c r="A905" s="59"/>
      <c r="B905" s="115"/>
      <c r="C905" s="54"/>
      <c r="D905" s="56"/>
      <c r="E905" s="69"/>
      <c r="F905" s="73"/>
      <c r="G905" s="79"/>
      <c r="H905" s="79"/>
      <c r="I905" s="67"/>
      <c r="J905" s="79"/>
      <c r="K905" s="67"/>
      <c r="L905" s="79"/>
      <c r="M905" s="83"/>
      <c r="N905" s="78"/>
      <c r="O905" s="80"/>
      <c r="P905" s="70"/>
      <c r="Q905" s="54"/>
      <c r="R905" s="67"/>
      <c r="S905" s="67"/>
      <c r="T905" s="54"/>
      <c r="U905" s="86"/>
      <c r="V905" s="54"/>
      <c r="W905" s="86"/>
      <c r="X905" s="54"/>
      <c r="Y905" s="78"/>
      <c r="Z905" s="54"/>
      <c r="AA905" s="70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54"/>
      <c r="AR905" s="83"/>
      <c r="AS905" s="83"/>
      <c r="AT905" s="93"/>
      <c r="AU905" s="93"/>
      <c r="AV905" s="93"/>
      <c r="AW905" s="83"/>
      <c r="AX905" s="83"/>
      <c r="AY905" s="83"/>
      <c r="AZ905" s="83"/>
      <c r="BA905" s="83"/>
      <c r="BB905" s="83"/>
      <c r="BC905" s="54"/>
      <c r="BD905" s="54" t="str">
        <f t="shared" si="1"/>
        <v/>
      </c>
      <c r="BE905" s="67"/>
      <c r="BF905" s="67"/>
      <c r="BG905" s="67"/>
      <c r="BH905" s="67"/>
      <c r="BI905" s="67"/>
      <c r="BJ905" s="67"/>
      <c r="BK905" s="67"/>
      <c r="BL905" s="67"/>
      <c r="BM905" s="67"/>
      <c r="BN905" s="100"/>
      <c r="BO905" s="102"/>
      <c r="BP905" s="67"/>
      <c r="BQ905" s="79"/>
      <c r="BR905" s="67"/>
      <c r="BS905" s="102"/>
      <c r="BT905" s="106"/>
      <c r="BU905" s="107"/>
      <c r="BV905" s="108" t="str">
        <f t="shared" si="17"/>
        <v/>
      </c>
      <c r="BW905" s="108" t="str">
        <f t="shared" si="16"/>
        <v/>
      </c>
      <c r="BX905" s="102" t="str">
        <f t="shared" si="15"/>
        <v/>
      </c>
      <c r="BY905" s="107" t="str">
        <f t="shared" si="5"/>
        <v/>
      </c>
      <c r="BZ905" s="107" t="str">
        <f t="array" ref="BZ905">IF($A905&lt;&gt;"",INDEX(LISTA!$M$2:$N$27,MATCH($BC905,LISTA!$N$2:$N$27,0),1),"")</f>
        <v/>
      </c>
      <c r="CA905" s="67" t="str">
        <f t="shared" si="6"/>
        <v/>
      </c>
      <c r="CB905" s="114" t="str">
        <f t="shared" si="7"/>
        <v/>
      </c>
      <c r="CC905" s="114"/>
    </row>
    <row r="906" ht="22.5" customHeight="1">
      <c r="A906" s="59"/>
      <c r="B906" s="115"/>
      <c r="C906" s="54"/>
      <c r="D906" s="56"/>
      <c r="E906" s="69"/>
      <c r="F906" s="73"/>
      <c r="G906" s="79"/>
      <c r="H906" s="79"/>
      <c r="I906" s="67"/>
      <c r="J906" s="79"/>
      <c r="K906" s="67"/>
      <c r="L906" s="79"/>
      <c r="M906" s="83"/>
      <c r="N906" s="78"/>
      <c r="O906" s="80"/>
      <c r="P906" s="70"/>
      <c r="Q906" s="54"/>
      <c r="R906" s="67"/>
      <c r="S906" s="67"/>
      <c r="T906" s="54"/>
      <c r="U906" s="86"/>
      <c r="V906" s="54"/>
      <c r="W906" s="86"/>
      <c r="X906" s="54"/>
      <c r="Y906" s="78"/>
      <c r="Z906" s="54"/>
      <c r="AA906" s="70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54"/>
      <c r="AR906" s="83"/>
      <c r="AS906" s="83"/>
      <c r="AT906" s="93"/>
      <c r="AU906" s="93"/>
      <c r="AV906" s="93"/>
      <c r="AW906" s="83"/>
      <c r="AX906" s="83"/>
      <c r="AY906" s="83"/>
      <c r="AZ906" s="83"/>
      <c r="BA906" s="83"/>
      <c r="BB906" s="83"/>
      <c r="BC906" s="54"/>
      <c r="BD906" s="54" t="str">
        <f t="shared" si="1"/>
        <v/>
      </c>
      <c r="BE906" s="67"/>
      <c r="BF906" s="67"/>
      <c r="BG906" s="67"/>
      <c r="BH906" s="67"/>
      <c r="BI906" s="67"/>
      <c r="BJ906" s="67"/>
      <c r="BK906" s="67"/>
      <c r="BL906" s="67"/>
      <c r="BM906" s="67"/>
      <c r="BN906" s="100"/>
      <c r="BO906" s="102"/>
      <c r="BP906" s="67"/>
      <c r="BQ906" s="79"/>
      <c r="BR906" s="67"/>
      <c r="BS906" s="102"/>
      <c r="BT906" s="106"/>
      <c r="BU906" s="107"/>
      <c r="BV906" s="108" t="str">
        <f t="shared" si="17"/>
        <v/>
      </c>
      <c r="BW906" s="108" t="str">
        <f t="shared" si="16"/>
        <v/>
      </c>
      <c r="BX906" s="102" t="str">
        <f t="shared" si="15"/>
        <v/>
      </c>
      <c r="BY906" s="107" t="str">
        <f t="shared" si="5"/>
        <v/>
      </c>
      <c r="BZ906" s="107" t="str">
        <f t="array" ref="BZ906">IF($A906&lt;&gt;"",INDEX(LISTA!$M$2:$N$27,MATCH($BC906,LISTA!$N$2:$N$27,0),1),"")</f>
        <v/>
      </c>
      <c r="CA906" s="67" t="str">
        <f t="shared" si="6"/>
        <v/>
      </c>
      <c r="CB906" s="114" t="str">
        <f t="shared" si="7"/>
        <v/>
      </c>
      <c r="CC906" s="114"/>
    </row>
    <row r="907" ht="22.5" customHeight="1">
      <c r="A907" s="59"/>
      <c r="B907" s="115"/>
      <c r="C907" s="54"/>
      <c r="D907" s="56"/>
      <c r="E907" s="69"/>
      <c r="F907" s="73"/>
      <c r="G907" s="79"/>
      <c r="H907" s="79"/>
      <c r="I907" s="67"/>
      <c r="J907" s="79"/>
      <c r="K907" s="67"/>
      <c r="L907" s="79"/>
      <c r="M907" s="83"/>
      <c r="N907" s="78"/>
      <c r="O907" s="80"/>
      <c r="P907" s="70"/>
      <c r="Q907" s="54"/>
      <c r="R907" s="67"/>
      <c r="S907" s="67"/>
      <c r="T907" s="54"/>
      <c r="U907" s="86"/>
      <c r="V907" s="54"/>
      <c r="W907" s="86"/>
      <c r="X907" s="54"/>
      <c r="Y907" s="78"/>
      <c r="Z907" s="54"/>
      <c r="AA907" s="70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54"/>
      <c r="AR907" s="83"/>
      <c r="AS907" s="83"/>
      <c r="AT907" s="93"/>
      <c r="AU907" s="93"/>
      <c r="AV907" s="93"/>
      <c r="AW907" s="83"/>
      <c r="AX907" s="83"/>
      <c r="AY907" s="83"/>
      <c r="AZ907" s="83"/>
      <c r="BA907" s="83"/>
      <c r="BB907" s="83"/>
      <c r="BC907" s="54"/>
      <c r="BD907" s="54" t="str">
        <f t="shared" si="1"/>
        <v/>
      </c>
      <c r="BE907" s="67"/>
      <c r="BF907" s="67"/>
      <c r="BG907" s="67"/>
      <c r="BH907" s="67"/>
      <c r="BI907" s="67"/>
      <c r="BJ907" s="67"/>
      <c r="BK907" s="67"/>
      <c r="BL907" s="67"/>
      <c r="BM907" s="67"/>
      <c r="BN907" s="100"/>
      <c r="BO907" s="102"/>
      <c r="BP907" s="67"/>
      <c r="BQ907" s="79"/>
      <c r="BR907" s="67"/>
      <c r="BS907" s="102"/>
      <c r="BT907" s="106"/>
      <c r="BU907" s="107"/>
      <c r="BV907" s="108" t="str">
        <f t="shared" si="17"/>
        <v/>
      </c>
      <c r="BW907" s="108" t="str">
        <f t="shared" si="16"/>
        <v/>
      </c>
      <c r="BX907" s="102" t="str">
        <f t="shared" si="15"/>
        <v/>
      </c>
      <c r="BY907" s="107" t="str">
        <f t="shared" si="5"/>
        <v/>
      </c>
      <c r="BZ907" s="107" t="str">
        <f t="array" ref="BZ907">IF($A907&lt;&gt;"",INDEX(LISTA!$M$2:$N$27,MATCH($BC907,LISTA!$N$2:$N$27,0),1),"")</f>
        <v/>
      </c>
      <c r="CA907" s="67" t="str">
        <f t="shared" si="6"/>
        <v/>
      </c>
      <c r="CB907" s="114" t="str">
        <f t="shared" si="7"/>
        <v/>
      </c>
      <c r="CC907" s="114"/>
    </row>
    <row r="908" ht="22.5" customHeight="1">
      <c r="A908" s="59"/>
      <c r="B908" s="115"/>
      <c r="C908" s="54"/>
      <c r="D908" s="56"/>
      <c r="E908" s="69"/>
      <c r="F908" s="73"/>
      <c r="G908" s="79"/>
      <c r="H908" s="79"/>
      <c r="I908" s="67"/>
      <c r="J908" s="79"/>
      <c r="K908" s="67"/>
      <c r="L908" s="79"/>
      <c r="M908" s="83"/>
      <c r="N908" s="78"/>
      <c r="O908" s="80"/>
      <c r="P908" s="70"/>
      <c r="Q908" s="54"/>
      <c r="R908" s="67"/>
      <c r="S908" s="67"/>
      <c r="T908" s="54"/>
      <c r="U908" s="86"/>
      <c r="V908" s="54"/>
      <c r="W908" s="86"/>
      <c r="X908" s="54"/>
      <c r="Y908" s="78"/>
      <c r="Z908" s="54"/>
      <c r="AA908" s="70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54"/>
      <c r="AR908" s="83"/>
      <c r="AS908" s="83"/>
      <c r="AT908" s="93"/>
      <c r="AU908" s="93"/>
      <c r="AV908" s="93"/>
      <c r="AW908" s="83"/>
      <c r="AX908" s="83"/>
      <c r="AY908" s="83"/>
      <c r="AZ908" s="83"/>
      <c r="BA908" s="83"/>
      <c r="BB908" s="83"/>
      <c r="BC908" s="54"/>
      <c r="BD908" s="54" t="str">
        <f t="shared" si="1"/>
        <v/>
      </c>
      <c r="BE908" s="67"/>
      <c r="BF908" s="67"/>
      <c r="BG908" s="67"/>
      <c r="BH908" s="67"/>
      <c r="BI908" s="67"/>
      <c r="BJ908" s="67"/>
      <c r="BK908" s="67"/>
      <c r="BL908" s="67"/>
      <c r="BM908" s="67"/>
      <c r="BN908" s="100"/>
      <c r="BO908" s="102"/>
      <c r="BP908" s="67"/>
      <c r="BQ908" s="79"/>
      <c r="BR908" s="67"/>
      <c r="BS908" s="102"/>
      <c r="BT908" s="106"/>
      <c r="BU908" s="107"/>
      <c r="BV908" s="108" t="str">
        <f t="shared" si="17"/>
        <v/>
      </c>
      <c r="BW908" s="108" t="str">
        <f t="shared" si="16"/>
        <v/>
      </c>
      <c r="BX908" s="102" t="str">
        <f t="shared" si="15"/>
        <v/>
      </c>
      <c r="BY908" s="107" t="str">
        <f t="shared" si="5"/>
        <v/>
      </c>
      <c r="BZ908" s="107" t="str">
        <f t="array" ref="BZ908">IF($A908&lt;&gt;"",INDEX(LISTA!$M$2:$N$27,MATCH($BC908,LISTA!$N$2:$N$27,0),1),"")</f>
        <v/>
      </c>
      <c r="CA908" s="67" t="str">
        <f t="shared" si="6"/>
        <v/>
      </c>
      <c r="CB908" s="114" t="str">
        <f t="shared" si="7"/>
        <v/>
      </c>
      <c r="CC908" s="114"/>
    </row>
    <row r="909" ht="22.5" customHeight="1">
      <c r="A909" s="59"/>
      <c r="B909" s="115"/>
      <c r="C909" s="54"/>
      <c r="D909" s="56"/>
      <c r="E909" s="69"/>
      <c r="F909" s="73"/>
      <c r="G909" s="79"/>
      <c r="H909" s="79"/>
      <c r="I909" s="67"/>
      <c r="J909" s="79"/>
      <c r="K909" s="67"/>
      <c r="L909" s="79"/>
      <c r="M909" s="83"/>
      <c r="N909" s="78"/>
      <c r="O909" s="80"/>
      <c r="P909" s="70"/>
      <c r="Q909" s="54"/>
      <c r="R909" s="67"/>
      <c r="S909" s="67"/>
      <c r="T909" s="54"/>
      <c r="U909" s="86"/>
      <c r="V909" s="54"/>
      <c r="W909" s="86"/>
      <c r="X909" s="54"/>
      <c r="Y909" s="78"/>
      <c r="Z909" s="54"/>
      <c r="AA909" s="70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54"/>
      <c r="AR909" s="83"/>
      <c r="AS909" s="83"/>
      <c r="AT909" s="93"/>
      <c r="AU909" s="93"/>
      <c r="AV909" s="93"/>
      <c r="AW909" s="83"/>
      <c r="AX909" s="83"/>
      <c r="AY909" s="83"/>
      <c r="AZ909" s="83"/>
      <c r="BA909" s="83"/>
      <c r="BB909" s="83"/>
      <c r="BC909" s="54"/>
      <c r="BD909" s="54" t="str">
        <f t="shared" si="1"/>
        <v/>
      </c>
      <c r="BE909" s="67"/>
      <c r="BF909" s="67"/>
      <c r="BG909" s="67"/>
      <c r="BH909" s="67"/>
      <c r="BI909" s="67"/>
      <c r="BJ909" s="67"/>
      <c r="BK909" s="67"/>
      <c r="BL909" s="67"/>
      <c r="BM909" s="67"/>
      <c r="BN909" s="100"/>
      <c r="BO909" s="102"/>
      <c r="BP909" s="67"/>
      <c r="BQ909" s="79"/>
      <c r="BR909" s="67"/>
      <c r="BS909" s="102"/>
      <c r="BT909" s="106"/>
      <c r="BU909" s="107"/>
      <c r="BV909" s="108" t="str">
        <f t="shared" si="17"/>
        <v/>
      </c>
      <c r="BW909" s="108" t="str">
        <f t="shared" si="16"/>
        <v/>
      </c>
      <c r="BX909" s="102" t="str">
        <f t="shared" si="15"/>
        <v/>
      </c>
      <c r="BY909" s="107" t="str">
        <f t="shared" si="5"/>
        <v/>
      </c>
      <c r="BZ909" s="107" t="str">
        <f t="array" ref="BZ909">IF($A909&lt;&gt;"",INDEX(LISTA!$M$2:$N$27,MATCH($BC909,LISTA!$N$2:$N$27,0),1),"")</f>
        <v/>
      </c>
      <c r="CA909" s="67" t="str">
        <f t="shared" si="6"/>
        <v/>
      </c>
      <c r="CB909" s="114" t="str">
        <f t="shared" si="7"/>
        <v/>
      </c>
      <c r="CC909" s="114"/>
    </row>
    <row r="910" ht="22.5" customHeight="1">
      <c r="A910" s="59"/>
      <c r="B910" s="115"/>
      <c r="C910" s="54"/>
      <c r="D910" s="56"/>
      <c r="E910" s="69"/>
      <c r="F910" s="73"/>
      <c r="G910" s="79"/>
      <c r="H910" s="79"/>
      <c r="I910" s="67"/>
      <c r="J910" s="79"/>
      <c r="K910" s="67"/>
      <c r="L910" s="79"/>
      <c r="M910" s="83"/>
      <c r="N910" s="78"/>
      <c r="O910" s="80"/>
      <c r="P910" s="70"/>
      <c r="Q910" s="54"/>
      <c r="R910" s="67"/>
      <c r="S910" s="67"/>
      <c r="T910" s="54"/>
      <c r="U910" s="86"/>
      <c r="V910" s="54"/>
      <c r="W910" s="86"/>
      <c r="X910" s="54"/>
      <c r="Y910" s="78"/>
      <c r="Z910" s="54"/>
      <c r="AA910" s="70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54"/>
      <c r="AR910" s="83"/>
      <c r="AS910" s="83"/>
      <c r="AT910" s="93"/>
      <c r="AU910" s="93"/>
      <c r="AV910" s="93"/>
      <c r="AW910" s="83"/>
      <c r="AX910" s="83"/>
      <c r="AY910" s="83"/>
      <c r="AZ910" s="83"/>
      <c r="BA910" s="83"/>
      <c r="BB910" s="83"/>
      <c r="BC910" s="54"/>
      <c r="BD910" s="54" t="str">
        <f t="shared" si="1"/>
        <v/>
      </c>
      <c r="BE910" s="67"/>
      <c r="BF910" s="67"/>
      <c r="BG910" s="67"/>
      <c r="BH910" s="67"/>
      <c r="BI910" s="67"/>
      <c r="BJ910" s="67"/>
      <c r="BK910" s="67"/>
      <c r="BL910" s="67"/>
      <c r="BM910" s="67"/>
      <c r="BN910" s="100"/>
      <c r="BO910" s="102"/>
      <c r="BP910" s="67"/>
      <c r="BQ910" s="79"/>
      <c r="BR910" s="67"/>
      <c r="BS910" s="102"/>
      <c r="BT910" s="106"/>
      <c r="BU910" s="107"/>
      <c r="BV910" s="108" t="str">
        <f t="shared" si="17"/>
        <v/>
      </c>
      <c r="BW910" s="108" t="str">
        <f t="shared" si="16"/>
        <v/>
      </c>
      <c r="BX910" s="102" t="str">
        <f t="shared" si="15"/>
        <v/>
      </c>
      <c r="BY910" s="107" t="str">
        <f t="shared" si="5"/>
        <v/>
      </c>
      <c r="BZ910" s="107" t="str">
        <f t="array" ref="BZ910">IF($A910&lt;&gt;"",INDEX(LISTA!$M$2:$N$27,MATCH($BC910,LISTA!$N$2:$N$27,0),1),"")</f>
        <v/>
      </c>
      <c r="CA910" s="67" t="str">
        <f t="shared" si="6"/>
        <v/>
      </c>
      <c r="CB910" s="114" t="str">
        <f t="shared" si="7"/>
        <v/>
      </c>
      <c r="CC910" s="114"/>
    </row>
    <row r="911" ht="22.5" customHeight="1">
      <c r="A911" s="59"/>
      <c r="B911" s="115"/>
      <c r="C911" s="54"/>
      <c r="D911" s="56"/>
      <c r="E911" s="69"/>
      <c r="F911" s="73"/>
      <c r="G911" s="79"/>
      <c r="H911" s="79"/>
      <c r="I911" s="67"/>
      <c r="J911" s="79"/>
      <c r="K911" s="67"/>
      <c r="L911" s="79"/>
      <c r="M911" s="83"/>
      <c r="N911" s="78"/>
      <c r="O911" s="80"/>
      <c r="P911" s="70"/>
      <c r="Q911" s="54"/>
      <c r="R911" s="67"/>
      <c r="S911" s="67"/>
      <c r="T911" s="54"/>
      <c r="U911" s="86"/>
      <c r="V911" s="54"/>
      <c r="W911" s="86"/>
      <c r="X911" s="54"/>
      <c r="Y911" s="78"/>
      <c r="Z911" s="54"/>
      <c r="AA911" s="70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54"/>
      <c r="AR911" s="83"/>
      <c r="AS911" s="83"/>
      <c r="AT911" s="93"/>
      <c r="AU911" s="93"/>
      <c r="AV911" s="93"/>
      <c r="AW911" s="83"/>
      <c r="AX911" s="83"/>
      <c r="AY911" s="83"/>
      <c r="AZ911" s="83"/>
      <c r="BA911" s="83"/>
      <c r="BB911" s="83"/>
      <c r="BC911" s="54"/>
      <c r="BD911" s="54" t="str">
        <f t="shared" si="1"/>
        <v/>
      </c>
      <c r="BE911" s="67"/>
      <c r="BF911" s="67"/>
      <c r="BG911" s="67"/>
      <c r="BH911" s="67"/>
      <c r="BI911" s="67"/>
      <c r="BJ911" s="67"/>
      <c r="BK911" s="67"/>
      <c r="BL911" s="67"/>
      <c r="BM911" s="67"/>
      <c r="BN911" s="100"/>
      <c r="BO911" s="102"/>
      <c r="BP911" s="67"/>
      <c r="BQ911" s="79"/>
      <c r="BR911" s="67"/>
      <c r="BS911" s="102"/>
      <c r="BT911" s="106"/>
      <c r="BU911" s="107"/>
      <c r="BV911" s="108" t="str">
        <f t="shared" si="17"/>
        <v/>
      </c>
      <c r="BW911" s="108" t="str">
        <f t="shared" si="16"/>
        <v/>
      </c>
      <c r="BX911" s="102" t="str">
        <f t="shared" si="15"/>
        <v/>
      </c>
      <c r="BY911" s="107" t="str">
        <f t="shared" si="5"/>
        <v/>
      </c>
      <c r="BZ911" s="107" t="str">
        <f t="array" ref="BZ911">IF($A911&lt;&gt;"",INDEX(LISTA!$M$2:$N$27,MATCH($BC911,LISTA!$N$2:$N$27,0),1),"")</f>
        <v/>
      </c>
      <c r="CA911" s="67" t="str">
        <f t="shared" si="6"/>
        <v/>
      </c>
      <c r="CB911" s="114" t="str">
        <f t="shared" si="7"/>
        <v/>
      </c>
      <c r="CC911" s="114"/>
    </row>
    <row r="912" ht="22.5" customHeight="1">
      <c r="A912" s="59"/>
      <c r="B912" s="115"/>
      <c r="C912" s="54"/>
      <c r="D912" s="56"/>
      <c r="E912" s="69"/>
      <c r="F912" s="73"/>
      <c r="G912" s="79"/>
      <c r="H912" s="79"/>
      <c r="I912" s="67"/>
      <c r="J912" s="79"/>
      <c r="K912" s="67"/>
      <c r="L912" s="79"/>
      <c r="M912" s="83"/>
      <c r="N912" s="78"/>
      <c r="O912" s="80"/>
      <c r="P912" s="70"/>
      <c r="Q912" s="54"/>
      <c r="R912" s="67"/>
      <c r="S912" s="67"/>
      <c r="T912" s="54"/>
      <c r="U912" s="86"/>
      <c r="V912" s="54"/>
      <c r="W912" s="86"/>
      <c r="X912" s="54"/>
      <c r="Y912" s="78"/>
      <c r="Z912" s="54"/>
      <c r="AA912" s="70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54"/>
      <c r="AR912" s="83"/>
      <c r="AS912" s="83"/>
      <c r="AT912" s="93"/>
      <c r="AU912" s="93"/>
      <c r="AV912" s="93"/>
      <c r="AW912" s="83"/>
      <c r="AX912" s="83"/>
      <c r="AY912" s="83"/>
      <c r="AZ912" s="83"/>
      <c r="BA912" s="83"/>
      <c r="BB912" s="83"/>
      <c r="BC912" s="54"/>
      <c r="BD912" s="54" t="str">
        <f t="shared" si="1"/>
        <v/>
      </c>
      <c r="BE912" s="67"/>
      <c r="BF912" s="67"/>
      <c r="BG912" s="67"/>
      <c r="BH912" s="67"/>
      <c r="BI912" s="67"/>
      <c r="BJ912" s="67"/>
      <c r="BK912" s="67"/>
      <c r="BL912" s="67"/>
      <c r="BM912" s="67"/>
      <c r="BN912" s="100"/>
      <c r="BO912" s="102"/>
      <c r="BP912" s="67"/>
      <c r="BQ912" s="79"/>
      <c r="BR912" s="67"/>
      <c r="BS912" s="102"/>
      <c r="BT912" s="106"/>
      <c r="BU912" s="107"/>
      <c r="BV912" s="108" t="str">
        <f t="shared" si="17"/>
        <v/>
      </c>
      <c r="BW912" s="108" t="str">
        <f t="shared" si="16"/>
        <v/>
      </c>
      <c r="BX912" s="102" t="str">
        <f t="shared" si="15"/>
        <v/>
      </c>
      <c r="BY912" s="107" t="str">
        <f t="shared" si="5"/>
        <v/>
      </c>
      <c r="BZ912" s="107" t="str">
        <f t="array" ref="BZ912">IF($A912&lt;&gt;"",INDEX(LISTA!$M$2:$N$27,MATCH($BC912,LISTA!$N$2:$N$27,0),1),"")</f>
        <v/>
      </c>
      <c r="CA912" s="67" t="str">
        <f t="shared" si="6"/>
        <v/>
      </c>
      <c r="CB912" s="114" t="str">
        <f t="shared" si="7"/>
        <v/>
      </c>
      <c r="CC912" s="114"/>
    </row>
    <row r="913" ht="22.5" customHeight="1">
      <c r="A913" s="59"/>
      <c r="B913" s="115"/>
      <c r="C913" s="54"/>
      <c r="D913" s="56"/>
      <c r="E913" s="69"/>
      <c r="F913" s="73"/>
      <c r="G913" s="79"/>
      <c r="H913" s="79"/>
      <c r="I913" s="67"/>
      <c r="J913" s="79"/>
      <c r="K913" s="67"/>
      <c r="L913" s="79"/>
      <c r="M913" s="83"/>
      <c r="N913" s="78"/>
      <c r="O913" s="80"/>
      <c r="P913" s="70"/>
      <c r="Q913" s="54"/>
      <c r="R913" s="67"/>
      <c r="S913" s="67"/>
      <c r="T913" s="54"/>
      <c r="U913" s="86"/>
      <c r="V913" s="54"/>
      <c r="W913" s="86"/>
      <c r="X913" s="54"/>
      <c r="Y913" s="78"/>
      <c r="Z913" s="54"/>
      <c r="AA913" s="70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54"/>
      <c r="AR913" s="83"/>
      <c r="AS913" s="83"/>
      <c r="AT913" s="93"/>
      <c r="AU913" s="93"/>
      <c r="AV913" s="93"/>
      <c r="AW913" s="83"/>
      <c r="AX913" s="83"/>
      <c r="AY913" s="83"/>
      <c r="AZ913" s="83"/>
      <c r="BA913" s="83"/>
      <c r="BB913" s="83"/>
      <c r="BC913" s="54"/>
      <c r="BD913" s="54" t="str">
        <f t="shared" si="1"/>
        <v/>
      </c>
      <c r="BE913" s="67"/>
      <c r="BF913" s="67"/>
      <c r="BG913" s="67"/>
      <c r="BH913" s="67"/>
      <c r="BI913" s="67"/>
      <c r="BJ913" s="67"/>
      <c r="BK913" s="67"/>
      <c r="BL913" s="67"/>
      <c r="BM913" s="67"/>
      <c r="BN913" s="100"/>
      <c r="BO913" s="102"/>
      <c r="BP913" s="67"/>
      <c r="BQ913" s="79"/>
      <c r="BR913" s="67"/>
      <c r="BS913" s="102"/>
      <c r="BT913" s="106"/>
      <c r="BU913" s="107"/>
      <c r="BV913" s="108" t="str">
        <f t="shared" si="17"/>
        <v/>
      </c>
      <c r="BW913" s="108" t="str">
        <f t="shared" si="16"/>
        <v/>
      </c>
      <c r="BX913" s="102" t="str">
        <f t="shared" si="15"/>
        <v/>
      </c>
      <c r="BY913" s="107" t="str">
        <f t="shared" si="5"/>
        <v/>
      </c>
      <c r="BZ913" s="107" t="str">
        <f t="array" ref="BZ913">IF($A913&lt;&gt;"",INDEX(LISTA!$M$2:$N$27,MATCH($BC913,LISTA!$N$2:$N$27,0),1),"")</f>
        <v/>
      </c>
      <c r="CA913" s="67" t="str">
        <f t="shared" si="6"/>
        <v/>
      </c>
      <c r="CB913" s="114" t="str">
        <f t="shared" si="7"/>
        <v/>
      </c>
      <c r="CC913" s="114"/>
    </row>
    <row r="914" ht="22.5" customHeight="1">
      <c r="A914" s="59"/>
      <c r="B914" s="115"/>
      <c r="C914" s="54"/>
      <c r="D914" s="56"/>
      <c r="E914" s="69"/>
      <c r="F914" s="73"/>
      <c r="G914" s="79"/>
      <c r="H914" s="79"/>
      <c r="I914" s="67"/>
      <c r="J914" s="79"/>
      <c r="K914" s="67"/>
      <c r="L914" s="79"/>
      <c r="M914" s="83"/>
      <c r="N914" s="78"/>
      <c r="O914" s="80"/>
      <c r="P914" s="70"/>
      <c r="Q914" s="54"/>
      <c r="R914" s="67"/>
      <c r="S914" s="67"/>
      <c r="T914" s="54"/>
      <c r="U914" s="86"/>
      <c r="V914" s="54"/>
      <c r="W914" s="86"/>
      <c r="X914" s="54"/>
      <c r="Y914" s="78"/>
      <c r="Z914" s="54"/>
      <c r="AA914" s="70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54"/>
      <c r="AR914" s="83"/>
      <c r="AS914" s="83"/>
      <c r="AT914" s="93"/>
      <c r="AU914" s="93"/>
      <c r="AV914" s="93"/>
      <c r="AW914" s="83"/>
      <c r="AX914" s="83"/>
      <c r="AY914" s="83"/>
      <c r="AZ914" s="83"/>
      <c r="BA914" s="83"/>
      <c r="BB914" s="83"/>
      <c r="BC914" s="54"/>
      <c r="BD914" s="54" t="str">
        <f t="shared" si="1"/>
        <v/>
      </c>
      <c r="BE914" s="67"/>
      <c r="BF914" s="67"/>
      <c r="BG914" s="67"/>
      <c r="BH914" s="67"/>
      <c r="BI914" s="67"/>
      <c r="BJ914" s="67"/>
      <c r="BK914" s="67"/>
      <c r="BL914" s="67"/>
      <c r="BM914" s="67"/>
      <c r="BN914" s="100"/>
      <c r="BO914" s="102"/>
      <c r="BP914" s="67"/>
      <c r="BQ914" s="79"/>
      <c r="BR914" s="67"/>
      <c r="BS914" s="102"/>
      <c r="BT914" s="106"/>
      <c r="BU914" s="107"/>
      <c r="BV914" s="108" t="str">
        <f t="shared" si="17"/>
        <v/>
      </c>
      <c r="BW914" s="108" t="str">
        <f t="shared" si="16"/>
        <v/>
      </c>
      <c r="BX914" s="102" t="str">
        <f t="shared" si="15"/>
        <v/>
      </c>
      <c r="BY914" s="107" t="str">
        <f t="shared" si="5"/>
        <v/>
      </c>
      <c r="BZ914" s="107" t="str">
        <f t="array" ref="BZ914">IF($A914&lt;&gt;"",INDEX(LISTA!$M$2:$N$27,MATCH($BC914,LISTA!$N$2:$N$27,0),1),"")</f>
        <v/>
      </c>
      <c r="CA914" s="67" t="str">
        <f t="shared" si="6"/>
        <v/>
      </c>
      <c r="CB914" s="114" t="str">
        <f t="shared" si="7"/>
        <v/>
      </c>
      <c r="CC914" s="114"/>
    </row>
    <row r="915" ht="22.5" customHeight="1">
      <c r="A915" s="59"/>
      <c r="B915" s="115"/>
      <c r="C915" s="54"/>
      <c r="D915" s="56"/>
      <c r="E915" s="69"/>
      <c r="F915" s="73"/>
      <c r="G915" s="79"/>
      <c r="H915" s="79"/>
      <c r="I915" s="67"/>
      <c r="J915" s="79"/>
      <c r="K915" s="67"/>
      <c r="L915" s="79"/>
      <c r="M915" s="83"/>
      <c r="N915" s="78"/>
      <c r="O915" s="80"/>
      <c r="P915" s="70"/>
      <c r="Q915" s="54"/>
      <c r="R915" s="67"/>
      <c r="S915" s="67"/>
      <c r="T915" s="54"/>
      <c r="U915" s="86"/>
      <c r="V915" s="54"/>
      <c r="W915" s="86"/>
      <c r="X915" s="54"/>
      <c r="Y915" s="78"/>
      <c r="Z915" s="54"/>
      <c r="AA915" s="70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54"/>
      <c r="AR915" s="83"/>
      <c r="AS915" s="83"/>
      <c r="AT915" s="93"/>
      <c r="AU915" s="93"/>
      <c r="AV915" s="93"/>
      <c r="AW915" s="83"/>
      <c r="AX915" s="83"/>
      <c r="AY915" s="83"/>
      <c r="AZ915" s="83"/>
      <c r="BA915" s="83"/>
      <c r="BB915" s="83"/>
      <c r="BC915" s="54"/>
      <c r="BD915" s="54" t="str">
        <f t="shared" si="1"/>
        <v/>
      </c>
      <c r="BE915" s="67"/>
      <c r="BF915" s="67"/>
      <c r="BG915" s="67"/>
      <c r="BH915" s="67"/>
      <c r="BI915" s="67"/>
      <c r="BJ915" s="67"/>
      <c r="BK915" s="67"/>
      <c r="BL915" s="67"/>
      <c r="BM915" s="67"/>
      <c r="BN915" s="100"/>
      <c r="BO915" s="102"/>
      <c r="BP915" s="67"/>
      <c r="BQ915" s="79"/>
      <c r="BR915" s="67"/>
      <c r="BS915" s="102"/>
      <c r="BT915" s="106"/>
      <c r="BU915" s="107"/>
      <c r="BV915" s="108" t="str">
        <f t="shared" si="17"/>
        <v/>
      </c>
      <c r="BW915" s="108" t="str">
        <f t="shared" si="16"/>
        <v/>
      </c>
      <c r="BX915" s="102" t="str">
        <f t="shared" si="15"/>
        <v/>
      </c>
      <c r="BY915" s="107" t="str">
        <f t="shared" si="5"/>
        <v/>
      </c>
      <c r="BZ915" s="107" t="str">
        <f t="array" ref="BZ915">IF($A915&lt;&gt;"",INDEX(LISTA!$M$2:$N$27,MATCH($BC915,LISTA!$N$2:$N$27,0),1),"")</f>
        <v/>
      </c>
      <c r="CA915" s="67" t="str">
        <f t="shared" si="6"/>
        <v/>
      </c>
      <c r="CB915" s="114" t="str">
        <f t="shared" si="7"/>
        <v/>
      </c>
      <c r="CC915" s="114"/>
    </row>
    <row r="916" ht="22.5" customHeight="1">
      <c r="A916" s="59"/>
      <c r="B916" s="115"/>
      <c r="C916" s="54"/>
      <c r="D916" s="56"/>
      <c r="E916" s="69"/>
      <c r="F916" s="73"/>
      <c r="G916" s="79"/>
      <c r="H916" s="79"/>
      <c r="I916" s="67"/>
      <c r="J916" s="79"/>
      <c r="K916" s="67"/>
      <c r="L916" s="79"/>
      <c r="M916" s="83"/>
      <c r="N916" s="78"/>
      <c r="O916" s="80"/>
      <c r="P916" s="70"/>
      <c r="Q916" s="54"/>
      <c r="R916" s="67"/>
      <c r="S916" s="67"/>
      <c r="T916" s="54"/>
      <c r="U916" s="86"/>
      <c r="V916" s="54"/>
      <c r="W916" s="86"/>
      <c r="X916" s="54"/>
      <c r="Y916" s="78"/>
      <c r="Z916" s="54"/>
      <c r="AA916" s="70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54"/>
      <c r="AR916" s="83"/>
      <c r="AS916" s="83"/>
      <c r="AT916" s="93"/>
      <c r="AU916" s="93"/>
      <c r="AV916" s="93"/>
      <c r="AW916" s="83"/>
      <c r="AX916" s="83"/>
      <c r="AY916" s="83"/>
      <c r="AZ916" s="83"/>
      <c r="BA916" s="83"/>
      <c r="BB916" s="83"/>
      <c r="BC916" s="54"/>
      <c r="BD916" s="54" t="str">
        <f t="shared" si="1"/>
        <v/>
      </c>
      <c r="BE916" s="67"/>
      <c r="BF916" s="67"/>
      <c r="BG916" s="67"/>
      <c r="BH916" s="67"/>
      <c r="BI916" s="67"/>
      <c r="BJ916" s="67"/>
      <c r="BK916" s="67"/>
      <c r="BL916" s="67"/>
      <c r="BM916" s="67"/>
      <c r="BN916" s="100"/>
      <c r="BO916" s="102"/>
      <c r="BP916" s="67"/>
      <c r="BQ916" s="79"/>
      <c r="BR916" s="67"/>
      <c r="BS916" s="102"/>
      <c r="BT916" s="106"/>
      <c r="BU916" s="107"/>
      <c r="BV916" s="108" t="str">
        <f t="shared" si="17"/>
        <v/>
      </c>
      <c r="BW916" s="108" t="str">
        <f t="shared" si="16"/>
        <v/>
      </c>
      <c r="BX916" s="102" t="str">
        <f t="shared" si="15"/>
        <v/>
      </c>
      <c r="BY916" s="107" t="str">
        <f t="shared" si="5"/>
        <v/>
      </c>
      <c r="BZ916" s="107" t="str">
        <f t="array" ref="BZ916">IF($A916&lt;&gt;"",INDEX(LISTA!$M$2:$N$27,MATCH($BC916,LISTA!$N$2:$N$27,0),1),"")</f>
        <v/>
      </c>
      <c r="CA916" s="67" t="str">
        <f t="shared" si="6"/>
        <v/>
      </c>
      <c r="CB916" s="114" t="str">
        <f t="shared" si="7"/>
        <v/>
      </c>
      <c r="CC916" s="114"/>
    </row>
    <row r="917" ht="22.5" customHeight="1">
      <c r="A917" s="59"/>
      <c r="B917" s="115"/>
      <c r="C917" s="54"/>
      <c r="D917" s="56"/>
      <c r="E917" s="69"/>
      <c r="F917" s="73"/>
      <c r="G917" s="79"/>
      <c r="H917" s="79"/>
      <c r="I917" s="67"/>
      <c r="J917" s="79"/>
      <c r="K917" s="67"/>
      <c r="L917" s="79"/>
      <c r="M917" s="83"/>
      <c r="N917" s="78"/>
      <c r="O917" s="80"/>
      <c r="P917" s="70"/>
      <c r="Q917" s="54"/>
      <c r="R917" s="67"/>
      <c r="S917" s="67"/>
      <c r="T917" s="54"/>
      <c r="U917" s="86"/>
      <c r="V917" s="54"/>
      <c r="W917" s="86"/>
      <c r="X917" s="54"/>
      <c r="Y917" s="78"/>
      <c r="Z917" s="54"/>
      <c r="AA917" s="70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54"/>
      <c r="AR917" s="83"/>
      <c r="AS917" s="83"/>
      <c r="AT917" s="93"/>
      <c r="AU917" s="93"/>
      <c r="AV917" s="93"/>
      <c r="AW917" s="83"/>
      <c r="AX917" s="83"/>
      <c r="AY917" s="83"/>
      <c r="AZ917" s="83"/>
      <c r="BA917" s="83"/>
      <c r="BB917" s="83"/>
      <c r="BC917" s="54"/>
      <c r="BD917" s="54" t="str">
        <f t="shared" si="1"/>
        <v/>
      </c>
      <c r="BE917" s="67"/>
      <c r="BF917" s="67"/>
      <c r="BG917" s="67"/>
      <c r="BH917" s="67"/>
      <c r="BI917" s="67"/>
      <c r="BJ917" s="67"/>
      <c r="BK917" s="67"/>
      <c r="BL917" s="67"/>
      <c r="BM917" s="67"/>
      <c r="BN917" s="100"/>
      <c r="BO917" s="102"/>
      <c r="BP917" s="67"/>
      <c r="BQ917" s="79"/>
      <c r="BR917" s="67"/>
      <c r="BS917" s="102"/>
      <c r="BT917" s="106"/>
      <c r="BU917" s="107"/>
      <c r="BV917" s="108" t="str">
        <f t="shared" si="17"/>
        <v/>
      </c>
      <c r="BW917" s="108" t="str">
        <f t="shared" si="16"/>
        <v/>
      </c>
      <c r="BX917" s="102" t="str">
        <f t="shared" si="15"/>
        <v/>
      </c>
      <c r="BY917" s="107" t="str">
        <f t="shared" si="5"/>
        <v/>
      </c>
      <c r="BZ917" s="107" t="str">
        <f t="array" ref="BZ917">IF($A917&lt;&gt;"",INDEX(LISTA!$M$2:$N$27,MATCH($BC917,LISTA!$N$2:$N$27,0),1),"")</f>
        <v/>
      </c>
      <c r="CA917" s="67" t="str">
        <f t="shared" si="6"/>
        <v/>
      </c>
      <c r="CB917" s="114" t="str">
        <f t="shared" si="7"/>
        <v/>
      </c>
      <c r="CC917" s="114"/>
    </row>
    <row r="918" ht="22.5" customHeight="1">
      <c r="A918" s="59"/>
      <c r="B918" s="115"/>
      <c r="C918" s="54"/>
      <c r="D918" s="56"/>
      <c r="E918" s="69"/>
      <c r="F918" s="73"/>
      <c r="G918" s="79"/>
      <c r="H918" s="79"/>
      <c r="I918" s="67"/>
      <c r="J918" s="79"/>
      <c r="K918" s="67"/>
      <c r="L918" s="79"/>
      <c r="M918" s="83"/>
      <c r="N918" s="78"/>
      <c r="O918" s="80"/>
      <c r="P918" s="70"/>
      <c r="Q918" s="54"/>
      <c r="R918" s="67"/>
      <c r="S918" s="67"/>
      <c r="T918" s="54"/>
      <c r="U918" s="86"/>
      <c r="V918" s="54"/>
      <c r="W918" s="86"/>
      <c r="X918" s="54"/>
      <c r="Y918" s="78"/>
      <c r="Z918" s="54"/>
      <c r="AA918" s="70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54"/>
      <c r="AR918" s="83"/>
      <c r="AS918" s="83"/>
      <c r="AT918" s="93"/>
      <c r="AU918" s="93"/>
      <c r="AV918" s="93"/>
      <c r="AW918" s="83"/>
      <c r="AX918" s="83"/>
      <c r="AY918" s="83"/>
      <c r="AZ918" s="83"/>
      <c r="BA918" s="83"/>
      <c r="BB918" s="83"/>
      <c r="BC918" s="54"/>
      <c r="BD918" s="54" t="str">
        <f t="shared" si="1"/>
        <v/>
      </c>
      <c r="BE918" s="67"/>
      <c r="BF918" s="67"/>
      <c r="BG918" s="67"/>
      <c r="BH918" s="67"/>
      <c r="BI918" s="67"/>
      <c r="BJ918" s="67"/>
      <c r="BK918" s="67"/>
      <c r="BL918" s="67"/>
      <c r="BM918" s="67"/>
      <c r="BN918" s="100"/>
      <c r="BO918" s="102"/>
      <c r="BP918" s="67"/>
      <c r="BQ918" s="79"/>
      <c r="BR918" s="67"/>
      <c r="BS918" s="102"/>
      <c r="BT918" s="106"/>
      <c r="BU918" s="107"/>
      <c r="BV918" s="108" t="str">
        <f t="shared" si="17"/>
        <v/>
      </c>
      <c r="BW918" s="108" t="str">
        <f t="shared" si="16"/>
        <v/>
      </c>
      <c r="BX918" s="102" t="str">
        <f t="shared" si="15"/>
        <v/>
      </c>
      <c r="BY918" s="107" t="str">
        <f t="shared" si="5"/>
        <v/>
      </c>
      <c r="BZ918" s="107" t="str">
        <f t="array" ref="BZ918">IF($A918&lt;&gt;"",INDEX(LISTA!$M$2:$N$27,MATCH($BC918,LISTA!$N$2:$N$27,0),1),"")</f>
        <v/>
      </c>
      <c r="CA918" s="67" t="str">
        <f t="shared" si="6"/>
        <v/>
      </c>
      <c r="CB918" s="114" t="str">
        <f t="shared" si="7"/>
        <v/>
      </c>
      <c r="CC918" s="114"/>
    </row>
    <row r="919" ht="22.5" customHeight="1">
      <c r="A919" s="59"/>
      <c r="B919" s="115"/>
      <c r="C919" s="54"/>
      <c r="D919" s="56"/>
      <c r="E919" s="69"/>
      <c r="F919" s="73"/>
      <c r="G919" s="79"/>
      <c r="H919" s="79"/>
      <c r="I919" s="67"/>
      <c r="J919" s="79"/>
      <c r="K919" s="67"/>
      <c r="L919" s="79"/>
      <c r="M919" s="83"/>
      <c r="N919" s="78"/>
      <c r="O919" s="80"/>
      <c r="P919" s="70"/>
      <c r="Q919" s="54"/>
      <c r="R919" s="67"/>
      <c r="S919" s="67"/>
      <c r="T919" s="54"/>
      <c r="U919" s="86"/>
      <c r="V919" s="54"/>
      <c r="W919" s="86"/>
      <c r="X919" s="54"/>
      <c r="Y919" s="78"/>
      <c r="Z919" s="54"/>
      <c r="AA919" s="70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54"/>
      <c r="AR919" s="83"/>
      <c r="AS919" s="83"/>
      <c r="AT919" s="93"/>
      <c r="AU919" s="93"/>
      <c r="AV919" s="93"/>
      <c r="AW919" s="83"/>
      <c r="AX919" s="83"/>
      <c r="AY919" s="83"/>
      <c r="AZ919" s="83"/>
      <c r="BA919" s="83"/>
      <c r="BB919" s="83"/>
      <c r="BC919" s="54"/>
      <c r="BD919" s="54" t="str">
        <f t="shared" si="1"/>
        <v/>
      </c>
      <c r="BE919" s="67"/>
      <c r="BF919" s="67"/>
      <c r="BG919" s="67"/>
      <c r="BH919" s="67"/>
      <c r="BI919" s="67"/>
      <c r="BJ919" s="67"/>
      <c r="BK919" s="67"/>
      <c r="BL919" s="67"/>
      <c r="BM919" s="67"/>
      <c r="BN919" s="100"/>
      <c r="BO919" s="102"/>
      <c r="BP919" s="67"/>
      <c r="BQ919" s="79"/>
      <c r="BR919" s="67"/>
      <c r="BS919" s="102"/>
      <c r="BT919" s="106"/>
      <c r="BU919" s="107"/>
      <c r="BV919" s="108" t="str">
        <f t="shared" si="17"/>
        <v/>
      </c>
      <c r="BW919" s="108" t="str">
        <f t="shared" si="16"/>
        <v/>
      </c>
      <c r="BX919" s="102" t="str">
        <f t="shared" si="15"/>
        <v/>
      </c>
      <c r="BY919" s="107" t="str">
        <f t="shared" si="5"/>
        <v/>
      </c>
      <c r="BZ919" s="107" t="str">
        <f t="array" ref="BZ919">IF($A919&lt;&gt;"",INDEX(LISTA!$M$2:$N$27,MATCH($BC919,LISTA!$N$2:$N$27,0),1),"")</f>
        <v/>
      </c>
      <c r="CA919" s="67" t="str">
        <f t="shared" si="6"/>
        <v/>
      </c>
      <c r="CB919" s="114" t="str">
        <f t="shared" si="7"/>
        <v/>
      </c>
      <c r="CC919" s="114"/>
    </row>
    <row r="920" ht="22.5" customHeight="1">
      <c r="A920" s="59"/>
      <c r="B920" s="115"/>
      <c r="C920" s="54"/>
      <c r="D920" s="56"/>
      <c r="E920" s="69"/>
      <c r="F920" s="73"/>
      <c r="G920" s="79"/>
      <c r="H920" s="79"/>
      <c r="I920" s="67"/>
      <c r="J920" s="79"/>
      <c r="K920" s="67"/>
      <c r="L920" s="79"/>
      <c r="M920" s="83"/>
      <c r="N920" s="78"/>
      <c r="O920" s="80"/>
      <c r="P920" s="70"/>
      <c r="Q920" s="54"/>
      <c r="R920" s="67"/>
      <c r="S920" s="67"/>
      <c r="T920" s="54"/>
      <c r="U920" s="86"/>
      <c r="V920" s="54"/>
      <c r="W920" s="86"/>
      <c r="X920" s="54"/>
      <c r="Y920" s="78"/>
      <c r="Z920" s="54"/>
      <c r="AA920" s="70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54"/>
      <c r="AR920" s="83"/>
      <c r="AS920" s="83"/>
      <c r="AT920" s="93"/>
      <c r="AU920" s="93"/>
      <c r="AV920" s="93"/>
      <c r="AW920" s="83"/>
      <c r="AX920" s="83"/>
      <c r="AY920" s="83"/>
      <c r="AZ920" s="83"/>
      <c r="BA920" s="83"/>
      <c r="BB920" s="83"/>
      <c r="BC920" s="54"/>
      <c r="BD920" s="54" t="str">
        <f t="shared" si="1"/>
        <v/>
      </c>
      <c r="BE920" s="67"/>
      <c r="BF920" s="67"/>
      <c r="BG920" s="67"/>
      <c r="BH920" s="67"/>
      <c r="BI920" s="67"/>
      <c r="BJ920" s="67"/>
      <c r="BK920" s="67"/>
      <c r="BL920" s="67"/>
      <c r="BM920" s="67"/>
      <c r="BN920" s="100"/>
      <c r="BO920" s="102"/>
      <c r="BP920" s="67"/>
      <c r="BQ920" s="79"/>
      <c r="BR920" s="67"/>
      <c r="BS920" s="102"/>
      <c r="BT920" s="106"/>
      <c r="BU920" s="107"/>
      <c r="BV920" s="108" t="str">
        <f t="shared" si="17"/>
        <v/>
      </c>
      <c r="BW920" s="108" t="str">
        <f t="shared" si="16"/>
        <v/>
      </c>
      <c r="BX920" s="102" t="str">
        <f t="shared" si="15"/>
        <v/>
      </c>
      <c r="BY920" s="107" t="str">
        <f t="shared" si="5"/>
        <v/>
      </c>
      <c r="BZ920" s="107" t="str">
        <f t="array" ref="BZ920">IF($A920&lt;&gt;"",INDEX(LISTA!$M$2:$N$27,MATCH($BC920,LISTA!$N$2:$N$27,0),1),"")</f>
        <v/>
      </c>
      <c r="CA920" s="67" t="str">
        <f t="shared" si="6"/>
        <v/>
      </c>
      <c r="CB920" s="114" t="str">
        <f t="shared" si="7"/>
        <v/>
      </c>
      <c r="CC920" s="114"/>
    </row>
    <row r="921" ht="22.5" customHeight="1">
      <c r="A921" s="59"/>
      <c r="B921" s="115"/>
      <c r="C921" s="54"/>
      <c r="D921" s="56"/>
      <c r="E921" s="69"/>
      <c r="F921" s="73"/>
      <c r="G921" s="79"/>
      <c r="H921" s="79"/>
      <c r="I921" s="67"/>
      <c r="J921" s="79"/>
      <c r="K921" s="67"/>
      <c r="L921" s="79"/>
      <c r="M921" s="83"/>
      <c r="N921" s="78"/>
      <c r="O921" s="80"/>
      <c r="P921" s="70"/>
      <c r="Q921" s="54"/>
      <c r="R921" s="67"/>
      <c r="S921" s="67"/>
      <c r="T921" s="54"/>
      <c r="U921" s="86"/>
      <c r="V921" s="54"/>
      <c r="W921" s="86"/>
      <c r="X921" s="54"/>
      <c r="Y921" s="78"/>
      <c r="Z921" s="54"/>
      <c r="AA921" s="70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54"/>
      <c r="AR921" s="83"/>
      <c r="AS921" s="83"/>
      <c r="AT921" s="93"/>
      <c r="AU921" s="93"/>
      <c r="AV921" s="93"/>
      <c r="AW921" s="83"/>
      <c r="AX921" s="83"/>
      <c r="AY921" s="83"/>
      <c r="AZ921" s="83"/>
      <c r="BA921" s="83"/>
      <c r="BB921" s="83"/>
      <c r="BC921" s="54"/>
      <c r="BD921" s="54" t="str">
        <f t="shared" si="1"/>
        <v/>
      </c>
      <c r="BE921" s="67"/>
      <c r="BF921" s="67"/>
      <c r="BG921" s="67"/>
      <c r="BH921" s="67"/>
      <c r="BI921" s="67"/>
      <c r="BJ921" s="67"/>
      <c r="BK921" s="67"/>
      <c r="BL921" s="67"/>
      <c r="BM921" s="67"/>
      <c r="BN921" s="100"/>
      <c r="BO921" s="102"/>
      <c r="BP921" s="67"/>
      <c r="BQ921" s="79"/>
      <c r="BR921" s="67"/>
      <c r="BS921" s="102"/>
      <c r="BT921" s="106"/>
      <c r="BU921" s="107"/>
      <c r="BV921" s="108" t="str">
        <f t="shared" si="17"/>
        <v/>
      </c>
      <c r="BW921" s="108" t="str">
        <f t="shared" si="16"/>
        <v/>
      </c>
      <c r="BX921" s="102" t="str">
        <f t="shared" si="15"/>
        <v/>
      </c>
      <c r="BY921" s="107" t="str">
        <f t="shared" si="5"/>
        <v/>
      </c>
      <c r="BZ921" s="107" t="str">
        <f t="array" ref="BZ921">IF($A921&lt;&gt;"",INDEX(LISTA!$M$2:$N$27,MATCH($BC921,LISTA!$N$2:$N$27,0),1),"")</f>
        <v/>
      </c>
      <c r="CA921" s="67" t="str">
        <f t="shared" si="6"/>
        <v/>
      </c>
      <c r="CB921" s="114" t="str">
        <f t="shared" si="7"/>
        <v/>
      </c>
      <c r="CC921" s="114"/>
    </row>
    <row r="922" ht="22.5" customHeight="1">
      <c r="A922" s="59"/>
      <c r="B922" s="115"/>
      <c r="C922" s="54"/>
      <c r="D922" s="56"/>
      <c r="E922" s="69"/>
      <c r="F922" s="73"/>
      <c r="G922" s="79"/>
      <c r="H922" s="79"/>
      <c r="I922" s="67"/>
      <c r="J922" s="79"/>
      <c r="K922" s="67"/>
      <c r="L922" s="79"/>
      <c r="M922" s="83"/>
      <c r="N922" s="78"/>
      <c r="O922" s="80"/>
      <c r="P922" s="70"/>
      <c r="Q922" s="54"/>
      <c r="R922" s="67"/>
      <c r="S922" s="67"/>
      <c r="T922" s="54"/>
      <c r="U922" s="86"/>
      <c r="V922" s="54"/>
      <c r="W922" s="86"/>
      <c r="X922" s="54"/>
      <c r="Y922" s="78"/>
      <c r="Z922" s="54"/>
      <c r="AA922" s="70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54"/>
      <c r="AR922" s="83"/>
      <c r="AS922" s="83"/>
      <c r="AT922" s="93"/>
      <c r="AU922" s="93"/>
      <c r="AV922" s="93"/>
      <c r="AW922" s="83"/>
      <c r="AX922" s="83"/>
      <c r="AY922" s="83"/>
      <c r="AZ922" s="83"/>
      <c r="BA922" s="83"/>
      <c r="BB922" s="83"/>
      <c r="BC922" s="54"/>
      <c r="BD922" s="54" t="str">
        <f t="shared" si="1"/>
        <v/>
      </c>
      <c r="BE922" s="67"/>
      <c r="BF922" s="67"/>
      <c r="BG922" s="67"/>
      <c r="BH922" s="67"/>
      <c r="BI922" s="67"/>
      <c r="BJ922" s="67"/>
      <c r="BK922" s="67"/>
      <c r="BL922" s="67"/>
      <c r="BM922" s="67"/>
      <c r="BN922" s="100"/>
      <c r="BO922" s="102"/>
      <c r="BP922" s="67"/>
      <c r="BQ922" s="79"/>
      <c r="BR922" s="67"/>
      <c r="BS922" s="102"/>
      <c r="BT922" s="106"/>
      <c r="BU922" s="107"/>
      <c r="BV922" s="108" t="str">
        <f t="shared" si="17"/>
        <v/>
      </c>
      <c r="BW922" s="108" t="str">
        <f t="shared" si="16"/>
        <v/>
      </c>
      <c r="BX922" s="102" t="str">
        <f t="shared" si="15"/>
        <v/>
      </c>
      <c r="BY922" s="107" t="str">
        <f t="shared" si="5"/>
        <v/>
      </c>
      <c r="BZ922" s="107" t="str">
        <f t="array" ref="BZ922">IF($A922&lt;&gt;"",INDEX(LISTA!$M$2:$N$27,MATCH($BC922,LISTA!$N$2:$N$27,0),1),"")</f>
        <v/>
      </c>
      <c r="CA922" s="67" t="str">
        <f t="shared" si="6"/>
        <v/>
      </c>
      <c r="CB922" s="114" t="str">
        <f t="shared" si="7"/>
        <v/>
      </c>
      <c r="CC922" s="114"/>
    </row>
    <row r="923" ht="22.5" customHeight="1">
      <c r="A923" s="59"/>
      <c r="B923" s="115"/>
      <c r="C923" s="54"/>
      <c r="D923" s="56"/>
      <c r="E923" s="69"/>
      <c r="F923" s="73"/>
      <c r="G923" s="79"/>
      <c r="H923" s="79"/>
      <c r="I923" s="67"/>
      <c r="J923" s="79"/>
      <c r="K923" s="67"/>
      <c r="L923" s="79"/>
      <c r="M923" s="83"/>
      <c r="N923" s="78"/>
      <c r="O923" s="80"/>
      <c r="P923" s="70"/>
      <c r="Q923" s="54"/>
      <c r="R923" s="67"/>
      <c r="S923" s="67"/>
      <c r="T923" s="54"/>
      <c r="U923" s="86"/>
      <c r="V923" s="54"/>
      <c r="W923" s="86"/>
      <c r="X923" s="54"/>
      <c r="Y923" s="78"/>
      <c r="Z923" s="54"/>
      <c r="AA923" s="70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54"/>
      <c r="AR923" s="83"/>
      <c r="AS923" s="83"/>
      <c r="AT923" s="93"/>
      <c r="AU923" s="93"/>
      <c r="AV923" s="93"/>
      <c r="AW923" s="83"/>
      <c r="AX923" s="83"/>
      <c r="AY923" s="83"/>
      <c r="AZ923" s="83"/>
      <c r="BA923" s="83"/>
      <c r="BB923" s="83"/>
      <c r="BC923" s="54"/>
      <c r="BD923" s="54" t="str">
        <f t="shared" si="1"/>
        <v/>
      </c>
      <c r="BE923" s="67"/>
      <c r="BF923" s="67"/>
      <c r="BG923" s="67"/>
      <c r="BH923" s="67"/>
      <c r="BI923" s="67"/>
      <c r="BJ923" s="67"/>
      <c r="BK923" s="67"/>
      <c r="BL923" s="67"/>
      <c r="BM923" s="67"/>
      <c r="BN923" s="100"/>
      <c r="BO923" s="102"/>
      <c r="BP923" s="67"/>
      <c r="BQ923" s="79"/>
      <c r="BR923" s="67"/>
      <c r="BS923" s="102"/>
      <c r="BT923" s="106"/>
      <c r="BU923" s="107"/>
      <c r="BV923" s="108" t="str">
        <f t="shared" si="17"/>
        <v/>
      </c>
      <c r="BW923" s="108" t="str">
        <f t="shared" si="16"/>
        <v/>
      </c>
      <c r="BX923" s="102" t="str">
        <f t="shared" si="15"/>
        <v/>
      </c>
      <c r="BY923" s="107" t="str">
        <f t="shared" si="5"/>
        <v/>
      </c>
      <c r="BZ923" s="107" t="str">
        <f t="array" ref="BZ923">IF($A923&lt;&gt;"",INDEX(LISTA!$M$2:$N$27,MATCH($BC923,LISTA!$N$2:$N$27,0),1),"")</f>
        <v/>
      </c>
      <c r="CA923" s="67" t="str">
        <f t="shared" si="6"/>
        <v/>
      </c>
      <c r="CB923" s="114" t="str">
        <f t="shared" si="7"/>
        <v/>
      </c>
      <c r="CC923" s="114"/>
    </row>
    <row r="924" ht="22.5" customHeight="1">
      <c r="A924" s="59"/>
      <c r="B924" s="115"/>
      <c r="C924" s="54"/>
      <c r="D924" s="56"/>
      <c r="E924" s="69"/>
      <c r="F924" s="73"/>
      <c r="G924" s="79"/>
      <c r="H924" s="79"/>
      <c r="I924" s="67"/>
      <c r="J924" s="79"/>
      <c r="K924" s="67"/>
      <c r="L924" s="79"/>
      <c r="M924" s="83"/>
      <c r="N924" s="78"/>
      <c r="O924" s="80"/>
      <c r="P924" s="70"/>
      <c r="Q924" s="54"/>
      <c r="R924" s="67"/>
      <c r="S924" s="67"/>
      <c r="T924" s="54"/>
      <c r="U924" s="86"/>
      <c r="V924" s="54"/>
      <c r="W924" s="86"/>
      <c r="X924" s="54"/>
      <c r="Y924" s="78"/>
      <c r="Z924" s="54"/>
      <c r="AA924" s="70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54"/>
      <c r="AR924" s="83"/>
      <c r="AS924" s="83"/>
      <c r="AT924" s="93"/>
      <c r="AU924" s="93"/>
      <c r="AV924" s="93"/>
      <c r="AW924" s="83"/>
      <c r="AX924" s="83"/>
      <c r="AY924" s="83"/>
      <c r="AZ924" s="83"/>
      <c r="BA924" s="83"/>
      <c r="BB924" s="83"/>
      <c r="BC924" s="54"/>
      <c r="BD924" s="54" t="str">
        <f t="shared" si="1"/>
        <v/>
      </c>
      <c r="BE924" s="67"/>
      <c r="BF924" s="67"/>
      <c r="BG924" s="67"/>
      <c r="BH924" s="67"/>
      <c r="BI924" s="67"/>
      <c r="BJ924" s="67"/>
      <c r="BK924" s="67"/>
      <c r="BL924" s="67"/>
      <c r="BM924" s="67"/>
      <c r="BN924" s="100"/>
      <c r="BO924" s="102"/>
      <c r="BP924" s="67"/>
      <c r="BQ924" s="79"/>
      <c r="BR924" s="67"/>
      <c r="BS924" s="102"/>
      <c r="BT924" s="106"/>
      <c r="BU924" s="107"/>
      <c r="BV924" s="108" t="str">
        <f t="shared" si="17"/>
        <v/>
      </c>
      <c r="BW924" s="108" t="str">
        <f t="shared" si="16"/>
        <v/>
      </c>
      <c r="BX924" s="102" t="str">
        <f t="shared" si="15"/>
        <v/>
      </c>
      <c r="BY924" s="107" t="str">
        <f t="shared" si="5"/>
        <v/>
      </c>
      <c r="BZ924" s="107" t="str">
        <f t="array" ref="BZ924">IF($A924&lt;&gt;"",INDEX(LISTA!$M$2:$N$27,MATCH($BC924,LISTA!$N$2:$N$27,0),1),"")</f>
        <v/>
      </c>
      <c r="CA924" s="67" t="str">
        <f t="shared" si="6"/>
        <v/>
      </c>
      <c r="CB924" s="114" t="str">
        <f t="shared" si="7"/>
        <v/>
      </c>
      <c r="CC924" s="114"/>
    </row>
    <row r="925" ht="22.5" customHeight="1">
      <c r="A925" s="59"/>
      <c r="B925" s="115"/>
      <c r="C925" s="54"/>
      <c r="D925" s="56"/>
      <c r="E925" s="69"/>
      <c r="F925" s="73"/>
      <c r="G925" s="79"/>
      <c r="H925" s="79"/>
      <c r="I925" s="67"/>
      <c r="J925" s="79"/>
      <c r="K925" s="67"/>
      <c r="L925" s="79"/>
      <c r="M925" s="83"/>
      <c r="N925" s="78"/>
      <c r="O925" s="80"/>
      <c r="P925" s="70"/>
      <c r="Q925" s="54"/>
      <c r="R925" s="67"/>
      <c r="S925" s="67"/>
      <c r="T925" s="54"/>
      <c r="U925" s="86"/>
      <c r="V925" s="54"/>
      <c r="W925" s="86"/>
      <c r="X925" s="54"/>
      <c r="Y925" s="78"/>
      <c r="Z925" s="54"/>
      <c r="AA925" s="70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54"/>
      <c r="AR925" s="83"/>
      <c r="AS925" s="83"/>
      <c r="AT925" s="93"/>
      <c r="AU925" s="93"/>
      <c r="AV925" s="93"/>
      <c r="AW925" s="83"/>
      <c r="AX925" s="83"/>
      <c r="AY925" s="83"/>
      <c r="AZ925" s="83"/>
      <c r="BA925" s="83"/>
      <c r="BB925" s="83"/>
      <c r="BC925" s="54"/>
      <c r="BD925" s="54" t="str">
        <f t="shared" si="1"/>
        <v/>
      </c>
      <c r="BE925" s="67"/>
      <c r="BF925" s="67"/>
      <c r="BG925" s="67"/>
      <c r="BH925" s="67"/>
      <c r="BI925" s="67"/>
      <c r="BJ925" s="67"/>
      <c r="BK925" s="67"/>
      <c r="BL925" s="67"/>
      <c r="BM925" s="67"/>
      <c r="BN925" s="100"/>
      <c r="BO925" s="102"/>
      <c r="BP925" s="67"/>
      <c r="BQ925" s="79"/>
      <c r="BR925" s="67"/>
      <c r="BS925" s="102"/>
      <c r="BT925" s="106"/>
      <c r="BU925" s="107"/>
      <c r="BV925" s="108" t="str">
        <f t="shared" si="17"/>
        <v/>
      </c>
      <c r="BW925" s="108" t="str">
        <f t="shared" si="16"/>
        <v/>
      </c>
      <c r="BX925" s="102" t="str">
        <f t="shared" si="15"/>
        <v/>
      </c>
      <c r="BY925" s="107" t="str">
        <f t="shared" si="5"/>
        <v/>
      </c>
      <c r="BZ925" s="107" t="str">
        <f t="array" ref="BZ925">IF($A925&lt;&gt;"",INDEX(LISTA!$M$2:$N$27,MATCH($BC925,LISTA!$N$2:$N$27,0),1),"")</f>
        <v/>
      </c>
      <c r="CA925" s="67" t="str">
        <f t="shared" si="6"/>
        <v/>
      </c>
      <c r="CB925" s="114" t="str">
        <f t="shared" si="7"/>
        <v/>
      </c>
      <c r="CC925" s="114"/>
    </row>
    <row r="926" ht="22.5" customHeight="1">
      <c r="A926" s="59"/>
      <c r="B926" s="115"/>
      <c r="C926" s="54"/>
      <c r="D926" s="56"/>
      <c r="E926" s="69"/>
      <c r="F926" s="73"/>
      <c r="G926" s="79"/>
      <c r="H926" s="79"/>
      <c r="I926" s="67"/>
      <c r="J926" s="79"/>
      <c r="K926" s="67"/>
      <c r="L926" s="79"/>
      <c r="M926" s="83"/>
      <c r="N926" s="78"/>
      <c r="O926" s="80"/>
      <c r="P926" s="70"/>
      <c r="Q926" s="54"/>
      <c r="R926" s="67"/>
      <c r="S926" s="67"/>
      <c r="T926" s="54"/>
      <c r="U926" s="86"/>
      <c r="V926" s="54"/>
      <c r="W926" s="86"/>
      <c r="X926" s="54"/>
      <c r="Y926" s="78"/>
      <c r="Z926" s="54"/>
      <c r="AA926" s="70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54"/>
      <c r="AR926" s="83"/>
      <c r="AS926" s="83"/>
      <c r="AT926" s="93"/>
      <c r="AU926" s="93"/>
      <c r="AV926" s="93"/>
      <c r="AW926" s="83"/>
      <c r="AX926" s="83"/>
      <c r="AY926" s="83"/>
      <c r="AZ926" s="83"/>
      <c r="BA926" s="83"/>
      <c r="BB926" s="83"/>
      <c r="BC926" s="54"/>
      <c r="BD926" s="54" t="str">
        <f t="shared" si="1"/>
        <v/>
      </c>
      <c r="BE926" s="67"/>
      <c r="BF926" s="67"/>
      <c r="BG926" s="67"/>
      <c r="BH926" s="67"/>
      <c r="BI926" s="67"/>
      <c r="BJ926" s="67"/>
      <c r="BK926" s="67"/>
      <c r="BL926" s="67"/>
      <c r="BM926" s="67"/>
      <c r="BN926" s="100"/>
      <c r="BO926" s="102"/>
      <c r="BP926" s="67"/>
      <c r="BQ926" s="79"/>
      <c r="BR926" s="67"/>
      <c r="BS926" s="102"/>
      <c r="BT926" s="106"/>
      <c r="BU926" s="107"/>
      <c r="BV926" s="108" t="str">
        <f t="shared" si="17"/>
        <v/>
      </c>
      <c r="BW926" s="108" t="str">
        <f t="shared" si="16"/>
        <v/>
      </c>
      <c r="BX926" s="102" t="str">
        <f t="shared" si="15"/>
        <v/>
      </c>
      <c r="BY926" s="107" t="str">
        <f t="shared" si="5"/>
        <v/>
      </c>
      <c r="BZ926" s="107" t="str">
        <f t="array" ref="BZ926">IF($A926&lt;&gt;"",INDEX(LISTA!$M$2:$N$27,MATCH($BC926,LISTA!$N$2:$N$27,0),1),"")</f>
        <v/>
      </c>
      <c r="CA926" s="67" t="str">
        <f t="shared" si="6"/>
        <v/>
      </c>
      <c r="CB926" s="114" t="str">
        <f t="shared" si="7"/>
        <v/>
      </c>
      <c r="CC926" s="114"/>
    </row>
    <row r="927" ht="22.5" customHeight="1">
      <c r="A927" s="59"/>
      <c r="B927" s="115"/>
      <c r="C927" s="54"/>
      <c r="D927" s="56"/>
      <c r="E927" s="69"/>
      <c r="F927" s="73"/>
      <c r="G927" s="79"/>
      <c r="H927" s="79"/>
      <c r="I927" s="67"/>
      <c r="J927" s="79"/>
      <c r="K927" s="67"/>
      <c r="L927" s="79"/>
      <c r="M927" s="83"/>
      <c r="N927" s="78"/>
      <c r="O927" s="80"/>
      <c r="P927" s="70"/>
      <c r="Q927" s="54"/>
      <c r="R927" s="67"/>
      <c r="S927" s="67"/>
      <c r="T927" s="54"/>
      <c r="U927" s="86"/>
      <c r="V927" s="54"/>
      <c r="W927" s="86"/>
      <c r="X927" s="54"/>
      <c r="Y927" s="78"/>
      <c r="Z927" s="54"/>
      <c r="AA927" s="70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54"/>
      <c r="AR927" s="83"/>
      <c r="AS927" s="83"/>
      <c r="AT927" s="93"/>
      <c r="AU927" s="93"/>
      <c r="AV927" s="93"/>
      <c r="AW927" s="83"/>
      <c r="AX927" s="83"/>
      <c r="AY927" s="83"/>
      <c r="AZ927" s="83"/>
      <c r="BA927" s="83"/>
      <c r="BB927" s="83"/>
      <c r="BC927" s="54"/>
      <c r="BD927" s="54" t="str">
        <f t="shared" si="1"/>
        <v/>
      </c>
      <c r="BE927" s="67"/>
      <c r="BF927" s="67"/>
      <c r="BG927" s="67"/>
      <c r="BH927" s="67"/>
      <c r="BI927" s="67"/>
      <c r="BJ927" s="67"/>
      <c r="BK927" s="67"/>
      <c r="BL927" s="67"/>
      <c r="BM927" s="67"/>
      <c r="BN927" s="100"/>
      <c r="BO927" s="102"/>
      <c r="BP927" s="67"/>
      <c r="BQ927" s="79"/>
      <c r="BR927" s="67"/>
      <c r="BS927" s="102"/>
      <c r="BT927" s="106"/>
      <c r="BU927" s="107"/>
      <c r="BV927" s="108" t="str">
        <f t="shared" si="17"/>
        <v/>
      </c>
      <c r="BW927" s="108" t="str">
        <f t="shared" si="16"/>
        <v/>
      </c>
      <c r="BX927" s="102" t="str">
        <f t="shared" si="15"/>
        <v/>
      </c>
      <c r="BY927" s="107" t="str">
        <f t="shared" si="5"/>
        <v/>
      </c>
      <c r="BZ927" s="107" t="str">
        <f t="array" ref="BZ927">IF($A927&lt;&gt;"",INDEX(LISTA!$M$2:$N$27,MATCH($BC927,LISTA!$N$2:$N$27,0),1),"")</f>
        <v/>
      </c>
      <c r="CA927" s="67" t="str">
        <f t="shared" si="6"/>
        <v/>
      </c>
      <c r="CB927" s="114" t="str">
        <f t="shared" si="7"/>
        <v/>
      </c>
      <c r="CC927" s="114"/>
    </row>
    <row r="928" ht="22.5" customHeight="1">
      <c r="A928" s="59"/>
      <c r="B928" s="115"/>
      <c r="C928" s="54"/>
      <c r="D928" s="56"/>
      <c r="E928" s="69"/>
      <c r="F928" s="73"/>
      <c r="G928" s="79"/>
      <c r="H928" s="79"/>
      <c r="I928" s="67"/>
      <c r="J928" s="79"/>
      <c r="K928" s="67"/>
      <c r="L928" s="79"/>
      <c r="M928" s="83"/>
      <c r="N928" s="78"/>
      <c r="O928" s="80"/>
      <c r="P928" s="70"/>
      <c r="Q928" s="54"/>
      <c r="R928" s="67"/>
      <c r="S928" s="67"/>
      <c r="T928" s="54"/>
      <c r="U928" s="86"/>
      <c r="V928" s="54"/>
      <c r="W928" s="86"/>
      <c r="X928" s="54"/>
      <c r="Y928" s="78"/>
      <c r="Z928" s="54"/>
      <c r="AA928" s="70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54"/>
      <c r="AR928" s="83"/>
      <c r="AS928" s="83"/>
      <c r="AT928" s="93"/>
      <c r="AU928" s="93"/>
      <c r="AV928" s="93"/>
      <c r="AW928" s="83"/>
      <c r="AX928" s="83"/>
      <c r="AY928" s="83"/>
      <c r="AZ928" s="83"/>
      <c r="BA928" s="83"/>
      <c r="BB928" s="83"/>
      <c r="BC928" s="54"/>
      <c r="BD928" s="54" t="str">
        <f t="shared" si="1"/>
        <v/>
      </c>
      <c r="BE928" s="67"/>
      <c r="BF928" s="67"/>
      <c r="BG928" s="67"/>
      <c r="BH928" s="67"/>
      <c r="BI928" s="67"/>
      <c r="BJ928" s="67"/>
      <c r="BK928" s="67"/>
      <c r="BL928" s="67"/>
      <c r="BM928" s="67"/>
      <c r="BN928" s="100"/>
      <c r="BO928" s="102"/>
      <c r="BP928" s="67"/>
      <c r="BQ928" s="79"/>
      <c r="BR928" s="67"/>
      <c r="BS928" s="102"/>
      <c r="BT928" s="106"/>
      <c r="BU928" s="107"/>
      <c r="BV928" s="108" t="str">
        <f t="shared" si="17"/>
        <v/>
      </c>
      <c r="BW928" s="108" t="str">
        <f t="shared" si="16"/>
        <v/>
      </c>
      <c r="BX928" s="102" t="str">
        <f t="shared" si="15"/>
        <v/>
      </c>
      <c r="BY928" s="107" t="str">
        <f t="shared" si="5"/>
        <v/>
      </c>
      <c r="BZ928" s="107" t="str">
        <f t="array" ref="BZ928">IF($A928&lt;&gt;"",INDEX(LISTA!$M$2:$N$27,MATCH($BC928,LISTA!$N$2:$N$27,0),1),"")</f>
        <v/>
      </c>
      <c r="CA928" s="67" t="str">
        <f t="shared" si="6"/>
        <v/>
      </c>
      <c r="CB928" s="114" t="str">
        <f t="shared" si="7"/>
        <v/>
      </c>
      <c r="CC928" s="114"/>
    </row>
    <row r="929" ht="22.5" customHeight="1">
      <c r="A929" s="59"/>
      <c r="B929" s="115"/>
      <c r="C929" s="54"/>
      <c r="D929" s="56"/>
      <c r="E929" s="69"/>
      <c r="F929" s="73"/>
      <c r="G929" s="79"/>
      <c r="H929" s="79"/>
      <c r="I929" s="67"/>
      <c r="J929" s="79"/>
      <c r="K929" s="67"/>
      <c r="L929" s="79"/>
      <c r="M929" s="83"/>
      <c r="N929" s="78"/>
      <c r="O929" s="80"/>
      <c r="P929" s="70"/>
      <c r="Q929" s="54"/>
      <c r="R929" s="67"/>
      <c r="S929" s="67"/>
      <c r="T929" s="54"/>
      <c r="U929" s="86"/>
      <c r="V929" s="54"/>
      <c r="W929" s="86"/>
      <c r="X929" s="54"/>
      <c r="Y929" s="78"/>
      <c r="Z929" s="54"/>
      <c r="AA929" s="70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54"/>
      <c r="AR929" s="83"/>
      <c r="AS929" s="83"/>
      <c r="AT929" s="93"/>
      <c r="AU929" s="93"/>
      <c r="AV929" s="93"/>
      <c r="AW929" s="83"/>
      <c r="AX929" s="83"/>
      <c r="AY929" s="83"/>
      <c r="AZ929" s="83"/>
      <c r="BA929" s="83"/>
      <c r="BB929" s="83"/>
      <c r="BC929" s="54"/>
      <c r="BD929" s="54" t="str">
        <f t="shared" si="1"/>
        <v/>
      </c>
      <c r="BE929" s="67"/>
      <c r="BF929" s="67"/>
      <c r="BG929" s="67"/>
      <c r="BH929" s="67"/>
      <c r="BI929" s="67"/>
      <c r="BJ929" s="67"/>
      <c r="BK929" s="67"/>
      <c r="BL929" s="67"/>
      <c r="BM929" s="67"/>
      <c r="BN929" s="100"/>
      <c r="BO929" s="102"/>
      <c r="BP929" s="67"/>
      <c r="BQ929" s="79"/>
      <c r="BR929" s="67"/>
      <c r="BS929" s="102"/>
      <c r="BT929" s="106"/>
      <c r="BU929" s="107"/>
      <c r="BV929" s="108" t="str">
        <f t="shared" si="17"/>
        <v/>
      </c>
      <c r="BW929" s="108" t="str">
        <f t="shared" si="16"/>
        <v/>
      </c>
      <c r="BX929" s="102" t="str">
        <f t="shared" si="15"/>
        <v/>
      </c>
      <c r="BY929" s="107" t="str">
        <f t="shared" si="5"/>
        <v/>
      </c>
      <c r="BZ929" s="107" t="str">
        <f t="array" ref="BZ929">IF($A929&lt;&gt;"",INDEX(LISTA!$M$2:$N$27,MATCH($BC929,LISTA!$N$2:$N$27,0),1),"")</f>
        <v/>
      </c>
      <c r="CA929" s="67" t="str">
        <f t="shared" si="6"/>
        <v/>
      </c>
      <c r="CB929" s="114" t="str">
        <f t="shared" si="7"/>
        <v/>
      </c>
      <c r="CC929" s="114"/>
    </row>
    <row r="930" ht="22.5" customHeight="1">
      <c r="A930" s="59"/>
      <c r="B930" s="115"/>
      <c r="C930" s="54"/>
      <c r="D930" s="56"/>
      <c r="E930" s="69"/>
      <c r="F930" s="73"/>
      <c r="G930" s="79"/>
      <c r="H930" s="79"/>
      <c r="I930" s="67"/>
      <c r="J930" s="79"/>
      <c r="K930" s="67"/>
      <c r="L930" s="79"/>
      <c r="M930" s="83"/>
      <c r="N930" s="78"/>
      <c r="O930" s="80"/>
      <c r="P930" s="70"/>
      <c r="Q930" s="54"/>
      <c r="R930" s="67"/>
      <c r="S930" s="67"/>
      <c r="T930" s="54"/>
      <c r="U930" s="86"/>
      <c r="V930" s="54"/>
      <c r="W930" s="86"/>
      <c r="X930" s="54"/>
      <c r="Y930" s="78"/>
      <c r="Z930" s="54"/>
      <c r="AA930" s="70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54"/>
      <c r="AR930" s="83"/>
      <c r="AS930" s="83"/>
      <c r="AT930" s="93"/>
      <c r="AU930" s="93"/>
      <c r="AV930" s="93"/>
      <c r="AW930" s="83"/>
      <c r="AX930" s="83"/>
      <c r="AY930" s="83"/>
      <c r="AZ930" s="83"/>
      <c r="BA930" s="83"/>
      <c r="BB930" s="83"/>
      <c r="BC930" s="54"/>
      <c r="BD930" s="54" t="str">
        <f t="shared" si="1"/>
        <v/>
      </c>
      <c r="BE930" s="67"/>
      <c r="BF930" s="67"/>
      <c r="BG930" s="67"/>
      <c r="BH930" s="67"/>
      <c r="BI930" s="67"/>
      <c r="BJ930" s="67"/>
      <c r="BK930" s="67"/>
      <c r="BL930" s="67"/>
      <c r="BM930" s="67"/>
      <c r="BN930" s="100"/>
      <c r="BO930" s="102"/>
      <c r="BP930" s="67"/>
      <c r="BQ930" s="79"/>
      <c r="BR930" s="67"/>
      <c r="BS930" s="102"/>
      <c r="BT930" s="106"/>
      <c r="BU930" s="107"/>
      <c r="BV930" s="108" t="str">
        <f t="shared" si="17"/>
        <v/>
      </c>
      <c r="BW930" s="108" t="str">
        <f t="shared" si="16"/>
        <v/>
      </c>
      <c r="BX930" s="102" t="str">
        <f t="shared" si="15"/>
        <v/>
      </c>
      <c r="BY930" s="107" t="str">
        <f t="shared" si="5"/>
        <v/>
      </c>
      <c r="BZ930" s="107" t="str">
        <f t="array" ref="BZ930">IF($A930&lt;&gt;"",INDEX(LISTA!$M$2:$N$27,MATCH($BC930,LISTA!$N$2:$N$27,0),1),"")</f>
        <v/>
      </c>
      <c r="CA930" s="67" t="str">
        <f t="shared" si="6"/>
        <v/>
      </c>
      <c r="CB930" s="114" t="str">
        <f t="shared" si="7"/>
        <v/>
      </c>
      <c r="CC930" s="114"/>
    </row>
    <row r="931" ht="22.5" customHeight="1">
      <c r="A931" s="59"/>
      <c r="B931" s="115"/>
      <c r="C931" s="54"/>
      <c r="D931" s="56"/>
      <c r="E931" s="69"/>
      <c r="F931" s="73"/>
      <c r="G931" s="79"/>
      <c r="H931" s="79"/>
      <c r="I931" s="67"/>
      <c r="J931" s="79"/>
      <c r="K931" s="67"/>
      <c r="L931" s="79"/>
      <c r="M931" s="83"/>
      <c r="N931" s="78"/>
      <c r="O931" s="80"/>
      <c r="P931" s="70"/>
      <c r="Q931" s="54"/>
      <c r="R931" s="67"/>
      <c r="S931" s="67"/>
      <c r="T931" s="54"/>
      <c r="U931" s="86"/>
      <c r="V931" s="54"/>
      <c r="W931" s="86"/>
      <c r="X931" s="54"/>
      <c r="Y931" s="78"/>
      <c r="Z931" s="54"/>
      <c r="AA931" s="70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54"/>
      <c r="AR931" s="83"/>
      <c r="AS931" s="83"/>
      <c r="AT931" s="93"/>
      <c r="AU931" s="93"/>
      <c r="AV931" s="93"/>
      <c r="AW931" s="83"/>
      <c r="AX931" s="83"/>
      <c r="AY931" s="83"/>
      <c r="AZ931" s="83"/>
      <c r="BA931" s="83"/>
      <c r="BB931" s="83"/>
      <c r="BC931" s="54"/>
      <c r="BD931" s="54" t="str">
        <f t="shared" si="1"/>
        <v/>
      </c>
      <c r="BE931" s="67"/>
      <c r="BF931" s="67"/>
      <c r="BG931" s="67"/>
      <c r="BH931" s="67"/>
      <c r="BI931" s="67"/>
      <c r="BJ931" s="67"/>
      <c r="BK931" s="67"/>
      <c r="BL931" s="67"/>
      <c r="BM931" s="67"/>
      <c r="BN931" s="100"/>
      <c r="BO931" s="102"/>
      <c r="BP931" s="67"/>
      <c r="BQ931" s="79"/>
      <c r="BR931" s="67"/>
      <c r="BS931" s="102"/>
      <c r="BT931" s="106"/>
      <c r="BU931" s="107"/>
      <c r="BV931" s="108" t="str">
        <f t="shared" si="17"/>
        <v/>
      </c>
      <c r="BW931" s="108" t="str">
        <f t="shared" si="16"/>
        <v/>
      </c>
      <c r="BX931" s="102" t="str">
        <f t="shared" si="15"/>
        <v/>
      </c>
      <c r="BY931" s="107" t="str">
        <f t="shared" si="5"/>
        <v/>
      </c>
      <c r="BZ931" s="107" t="str">
        <f t="array" ref="BZ931">IF($A931&lt;&gt;"",INDEX(LISTA!$M$2:$N$27,MATCH($BC931,LISTA!$N$2:$N$27,0),1),"")</f>
        <v/>
      </c>
      <c r="CA931" s="67" t="str">
        <f t="shared" si="6"/>
        <v/>
      </c>
      <c r="CB931" s="114" t="str">
        <f t="shared" si="7"/>
        <v/>
      </c>
      <c r="CC931" s="114"/>
    </row>
    <row r="932" ht="22.5" customHeight="1">
      <c r="A932" s="59"/>
      <c r="B932" s="115"/>
      <c r="C932" s="54"/>
      <c r="D932" s="56"/>
      <c r="E932" s="69"/>
      <c r="F932" s="73"/>
      <c r="G932" s="79"/>
      <c r="H932" s="79"/>
      <c r="I932" s="67"/>
      <c r="J932" s="79"/>
      <c r="K932" s="67"/>
      <c r="L932" s="79"/>
      <c r="M932" s="83"/>
      <c r="N932" s="78"/>
      <c r="O932" s="80"/>
      <c r="P932" s="70"/>
      <c r="Q932" s="54"/>
      <c r="R932" s="67"/>
      <c r="S932" s="67"/>
      <c r="T932" s="54"/>
      <c r="U932" s="86"/>
      <c r="V932" s="54"/>
      <c r="W932" s="86"/>
      <c r="X932" s="54"/>
      <c r="Y932" s="78"/>
      <c r="Z932" s="54"/>
      <c r="AA932" s="70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54"/>
      <c r="AR932" s="83"/>
      <c r="AS932" s="83"/>
      <c r="AT932" s="93"/>
      <c r="AU932" s="93"/>
      <c r="AV932" s="93"/>
      <c r="AW932" s="83"/>
      <c r="AX932" s="83"/>
      <c r="AY932" s="83"/>
      <c r="AZ932" s="83"/>
      <c r="BA932" s="83"/>
      <c r="BB932" s="83"/>
      <c r="BC932" s="54"/>
      <c r="BD932" s="54" t="str">
        <f t="shared" si="1"/>
        <v/>
      </c>
      <c r="BE932" s="67"/>
      <c r="BF932" s="67"/>
      <c r="BG932" s="67"/>
      <c r="BH932" s="67"/>
      <c r="BI932" s="67"/>
      <c r="BJ932" s="67"/>
      <c r="BK932" s="67"/>
      <c r="BL932" s="67"/>
      <c r="BM932" s="67"/>
      <c r="BN932" s="100"/>
      <c r="BO932" s="102"/>
      <c r="BP932" s="67"/>
      <c r="BQ932" s="79"/>
      <c r="BR932" s="67"/>
      <c r="BS932" s="102"/>
      <c r="BT932" s="106"/>
      <c r="BU932" s="107"/>
      <c r="BV932" s="108" t="str">
        <f t="shared" si="17"/>
        <v/>
      </c>
      <c r="BW932" s="108" t="str">
        <f t="shared" si="16"/>
        <v/>
      </c>
      <c r="BX932" s="102" t="str">
        <f t="shared" si="15"/>
        <v/>
      </c>
      <c r="BY932" s="107" t="str">
        <f t="shared" si="5"/>
        <v/>
      </c>
      <c r="BZ932" s="107" t="str">
        <f t="array" ref="BZ932">IF($A932&lt;&gt;"",INDEX(LISTA!$M$2:$N$27,MATCH($BC932,LISTA!$N$2:$N$27,0),1),"")</f>
        <v/>
      </c>
      <c r="CA932" s="67" t="str">
        <f t="shared" si="6"/>
        <v/>
      </c>
      <c r="CB932" s="114" t="str">
        <f t="shared" si="7"/>
        <v/>
      </c>
      <c r="CC932" s="114"/>
    </row>
    <row r="933" ht="22.5" customHeight="1">
      <c r="A933" s="59"/>
      <c r="B933" s="115"/>
      <c r="C933" s="54"/>
      <c r="D933" s="56"/>
      <c r="E933" s="69"/>
      <c r="F933" s="73"/>
      <c r="G933" s="79"/>
      <c r="H933" s="79"/>
      <c r="I933" s="67"/>
      <c r="J933" s="79"/>
      <c r="K933" s="67"/>
      <c r="L933" s="79"/>
      <c r="M933" s="83"/>
      <c r="N933" s="78"/>
      <c r="O933" s="80"/>
      <c r="P933" s="70"/>
      <c r="Q933" s="54"/>
      <c r="R933" s="67"/>
      <c r="S933" s="67"/>
      <c r="T933" s="54"/>
      <c r="U933" s="86"/>
      <c r="V933" s="54"/>
      <c r="W933" s="86"/>
      <c r="X933" s="54"/>
      <c r="Y933" s="78"/>
      <c r="Z933" s="54"/>
      <c r="AA933" s="70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54"/>
      <c r="AR933" s="83"/>
      <c r="AS933" s="83"/>
      <c r="AT933" s="93"/>
      <c r="AU933" s="93"/>
      <c r="AV933" s="93"/>
      <c r="AW933" s="83"/>
      <c r="AX933" s="83"/>
      <c r="AY933" s="83"/>
      <c r="AZ933" s="83"/>
      <c r="BA933" s="83"/>
      <c r="BB933" s="83"/>
      <c r="BC933" s="54"/>
      <c r="BD933" s="54" t="str">
        <f t="shared" si="1"/>
        <v/>
      </c>
      <c r="BE933" s="67"/>
      <c r="BF933" s="67"/>
      <c r="BG933" s="67"/>
      <c r="BH933" s="67"/>
      <c r="BI933" s="67"/>
      <c r="BJ933" s="67"/>
      <c r="BK933" s="67"/>
      <c r="BL933" s="67"/>
      <c r="BM933" s="67"/>
      <c r="BN933" s="100"/>
      <c r="BO933" s="102"/>
      <c r="BP933" s="67"/>
      <c r="BQ933" s="79"/>
      <c r="BR933" s="67"/>
      <c r="BS933" s="102"/>
      <c r="BT933" s="106"/>
      <c r="BU933" s="107"/>
      <c r="BV933" s="108" t="str">
        <f t="shared" si="17"/>
        <v/>
      </c>
      <c r="BW933" s="108" t="str">
        <f t="shared" si="16"/>
        <v/>
      </c>
      <c r="BX933" s="102" t="str">
        <f t="shared" si="15"/>
        <v/>
      </c>
      <c r="BY933" s="107" t="str">
        <f t="shared" si="5"/>
        <v/>
      </c>
      <c r="BZ933" s="107" t="str">
        <f t="array" ref="BZ933">IF($A933&lt;&gt;"",INDEX(LISTA!$M$2:$N$27,MATCH($BC933,LISTA!$N$2:$N$27,0),1),"")</f>
        <v/>
      </c>
      <c r="CA933" s="67" t="str">
        <f t="shared" si="6"/>
        <v/>
      </c>
      <c r="CB933" s="114" t="str">
        <f t="shared" si="7"/>
        <v/>
      </c>
      <c r="CC933" s="114"/>
    </row>
    <row r="934" ht="22.5" customHeight="1">
      <c r="A934" s="59"/>
      <c r="B934" s="115"/>
      <c r="C934" s="54"/>
      <c r="D934" s="56"/>
      <c r="E934" s="69"/>
      <c r="F934" s="73"/>
      <c r="G934" s="79"/>
      <c r="H934" s="79"/>
      <c r="I934" s="67"/>
      <c r="J934" s="79"/>
      <c r="K934" s="67"/>
      <c r="L934" s="79"/>
      <c r="M934" s="83"/>
      <c r="N934" s="78"/>
      <c r="O934" s="80"/>
      <c r="P934" s="70"/>
      <c r="Q934" s="54"/>
      <c r="R934" s="67"/>
      <c r="S934" s="67"/>
      <c r="T934" s="54"/>
      <c r="U934" s="86"/>
      <c r="V934" s="54"/>
      <c r="W934" s="86"/>
      <c r="X934" s="54"/>
      <c r="Y934" s="78"/>
      <c r="Z934" s="54"/>
      <c r="AA934" s="70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54"/>
      <c r="AR934" s="83"/>
      <c r="AS934" s="83"/>
      <c r="AT934" s="93"/>
      <c r="AU934" s="93"/>
      <c r="AV934" s="93"/>
      <c r="AW934" s="83"/>
      <c r="AX934" s="83"/>
      <c r="AY934" s="83"/>
      <c r="AZ934" s="83"/>
      <c r="BA934" s="83"/>
      <c r="BB934" s="83"/>
      <c r="BC934" s="54"/>
      <c r="BD934" s="54" t="str">
        <f t="shared" si="1"/>
        <v/>
      </c>
      <c r="BE934" s="67"/>
      <c r="BF934" s="67"/>
      <c r="BG934" s="67"/>
      <c r="BH934" s="67"/>
      <c r="BI934" s="67"/>
      <c r="BJ934" s="67"/>
      <c r="BK934" s="67"/>
      <c r="BL934" s="67"/>
      <c r="BM934" s="67"/>
      <c r="BN934" s="100"/>
      <c r="BO934" s="102"/>
      <c r="BP934" s="67"/>
      <c r="BQ934" s="79"/>
      <c r="BR934" s="67"/>
      <c r="BS934" s="102"/>
      <c r="BT934" s="106"/>
      <c r="BU934" s="107"/>
      <c r="BV934" s="108" t="str">
        <f t="shared" si="17"/>
        <v/>
      </c>
      <c r="BW934" s="108" t="str">
        <f t="shared" si="16"/>
        <v/>
      </c>
      <c r="BX934" s="102" t="str">
        <f t="shared" si="15"/>
        <v/>
      </c>
      <c r="BY934" s="107" t="str">
        <f t="shared" si="5"/>
        <v/>
      </c>
      <c r="BZ934" s="107" t="str">
        <f t="array" ref="BZ934">IF($A934&lt;&gt;"",INDEX(LISTA!$M$2:$N$27,MATCH($BC934,LISTA!$N$2:$N$27,0),1),"")</f>
        <v/>
      </c>
      <c r="CA934" s="67" t="str">
        <f t="shared" si="6"/>
        <v/>
      </c>
      <c r="CB934" s="114" t="str">
        <f t="shared" si="7"/>
        <v/>
      </c>
      <c r="CC934" s="114"/>
    </row>
    <row r="935" ht="22.5" customHeight="1">
      <c r="A935" s="59"/>
      <c r="B935" s="115"/>
      <c r="C935" s="54"/>
      <c r="D935" s="56"/>
      <c r="E935" s="69"/>
      <c r="F935" s="73"/>
      <c r="G935" s="79"/>
      <c r="H935" s="79"/>
      <c r="I935" s="67"/>
      <c r="J935" s="79"/>
      <c r="K935" s="67"/>
      <c r="L935" s="79"/>
      <c r="M935" s="83"/>
      <c r="N935" s="78"/>
      <c r="O935" s="80"/>
      <c r="P935" s="70"/>
      <c r="Q935" s="54"/>
      <c r="R935" s="67"/>
      <c r="S935" s="67"/>
      <c r="T935" s="54"/>
      <c r="U935" s="86"/>
      <c r="V935" s="54"/>
      <c r="W935" s="86"/>
      <c r="X935" s="54"/>
      <c r="Y935" s="78"/>
      <c r="Z935" s="54"/>
      <c r="AA935" s="70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54"/>
      <c r="AR935" s="83"/>
      <c r="AS935" s="83"/>
      <c r="AT935" s="93"/>
      <c r="AU935" s="93"/>
      <c r="AV935" s="93"/>
      <c r="AW935" s="83"/>
      <c r="AX935" s="83"/>
      <c r="AY935" s="83"/>
      <c r="AZ935" s="83"/>
      <c r="BA935" s="83"/>
      <c r="BB935" s="83"/>
      <c r="BC935" s="54"/>
      <c r="BD935" s="54" t="str">
        <f t="shared" si="1"/>
        <v/>
      </c>
      <c r="BE935" s="67"/>
      <c r="BF935" s="67"/>
      <c r="BG935" s="67"/>
      <c r="BH935" s="67"/>
      <c r="BI935" s="67"/>
      <c r="BJ935" s="67"/>
      <c r="BK935" s="67"/>
      <c r="BL935" s="67"/>
      <c r="BM935" s="67"/>
      <c r="BN935" s="100"/>
      <c r="BO935" s="102"/>
      <c r="BP935" s="67"/>
      <c r="BQ935" s="79"/>
      <c r="BR935" s="67"/>
      <c r="BS935" s="102"/>
      <c r="BT935" s="106"/>
      <c r="BU935" s="107"/>
      <c r="BV935" s="108" t="str">
        <f t="shared" si="17"/>
        <v/>
      </c>
      <c r="BW935" s="108" t="str">
        <f t="shared" si="16"/>
        <v/>
      </c>
      <c r="BX935" s="102" t="str">
        <f t="shared" si="15"/>
        <v/>
      </c>
      <c r="BY935" s="107" t="str">
        <f t="shared" si="5"/>
        <v/>
      </c>
      <c r="BZ935" s="107" t="str">
        <f t="array" ref="BZ935">IF($A935&lt;&gt;"",INDEX(LISTA!$M$2:$N$27,MATCH($BC935,LISTA!$N$2:$N$27,0),1),"")</f>
        <v/>
      </c>
      <c r="CA935" s="67" t="str">
        <f t="shared" si="6"/>
        <v/>
      </c>
      <c r="CB935" s="114" t="str">
        <f t="shared" si="7"/>
        <v/>
      </c>
      <c r="CC935" s="114"/>
    </row>
    <row r="936" ht="22.5" customHeight="1">
      <c r="A936" s="59"/>
      <c r="B936" s="115"/>
      <c r="C936" s="54"/>
      <c r="D936" s="56"/>
      <c r="E936" s="69"/>
      <c r="F936" s="73"/>
      <c r="G936" s="79"/>
      <c r="H936" s="79"/>
      <c r="I936" s="67"/>
      <c r="J936" s="79"/>
      <c r="K936" s="67"/>
      <c r="L936" s="79"/>
      <c r="M936" s="83"/>
      <c r="N936" s="78"/>
      <c r="O936" s="80"/>
      <c r="P936" s="70"/>
      <c r="Q936" s="54"/>
      <c r="R936" s="67"/>
      <c r="S936" s="67"/>
      <c r="T936" s="54"/>
      <c r="U936" s="86"/>
      <c r="V936" s="54"/>
      <c r="W936" s="86"/>
      <c r="X936" s="54"/>
      <c r="Y936" s="78"/>
      <c r="Z936" s="54"/>
      <c r="AA936" s="70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54"/>
      <c r="AR936" s="83"/>
      <c r="AS936" s="83"/>
      <c r="AT936" s="93"/>
      <c r="AU936" s="93"/>
      <c r="AV936" s="93"/>
      <c r="AW936" s="83"/>
      <c r="AX936" s="83"/>
      <c r="AY936" s="83"/>
      <c r="AZ936" s="83"/>
      <c r="BA936" s="83"/>
      <c r="BB936" s="83"/>
      <c r="BC936" s="54"/>
      <c r="BD936" s="54" t="str">
        <f t="shared" si="1"/>
        <v/>
      </c>
      <c r="BE936" s="67"/>
      <c r="BF936" s="67"/>
      <c r="BG936" s="67"/>
      <c r="BH936" s="67"/>
      <c r="BI936" s="67"/>
      <c r="BJ936" s="67"/>
      <c r="BK936" s="67"/>
      <c r="BL936" s="67"/>
      <c r="BM936" s="67"/>
      <c r="BN936" s="100"/>
      <c r="BO936" s="102"/>
      <c r="BP936" s="67"/>
      <c r="BQ936" s="79"/>
      <c r="BR936" s="67"/>
      <c r="BS936" s="102"/>
      <c r="BT936" s="106"/>
      <c r="BU936" s="107"/>
      <c r="BV936" s="108" t="str">
        <f t="shared" si="17"/>
        <v/>
      </c>
      <c r="BW936" s="108" t="str">
        <f t="shared" si="16"/>
        <v/>
      </c>
      <c r="BX936" s="102" t="str">
        <f t="shared" si="15"/>
        <v/>
      </c>
      <c r="BY936" s="107" t="str">
        <f t="shared" si="5"/>
        <v/>
      </c>
      <c r="BZ936" s="107" t="str">
        <f t="array" ref="BZ936">IF($A936&lt;&gt;"",INDEX(LISTA!$M$2:$N$27,MATCH($BC936,LISTA!$N$2:$N$27,0),1),"")</f>
        <v/>
      </c>
      <c r="CA936" s="67" t="str">
        <f t="shared" si="6"/>
        <v/>
      </c>
      <c r="CB936" s="114" t="str">
        <f t="shared" si="7"/>
        <v/>
      </c>
      <c r="CC936" s="114"/>
    </row>
    <row r="937" ht="22.5" customHeight="1">
      <c r="A937" s="59"/>
      <c r="B937" s="115"/>
      <c r="C937" s="54"/>
      <c r="D937" s="56"/>
      <c r="E937" s="69"/>
      <c r="F937" s="73"/>
      <c r="G937" s="79"/>
      <c r="H937" s="79"/>
      <c r="I937" s="67"/>
      <c r="J937" s="79"/>
      <c r="K937" s="67"/>
      <c r="L937" s="79"/>
      <c r="M937" s="83"/>
      <c r="N937" s="78"/>
      <c r="O937" s="80"/>
      <c r="P937" s="70"/>
      <c r="Q937" s="54"/>
      <c r="R937" s="67"/>
      <c r="S937" s="67"/>
      <c r="T937" s="54"/>
      <c r="U937" s="86"/>
      <c r="V937" s="54"/>
      <c r="W937" s="86"/>
      <c r="X937" s="54"/>
      <c r="Y937" s="78"/>
      <c r="Z937" s="54"/>
      <c r="AA937" s="70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54"/>
      <c r="AR937" s="83"/>
      <c r="AS937" s="83"/>
      <c r="AT937" s="93"/>
      <c r="AU937" s="93"/>
      <c r="AV937" s="93"/>
      <c r="AW937" s="83"/>
      <c r="AX937" s="83"/>
      <c r="AY937" s="83"/>
      <c r="AZ937" s="83"/>
      <c r="BA937" s="83"/>
      <c r="BB937" s="83"/>
      <c r="BC937" s="54"/>
      <c r="BD937" s="54" t="str">
        <f t="shared" si="1"/>
        <v/>
      </c>
      <c r="BE937" s="67"/>
      <c r="BF937" s="67"/>
      <c r="BG937" s="67"/>
      <c r="BH937" s="67"/>
      <c r="BI937" s="67"/>
      <c r="BJ937" s="67"/>
      <c r="BK937" s="67"/>
      <c r="BL937" s="67"/>
      <c r="BM937" s="67"/>
      <c r="BN937" s="100"/>
      <c r="BO937" s="102"/>
      <c r="BP937" s="67"/>
      <c r="BQ937" s="79"/>
      <c r="BR937" s="67"/>
      <c r="BS937" s="102"/>
      <c r="BT937" s="106"/>
      <c r="BU937" s="107"/>
      <c r="BV937" s="108" t="str">
        <f t="shared" si="17"/>
        <v/>
      </c>
      <c r="BW937" s="108" t="str">
        <f t="shared" si="16"/>
        <v/>
      </c>
      <c r="BX937" s="102" t="str">
        <f t="shared" si="15"/>
        <v/>
      </c>
      <c r="BY937" s="107" t="str">
        <f t="shared" si="5"/>
        <v/>
      </c>
      <c r="BZ937" s="107" t="str">
        <f t="array" ref="BZ937">IF($A937&lt;&gt;"",INDEX(LISTA!$M$2:$N$27,MATCH($BC937,LISTA!$N$2:$N$27,0),1),"")</f>
        <v/>
      </c>
      <c r="CA937" s="67" t="str">
        <f t="shared" si="6"/>
        <v/>
      </c>
      <c r="CB937" s="114" t="str">
        <f t="shared" si="7"/>
        <v/>
      </c>
      <c r="CC937" s="114"/>
    </row>
    <row r="938" ht="22.5" customHeight="1">
      <c r="A938" s="59"/>
      <c r="B938" s="115"/>
      <c r="C938" s="54"/>
      <c r="D938" s="56"/>
      <c r="E938" s="69"/>
      <c r="F938" s="73"/>
      <c r="G938" s="79"/>
      <c r="H938" s="79"/>
      <c r="I938" s="67"/>
      <c r="J938" s="79"/>
      <c r="K938" s="67"/>
      <c r="L938" s="79"/>
      <c r="M938" s="83"/>
      <c r="N938" s="78"/>
      <c r="O938" s="80"/>
      <c r="P938" s="70"/>
      <c r="Q938" s="54"/>
      <c r="R938" s="67"/>
      <c r="S938" s="67"/>
      <c r="T938" s="54"/>
      <c r="U938" s="86"/>
      <c r="V938" s="54"/>
      <c r="W938" s="86"/>
      <c r="X938" s="54"/>
      <c r="Y938" s="78"/>
      <c r="Z938" s="54"/>
      <c r="AA938" s="70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54"/>
      <c r="AR938" s="83"/>
      <c r="AS938" s="83"/>
      <c r="AT938" s="93"/>
      <c r="AU938" s="93"/>
      <c r="AV938" s="93"/>
      <c r="AW938" s="83"/>
      <c r="AX938" s="83"/>
      <c r="AY938" s="83"/>
      <c r="AZ938" s="83"/>
      <c r="BA938" s="83"/>
      <c r="BB938" s="83"/>
      <c r="BC938" s="54"/>
      <c r="BD938" s="54" t="str">
        <f t="shared" si="1"/>
        <v/>
      </c>
      <c r="BE938" s="67"/>
      <c r="BF938" s="67"/>
      <c r="BG938" s="67"/>
      <c r="BH938" s="67"/>
      <c r="BI938" s="67"/>
      <c r="BJ938" s="67"/>
      <c r="BK938" s="67"/>
      <c r="BL938" s="67"/>
      <c r="BM938" s="67"/>
      <c r="BN938" s="100"/>
      <c r="BO938" s="102"/>
      <c r="BP938" s="67"/>
      <c r="BQ938" s="79"/>
      <c r="BR938" s="67"/>
      <c r="BS938" s="102"/>
      <c r="BT938" s="106"/>
      <c r="BU938" s="107"/>
      <c r="BV938" s="108" t="str">
        <f t="shared" si="17"/>
        <v/>
      </c>
      <c r="BW938" s="108" t="str">
        <f t="shared" si="16"/>
        <v/>
      </c>
      <c r="BX938" s="102" t="str">
        <f t="shared" si="15"/>
        <v/>
      </c>
      <c r="BY938" s="107" t="str">
        <f t="shared" si="5"/>
        <v/>
      </c>
      <c r="BZ938" s="107" t="str">
        <f t="array" ref="BZ938">IF($A938&lt;&gt;"",INDEX(LISTA!$M$2:$N$27,MATCH($BC938,LISTA!$N$2:$N$27,0),1),"")</f>
        <v/>
      </c>
      <c r="CA938" s="67" t="str">
        <f t="shared" si="6"/>
        <v/>
      </c>
      <c r="CB938" s="114" t="str">
        <f t="shared" si="7"/>
        <v/>
      </c>
      <c r="CC938" s="114"/>
    </row>
    <row r="939" ht="22.5" customHeight="1">
      <c r="A939" s="59"/>
      <c r="B939" s="115"/>
      <c r="C939" s="54"/>
      <c r="D939" s="56"/>
      <c r="E939" s="69"/>
      <c r="F939" s="73"/>
      <c r="G939" s="79"/>
      <c r="H939" s="79"/>
      <c r="I939" s="67"/>
      <c r="J939" s="79"/>
      <c r="K939" s="67"/>
      <c r="L939" s="79"/>
      <c r="M939" s="83"/>
      <c r="N939" s="78"/>
      <c r="O939" s="80"/>
      <c r="P939" s="70"/>
      <c r="Q939" s="54"/>
      <c r="R939" s="67"/>
      <c r="S939" s="67"/>
      <c r="T939" s="54"/>
      <c r="U939" s="86"/>
      <c r="V939" s="54"/>
      <c r="W939" s="86"/>
      <c r="X939" s="54"/>
      <c r="Y939" s="78"/>
      <c r="Z939" s="54"/>
      <c r="AA939" s="70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54"/>
      <c r="AR939" s="83"/>
      <c r="AS939" s="83"/>
      <c r="AT939" s="93"/>
      <c r="AU939" s="93"/>
      <c r="AV939" s="93"/>
      <c r="AW939" s="83"/>
      <c r="AX939" s="83"/>
      <c r="AY939" s="83"/>
      <c r="AZ939" s="83"/>
      <c r="BA939" s="83"/>
      <c r="BB939" s="83"/>
      <c r="BC939" s="54"/>
      <c r="BD939" s="54" t="str">
        <f t="shared" si="1"/>
        <v/>
      </c>
      <c r="BE939" s="67"/>
      <c r="BF939" s="67"/>
      <c r="BG939" s="67"/>
      <c r="BH939" s="67"/>
      <c r="BI939" s="67"/>
      <c r="BJ939" s="67"/>
      <c r="BK939" s="67"/>
      <c r="BL939" s="67"/>
      <c r="BM939" s="67"/>
      <c r="BN939" s="100"/>
      <c r="BO939" s="102"/>
      <c r="BP939" s="67"/>
      <c r="BQ939" s="79"/>
      <c r="BR939" s="67"/>
      <c r="BS939" s="102"/>
      <c r="BT939" s="106"/>
      <c r="BU939" s="107"/>
      <c r="BV939" s="108" t="str">
        <f t="shared" si="17"/>
        <v/>
      </c>
      <c r="BW939" s="108" t="str">
        <f t="shared" si="16"/>
        <v/>
      </c>
      <c r="BX939" s="102" t="str">
        <f t="shared" si="15"/>
        <v/>
      </c>
      <c r="BY939" s="107" t="str">
        <f t="shared" si="5"/>
        <v/>
      </c>
      <c r="BZ939" s="107" t="str">
        <f t="array" ref="BZ939">IF($A939&lt;&gt;"",INDEX(LISTA!$M$2:$N$27,MATCH($BC939,LISTA!$N$2:$N$27,0),1),"")</f>
        <v/>
      </c>
      <c r="CA939" s="67" t="str">
        <f t="shared" si="6"/>
        <v/>
      </c>
      <c r="CB939" s="114" t="str">
        <f t="shared" si="7"/>
        <v/>
      </c>
      <c r="CC939" s="114"/>
    </row>
    <row r="940" ht="22.5" customHeight="1">
      <c r="A940" s="59"/>
      <c r="B940" s="115"/>
      <c r="C940" s="54"/>
      <c r="D940" s="56"/>
      <c r="E940" s="69"/>
      <c r="F940" s="73"/>
      <c r="G940" s="79"/>
      <c r="H940" s="79"/>
      <c r="I940" s="67"/>
      <c r="J940" s="79"/>
      <c r="K940" s="67"/>
      <c r="L940" s="79"/>
      <c r="M940" s="83"/>
      <c r="N940" s="78"/>
      <c r="O940" s="80"/>
      <c r="P940" s="70"/>
      <c r="Q940" s="54"/>
      <c r="R940" s="67"/>
      <c r="S940" s="67"/>
      <c r="T940" s="54"/>
      <c r="U940" s="86"/>
      <c r="V940" s="54"/>
      <c r="W940" s="86"/>
      <c r="X940" s="54"/>
      <c r="Y940" s="78"/>
      <c r="Z940" s="54"/>
      <c r="AA940" s="70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54"/>
      <c r="AR940" s="83"/>
      <c r="AS940" s="83"/>
      <c r="AT940" s="93"/>
      <c r="AU940" s="93"/>
      <c r="AV940" s="93"/>
      <c r="AW940" s="83"/>
      <c r="AX940" s="83"/>
      <c r="AY940" s="83"/>
      <c r="AZ940" s="83"/>
      <c r="BA940" s="83"/>
      <c r="BB940" s="83"/>
      <c r="BC940" s="54"/>
      <c r="BD940" s="54" t="str">
        <f t="shared" si="1"/>
        <v/>
      </c>
      <c r="BE940" s="67"/>
      <c r="BF940" s="67"/>
      <c r="BG940" s="67"/>
      <c r="BH940" s="67"/>
      <c r="BI940" s="67"/>
      <c r="BJ940" s="67"/>
      <c r="BK940" s="67"/>
      <c r="BL940" s="67"/>
      <c r="BM940" s="67"/>
      <c r="BN940" s="100"/>
      <c r="BO940" s="102"/>
      <c r="BP940" s="67"/>
      <c r="BQ940" s="79"/>
      <c r="BR940" s="67"/>
      <c r="BS940" s="102"/>
      <c r="BT940" s="106"/>
      <c r="BU940" s="107"/>
      <c r="BV940" s="108" t="str">
        <f t="shared" si="17"/>
        <v/>
      </c>
      <c r="BW940" s="108" t="str">
        <f t="shared" si="16"/>
        <v/>
      </c>
      <c r="BX940" s="102" t="str">
        <f t="shared" si="15"/>
        <v/>
      </c>
      <c r="BY940" s="107" t="str">
        <f t="shared" si="5"/>
        <v/>
      </c>
      <c r="BZ940" s="107" t="str">
        <f t="array" ref="BZ940">IF($A940&lt;&gt;"",INDEX(LISTA!$M$2:$N$27,MATCH($BC940,LISTA!$N$2:$N$27,0),1),"")</f>
        <v/>
      </c>
      <c r="CA940" s="67" t="str">
        <f t="shared" si="6"/>
        <v/>
      </c>
      <c r="CB940" s="114" t="str">
        <f t="shared" si="7"/>
        <v/>
      </c>
      <c r="CC940" s="114"/>
    </row>
    <row r="941" ht="22.5" customHeight="1">
      <c r="A941" s="59"/>
      <c r="B941" s="115"/>
      <c r="C941" s="54"/>
      <c r="D941" s="56"/>
      <c r="E941" s="69"/>
      <c r="F941" s="73"/>
      <c r="G941" s="79"/>
      <c r="H941" s="79"/>
      <c r="I941" s="67"/>
      <c r="J941" s="79"/>
      <c r="K941" s="67"/>
      <c r="L941" s="79"/>
      <c r="M941" s="83"/>
      <c r="N941" s="78"/>
      <c r="O941" s="80"/>
      <c r="P941" s="70"/>
      <c r="Q941" s="54"/>
      <c r="R941" s="67"/>
      <c r="S941" s="67"/>
      <c r="T941" s="54"/>
      <c r="U941" s="86"/>
      <c r="V941" s="54"/>
      <c r="W941" s="86"/>
      <c r="X941" s="54"/>
      <c r="Y941" s="78"/>
      <c r="Z941" s="54"/>
      <c r="AA941" s="70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54"/>
      <c r="AR941" s="83"/>
      <c r="AS941" s="83"/>
      <c r="AT941" s="93"/>
      <c r="AU941" s="93"/>
      <c r="AV941" s="93"/>
      <c r="AW941" s="83"/>
      <c r="AX941" s="83"/>
      <c r="AY941" s="83"/>
      <c r="AZ941" s="83"/>
      <c r="BA941" s="83"/>
      <c r="BB941" s="83"/>
      <c r="BC941" s="54"/>
      <c r="BD941" s="54" t="str">
        <f t="shared" si="1"/>
        <v/>
      </c>
      <c r="BE941" s="67"/>
      <c r="BF941" s="67"/>
      <c r="BG941" s="67"/>
      <c r="BH941" s="67"/>
      <c r="BI941" s="67"/>
      <c r="BJ941" s="67"/>
      <c r="BK941" s="67"/>
      <c r="BL941" s="67"/>
      <c r="BM941" s="67"/>
      <c r="BN941" s="100"/>
      <c r="BO941" s="102"/>
      <c r="BP941" s="67"/>
      <c r="BQ941" s="79"/>
      <c r="BR941" s="67"/>
      <c r="BS941" s="102"/>
      <c r="BT941" s="106"/>
      <c r="BU941" s="107"/>
      <c r="BV941" s="108" t="str">
        <f t="shared" si="17"/>
        <v/>
      </c>
      <c r="BW941" s="108" t="str">
        <f t="shared" si="16"/>
        <v/>
      </c>
      <c r="BX941" s="102" t="str">
        <f t="shared" si="15"/>
        <v/>
      </c>
      <c r="BY941" s="107" t="str">
        <f t="shared" si="5"/>
        <v/>
      </c>
      <c r="BZ941" s="107" t="str">
        <f t="array" ref="BZ941">IF($A941&lt;&gt;"",INDEX(LISTA!$M$2:$N$27,MATCH($BC941,LISTA!$N$2:$N$27,0),1),"")</f>
        <v/>
      </c>
      <c r="CA941" s="67" t="str">
        <f t="shared" si="6"/>
        <v/>
      </c>
      <c r="CB941" s="114" t="str">
        <f t="shared" si="7"/>
        <v/>
      </c>
      <c r="CC941" s="114"/>
    </row>
    <row r="942" ht="22.5" customHeight="1">
      <c r="A942" s="59"/>
      <c r="B942" s="115"/>
      <c r="C942" s="54"/>
      <c r="D942" s="56"/>
      <c r="E942" s="69"/>
      <c r="F942" s="73"/>
      <c r="G942" s="79"/>
      <c r="H942" s="79"/>
      <c r="I942" s="67"/>
      <c r="J942" s="79"/>
      <c r="K942" s="67"/>
      <c r="L942" s="79"/>
      <c r="M942" s="83"/>
      <c r="N942" s="78"/>
      <c r="O942" s="80"/>
      <c r="P942" s="70"/>
      <c r="Q942" s="54"/>
      <c r="R942" s="67"/>
      <c r="S942" s="67"/>
      <c r="T942" s="54"/>
      <c r="U942" s="86"/>
      <c r="V942" s="54"/>
      <c r="W942" s="86"/>
      <c r="X942" s="54"/>
      <c r="Y942" s="78"/>
      <c r="Z942" s="54"/>
      <c r="AA942" s="70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54"/>
      <c r="AR942" s="83"/>
      <c r="AS942" s="83"/>
      <c r="AT942" s="93"/>
      <c r="AU942" s="93"/>
      <c r="AV942" s="93"/>
      <c r="AW942" s="83"/>
      <c r="AX942" s="83"/>
      <c r="AY942" s="83"/>
      <c r="AZ942" s="83"/>
      <c r="BA942" s="83"/>
      <c r="BB942" s="83"/>
      <c r="BC942" s="54"/>
      <c r="BD942" s="54" t="str">
        <f t="shared" si="1"/>
        <v/>
      </c>
      <c r="BE942" s="67"/>
      <c r="BF942" s="67"/>
      <c r="BG942" s="67"/>
      <c r="BH942" s="67"/>
      <c r="BI942" s="67"/>
      <c r="BJ942" s="67"/>
      <c r="BK942" s="67"/>
      <c r="BL942" s="67"/>
      <c r="BM942" s="67"/>
      <c r="BN942" s="100"/>
      <c r="BO942" s="102"/>
      <c r="BP942" s="67"/>
      <c r="BQ942" s="79"/>
      <c r="BR942" s="67"/>
      <c r="BS942" s="102"/>
      <c r="BT942" s="106"/>
      <c r="BU942" s="107"/>
      <c r="BV942" s="108" t="str">
        <f t="shared" si="17"/>
        <v/>
      </c>
      <c r="BW942" s="108" t="str">
        <f t="shared" si="16"/>
        <v/>
      </c>
      <c r="BX942" s="102" t="str">
        <f t="shared" si="15"/>
        <v/>
      </c>
      <c r="BY942" s="107" t="str">
        <f t="shared" si="5"/>
        <v/>
      </c>
      <c r="BZ942" s="107" t="str">
        <f t="array" ref="BZ942">IF($A942&lt;&gt;"",INDEX(LISTA!$M$2:$N$27,MATCH($BC942,LISTA!$N$2:$N$27,0),1),"")</f>
        <v/>
      </c>
      <c r="CA942" s="67" t="str">
        <f t="shared" si="6"/>
        <v/>
      </c>
      <c r="CB942" s="114" t="str">
        <f t="shared" si="7"/>
        <v/>
      </c>
      <c r="CC942" s="114"/>
    </row>
    <row r="943" ht="22.5" customHeight="1">
      <c r="A943" s="59"/>
      <c r="B943" s="115"/>
      <c r="C943" s="54"/>
      <c r="D943" s="56"/>
      <c r="E943" s="69"/>
      <c r="F943" s="73"/>
      <c r="G943" s="79"/>
      <c r="H943" s="79"/>
      <c r="I943" s="67"/>
      <c r="J943" s="79"/>
      <c r="K943" s="67"/>
      <c r="L943" s="79"/>
      <c r="M943" s="83"/>
      <c r="N943" s="78"/>
      <c r="O943" s="80"/>
      <c r="P943" s="70"/>
      <c r="Q943" s="54"/>
      <c r="R943" s="67"/>
      <c r="S943" s="67"/>
      <c r="T943" s="54"/>
      <c r="U943" s="86"/>
      <c r="V943" s="54"/>
      <c r="W943" s="86"/>
      <c r="X943" s="54"/>
      <c r="Y943" s="78"/>
      <c r="Z943" s="54"/>
      <c r="AA943" s="70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54"/>
      <c r="AR943" s="83"/>
      <c r="AS943" s="83"/>
      <c r="AT943" s="93"/>
      <c r="AU943" s="93"/>
      <c r="AV943" s="93"/>
      <c r="AW943" s="83"/>
      <c r="AX943" s="83"/>
      <c r="AY943" s="83"/>
      <c r="AZ943" s="83"/>
      <c r="BA943" s="83"/>
      <c r="BB943" s="83"/>
      <c r="BC943" s="54"/>
      <c r="BD943" s="54" t="str">
        <f t="shared" si="1"/>
        <v/>
      </c>
      <c r="BE943" s="67"/>
      <c r="BF943" s="67"/>
      <c r="BG943" s="67"/>
      <c r="BH943" s="67"/>
      <c r="BI943" s="67"/>
      <c r="BJ943" s="67"/>
      <c r="BK943" s="67"/>
      <c r="BL943" s="67"/>
      <c r="BM943" s="67"/>
      <c r="BN943" s="100"/>
      <c r="BO943" s="102"/>
      <c r="BP943" s="67"/>
      <c r="BQ943" s="79"/>
      <c r="BR943" s="67"/>
      <c r="BS943" s="102"/>
      <c r="BT943" s="106"/>
      <c r="BU943" s="107"/>
      <c r="BV943" s="108" t="str">
        <f t="shared" si="17"/>
        <v/>
      </c>
      <c r="BW943" s="108" t="str">
        <f t="shared" si="16"/>
        <v/>
      </c>
      <c r="BX943" s="102" t="str">
        <f t="shared" si="15"/>
        <v/>
      </c>
      <c r="BY943" s="107" t="str">
        <f t="shared" si="5"/>
        <v/>
      </c>
      <c r="BZ943" s="107" t="str">
        <f t="array" ref="BZ943">IF($A943&lt;&gt;"",INDEX(LISTA!$M$2:$N$27,MATCH($BC943,LISTA!$N$2:$N$27,0),1),"")</f>
        <v/>
      </c>
      <c r="CA943" s="67" t="str">
        <f t="shared" si="6"/>
        <v/>
      </c>
      <c r="CB943" s="114" t="str">
        <f t="shared" si="7"/>
        <v/>
      </c>
      <c r="CC943" s="114"/>
    </row>
    <row r="944" ht="22.5" customHeight="1">
      <c r="A944" s="59"/>
      <c r="B944" s="115"/>
      <c r="C944" s="54"/>
      <c r="D944" s="56"/>
      <c r="E944" s="69"/>
      <c r="F944" s="73"/>
      <c r="G944" s="79"/>
      <c r="H944" s="79"/>
      <c r="I944" s="67"/>
      <c r="J944" s="79"/>
      <c r="K944" s="67"/>
      <c r="L944" s="79"/>
      <c r="M944" s="83"/>
      <c r="N944" s="78"/>
      <c r="O944" s="80"/>
      <c r="P944" s="70"/>
      <c r="Q944" s="54"/>
      <c r="R944" s="67"/>
      <c r="S944" s="67"/>
      <c r="T944" s="54"/>
      <c r="U944" s="86"/>
      <c r="V944" s="54"/>
      <c r="W944" s="86"/>
      <c r="X944" s="54"/>
      <c r="Y944" s="78"/>
      <c r="Z944" s="54"/>
      <c r="AA944" s="70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54"/>
      <c r="AR944" s="83"/>
      <c r="AS944" s="83"/>
      <c r="AT944" s="93"/>
      <c r="AU944" s="93"/>
      <c r="AV944" s="93"/>
      <c r="AW944" s="83"/>
      <c r="AX944" s="83"/>
      <c r="AY944" s="83"/>
      <c r="AZ944" s="83"/>
      <c r="BA944" s="83"/>
      <c r="BB944" s="83"/>
      <c r="BC944" s="54"/>
      <c r="BD944" s="54" t="str">
        <f t="shared" si="1"/>
        <v/>
      </c>
      <c r="BE944" s="67"/>
      <c r="BF944" s="67"/>
      <c r="BG944" s="67"/>
      <c r="BH944" s="67"/>
      <c r="BI944" s="67"/>
      <c r="BJ944" s="67"/>
      <c r="BK944" s="67"/>
      <c r="BL944" s="67"/>
      <c r="BM944" s="67"/>
      <c r="BN944" s="100"/>
      <c r="BO944" s="102"/>
      <c r="BP944" s="67"/>
      <c r="BQ944" s="79"/>
      <c r="BR944" s="67"/>
      <c r="BS944" s="102"/>
      <c r="BT944" s="106"/>
      <c r="BU944" s="107"/>
      <c r="BV944" s="108" t="str">
        <f t="shared" si="17"/>
        <v/>
      </c>
      <c r="BW944" s="108" t="str">
        <f t="shared" si="16"/>
        <v/>
      </c>
      <c r="BX944" s="102" t="str">
        <f t="shared" si="15"/>
        <v/>
      </c>
      <c r="BY944" s="107" t="str">
        <f t="shared" si="5"/>
        <v/>
      </c>
      <c r="BZ944" s="107" t="str">
        <f t="array" ref="BZ944">IF($A944&lt;&gt;"",INDEX(LISTA!$M$2:$N$27,MATCH($BC944,LISTA!$N$2:$N$27,0),1),"")</f>
        <v/>
      </c>
      <c r="CA944" s="67" t="str">
        <f t="shared" si="6"/>
        <v/>
      </c>
      <c r="CB944" s="114" t="str">
        <f t="shared" si="7"/>
        <v/>
      </c>
      <c r="CC944" s="114"/>
    </row>
    <row r="945" ht="22.5" customHeight="1">
      <c r="A945" s="59"/>
      <c r="B945" s="115"/>
      <c r="C945" s="54"/>
      <c r="D945" s="56"/>
      <c r="E945" s="69"/>
      <c r="F945" s="73"/>
      <c r="G945" s="79"/>
      <c r="H945" s="79"/>
      <c r="I945" s="67"/>
      <c r="J945" s="79"/>
      <c r="K945" s="67"/>
      <c r="L945" s="79"/>
      <c r="M945" s="83"/>
      <c r="N945" s="78"/>
      <c r="O945" s="80"/>
      <c r="P945" s="70"/>
      <c r="Q945" s="54"/>
      <c r="R945" s="67"/>
      <c r="S945" s="67"/>
      <c r="T945" s="54"/>
      <c r="U945" s="86"/>
      <c r="V945" s="54"/>
      <c r="W945" s="86"/>
      <c r="X945" s="54"/>
      <c r="Y945" s="78"/>
      <c r="Z945" s="54"/>
      <c r="AA945" s="70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54"/>
      <c r="AR945" s="83"/>
      <c r="AS945" s="83"/>
      <c r="AT945" s="93"/>
      <c r="AU945" s="93"/>
      <c r="AV945" s="93"/>
      <c r="AW945" s="83"/>
      <c r="AX945" s="83"/>
      <c r="AY945" s="83"/>
      <c r="AZ945" s="83"/>
      <c r="BA945" s="83"/>
      <c r="BB945" s="83"/>
      <c r="BC945" s="54"/>
      <c r="BD945" s="54" t="str">
        <f t="shared" si="1"/>
        <v/>
      </c>
      <c r="BE945" s="67"/>
      <c r="BF945" s="67"/>
      <c r="BG945" s="67"/>
      <c r="BH945" s="67"/>
      <c r="BI945" s="67"/>
      <c r="BJ945" s="67"/>
      <c r="BK945" s="67"/>
      <c r="BL945" s="67"/>
      <c r="BM945" s="67"/>
      <c r="BN945" s="100"/>
      <c r="BO945" s="102"/>
      <c r="BP945" s="67"/>
      <c r="BQ945" s="79"/>
      <c r="BR945" s="67"/>
      <c r="BS945" s="102"/>
      <c r="BT945" s="106"/>
      <c r="BU945" s="107"/>
      <c r="BV945" s="108" t="str">
        <f t="shared" si="17"/>
        <v/>
      </c>
      <c r="BW945" s="108" t="str">
        <f t="shared" si="16"/>
        <v/>
      </c>
      <c r="BX945" s="102" t="str">
        <f t="shared" si="15"/>
        <v/>
      </c>
      <c r="BY945" s="107" t="str">
        <f t="shared" si="5"/>
        <v/>
      </c>
      <c r="BZ945" s="107" t="str">
        <f t="array" ref="BZ945">IF($A945&lt;&gt;"",INDEX(LISTA!$M$2:$N$27,MATCH($BC945,LISTA!$N$2:$N$27,0),1),"")</f>
        <v/>
      </c>
      <c r="CA945" s="67" t="str">
        <f t="shared" si="6"/>
        <v/>
      </c>
      <c r="CB945" s="114" t="str">
        <f t="shared" si="7"/>
        <v/>
      </c>
      <c r="CC945" s="114"/>
    </row>
    <row r="946" ht="22.5" customHeight="1">
      <c r="A946" s="59"/>
      <c r="B946" s="115"/>
      <c r="C946" s="54"/>
      <c r="D946" s="56"/>
      <c r="E946" s="69"/>
      <c r="F946" s="73"/>
      <c r="G946" s="79"/>
      <c r="H946" s="79"/>
      <c r="I946" s="67"/>
      <c r="J946" s="79"/>
      <c r="K946" s="67"/>
      <c r="L946" s="79"/>
      <c r="M946" s="83"/>
      <c r="N946" s="78"/>
      <c r="O946" s="80"/>
      <c r="P946" s="70"/>
      <c r="Q946" s="54"/>
      <c r="R946" s="67"/>
      <c r="S946" s="67"/>
      <c r="T946" s="54"/>
      <c r="U946" s="86"/>
      <c r="V946" s="54"/>
      <c r="W946" s="86"/>
      <c r="X946" s="54"/>
      <c r="Y946" s="78"/>
      <c r="Z946" s="54"/>
      <c r="AA946" s="70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54"/>
      <c r="AR946" s="83"/>
      <c r="AS946" s="83"/>
      <c r="AT946" s="93"/>
      <c r="AU946" s="93"/>
      <c r="AV946" s="93"/>
      <c r="AW946" s="83"/>
      <c r="AX946" s="83"/>
      <c r="AY946" s="83"/>
      <c r="AZ946" s="83"/>
      <c r="BA946" s="83"/>
      <c r="BB946" s="83"/>
      <c r="BC946" s="54"/>
      <c r="BD946" s="54" t="str">
        <f t="shared" si="1"/>
        <v/>
      </c>
      <c r="BE946" s="67"/>
      <c r="BF946" s="67"/>
      <c r="BG946" s="67"/>
      <c r="BH946" s="67"/>
      <c r="BI946" s="67"/>
      <c r="BJ946" s="67"/>
      <c r="BK946" s="67"/>
      <c r="BL946" s="67"/>
      <c r="BM946" s="67"/>
      <c r="BN946" s="100"/>
      <c r="BO946" s="102"/>
      <c r="BP946" s="67"/>
      <c r="BQ946" s="79"/>
      <c r="BR946" s="67"/>
      <c r="BS946" s="102"/>
      <c r="BT946" s="106"/>
      <c r="BU946" s="107"/>
      <c r="BV946" s="108" t="str">
        <f t="shared" si="17"/>
        <v/>
      </c>
      <c r="BW946" s="108" t="str">
        <f t="shared" si="16"/>
        <v/>
      </c>
      <c r="BX946" s="102" t="str">
        <f t="shared" si="15"/>
        <v/>
      </c>
      <c r="BY946" s="107" t="str">
        <f t="shared" si="5"/>
        <v/>
      </c>
      <c r="BZ946" s="107" t="str">
        <f t="array" ref="BZ946">IF($A946&lt;&gt;"",INDEX(LISTA!$M$2:$N$27,MATCH($BC946,LISTA!$N$2:$N$27,0),1),"")</f>
        <v/>
      </c>
      <c r="CA946" s="67" t="str">
        <f t="shared" si="6"/>
        <v/>
      </c>
      <c r="CB946" s="114" t="str">
        <f t="shared" si="7"/>
        <v/>
      </c>
      <c r="CC946" s="114"/>
    </row>
    <row r="947" ht="22.5" customHeight="1">
      <c r="A947" s="59"/>
      <c r="B947" s="115"/>
      <c r="C947" s="54"/>
      <c r="D947" s="56"/>
      <c r="E947" s="69"/>
      <c r="F947" s="73"/>
      <c r="G947" s="79"/>
      <c r="H947" s="79"/>
      <c r="I947" s="67"/>
      <c r="J947" s="79"/>
      <c r="K947" s="67"/>
      <c r="L947" s="79"/>
      <c r="M947" s="83"/>
      <c r="N947" s="78"/>
      <c r="O947" s="80"/>
      <c r="P947" s="70"/>
      <c r="Q947" s="54"/>
      <c r="R947" s="67"/>
      <c r="S947" s="67"/>
      <c r="T947" s="54"/>
      <c r="U947" s="86"/>
      <c r="V947" s="54"/>
      <c r="W947" s="86"/>
      <c r="X947" s="54"/>
      <c r="Y947" s="78"/>
      <c r="Z947" s="54"/>
      <c r="AA947" s="70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54"/>
      <c r="AR947" s="83"/>
      <c r="AS947" s="83"/>
      <c r="AT947" s="93"/>
      <c r="AU947" s="93"/>
      <c r="AV947" s="93"/>
      <c r="AW947" s="83"/>
      <c r="AX947" s="83"/>
      <c r="AY947" s="83"/>
      <c r="AZ947" s="83"/>
      <c r="BA947" s="83"/>
      <c r="BB947" s="83"/>
      <c r="BC947" s="54"/>
      <c r="BD947" s="54" t="str">
        <f t="shared" si="1"/>
        <v/>
      </c>
      <c r="BE947" s="67"/>
      <c r="BF947" s="67"/>
      <c r="BG947" s="67"/>
      <c r="BH947" s="67"/>
      <c r="BI947" s="67"/>
      <c r="BJ947" s="67"/>
      <c r="BK947" s="67"/>
      <c r="BL947" s="67"/>
      <c r="BM947" s="67"/>
      <c r="BN947" s="100"/>
      <c r="BO947" s="102"/>
      <c r="BP947" s="67"/>
      <c r="BQ947" s="79"/>
      <c r="BR947" s="67"/>
      <c r="BS947" s="102"/>
      <c r="BT947" s="106"/>
      <c r="BU947" s="107"/>
      <c r="BV947" s="108" t="str">
        <f t="shared" si="17"/>
        <v/>
      </c>
      <c r="BW947" s="108" t="str">
        <f t="shared" si="16"/>
        <v/>
      </c>
      <c r="BX947" s="102" t="str">
        <f t="shared" si="15"/>
        <v/>
      </c>
      <c r="BY947" s="107" t="str">
        <f t="shared" si="5"/>
        <v/>
      </c>
      <c r="BZ947" s="107" t="str">
        <f t="array" ref="BZ947">IF($A947&lt;&gt;"",INDEX(LISTA!$M$2:$N$27,MATCH($BC947,LISTA!$N$2:$N$27,0),1),"")</f>
        <v/>
      </c>
      <c r="CA947" s="67" t="str">
        <f t="shared" si="6"/>
        <v/>
      </c>
      <c r="CB947" s="114" t="str">
        <f t="shared" si="7"/>
        <v/>
      </c>
      <c r="CC947" s="114"/>
    </row>
    <row r="948" ht="22.5" customHeight="1">
      <c r="A948" s="59"/>
      <c r="B948" s="115"/>
      <c r="C948" s="54"/>
      <c r="D948" s="56"/>
      <c r="E948" s="69"/>
      <c r="F948" s="73"/>
      <c r="G948" s="79"/>
      <c r="H948" s="79"/>
      <c r="I948" s="67"/>
      <c r="J948" s="79"/>
      <c r="K948" s="67"/>
      <c r="L948" s="79"/>
      <c r="M948" s="83"/>
      <c r="N948" s="78"/>
      <c r="O948" s="80"/>
      <c r="P948" s="70"/>
      <c r="Q948" s="54"/>
      <c r="R948" s="67"/>
      <c r="S948" s="67"/>
      <c r="T948" s="54"/>
      <c r="U948" s="86"/>
      <c r="V948" s="54"/>
      <c r="W948" s="86"/>
      <c r="X948" s="54"/>
      <c r="Y948" s="78"/>
      <c r="Z948" s="54"/>
      <c r="AA948" s="70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54"/>
      <c r="AR948" s="83"/>
      <c r="AS948" s="83"/>
      <c r="AT948" s="93"/>
      <c r="AU948" s="93"/>
      <c r="AV948" s="93"/>
      <c r="AW948" s="83"/>
      <c r="AX948" s="83"/>
      <c r="AY948" s="83"/>
      <c r="AZ948" s="83"/>
      <c r="BA948" s="83"/>
      <c r="BB948" s="83"/>
      <c r="BC948" s="54"/>
      <c r="BD948" s="54" t="str">
        <f t="shared" si="1"/>
        <v/>
      </c>
      <c r="BE948" s="67"/>
      <c r="BF948" s="67"/>
      <c r="BG948" s="67"/>
      <c r="BH948" s="67"/>
      <c r="BI948" s="67"/>
      <c r="BJ948" s="67"/>
      <c r="BK948" s="67"/>
      <c r="BL948" s="67"/>
      <c r="BM948" s="67"/>
      <c r="BN948" s="100"/>
      <c r="BO948" s="102"/>
      <c r="BP948" s="67"/>
      <c r="BQ948" s="79"/>
      <c r="BR948" s="67"/>
      <c r="BS948" s="102"/>
      <c r="BT948" s="106"/>
      <c r="BU948" s="107"/>
      <c r="BV948" s="108" t="str">
        <f t="shared" si="17"/>
        <v/>
      </c>
      <c r="BW948" s="108" t="str">
        <f t="shared" si="16"/>
        <v/>
      </c>
      <c r="BX948" s="102" t="str">
        <f t="shared" si="15"/>
        <v/>
      </c>
      <c r="BY948" s="107" t="str">
        <f t="shared" si="5"/>
        <v/>
      </c>
      <c r="BZ948" s="107" t="str">
        <f t="array" ref="BZ948">IF($A948&lt;&gt;"",INDEX(LISTA!$M$2:$N$27,MATCH($BC948,LISTA!$N$2:$N$27,0),1),"")</f>
        <v/>
      </c>
      <c r="CA948" s="67" t="str">
        <f t="shared" si="6"/>
        <v/>
      </c>
      <c r="CB948" s="114" t="str">
        <f t="shared" si="7"/>
        <v/>
      </c>
      <c r="CC948" s="114"/>
    </row>
    <row r="949" ht="22.5" customHeight="1">
      <c r="A949" s="59"/>
      <c r="B949" s="115"/>
      <c r="C949" s="54"/>
      <c r="D949" s="56"/>
      <c r="E949" s="69"/>
      <c r="F949" s="73"/>
      <c r="G949" s="79"/>
      <c r="H949" s="79"/>
      <c r="I949" s="67"/>
      <c r="J949" s="79"/>
      <c r="K949" s="67"/>
      <c r="L949" s="79"/>
      <c r="M949" s="83"/>
      <c r="N949" s="78"/>
      <c r="O949" s="80"/>
      <c r="P949" s="70"/>
      <c r="Q949" s="54"/>
      <c r="R949" s="67"/>
      <c r="S949" s="67"/>
      <c r="T949" s="54"/>
      <c r="U949" s="86"/>
      <c r="V949" s="54"/>
      <c r="W949" s="86"/>
      <c r="X949" s="54"/>
      <c r="Y949" s="78"/>
      <c r="Z949" s="54"/>
      <c r="AA949" s="70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54"/>
      <c r="AR949" s="83"/>
      <c r="AS949" s="83"/>
      <c r="AT949" s="93"/>
      <c r="AU949" s="93"/>
      <c r="AV949" s="93"/>
      <c r="AW949" s="83"/>
      <c r="AX949" s="83"/>
      <c r="AY949" s="83"/>
      <c r="AZ949" s="83"/>
      <c r="BA949" s="83"/>
      <c r="BB949" s="83"/>
      <c r="BC949" s="54"/>
      <c r="BD949" s="54" t="str">
        <f t="shared" si="1"/>
        <v/>
      </c>
      <c r="BE949" s="67"/>
      <c r="BF949" s="67"/>
      <c r="BG949" s="67"/>
      <c r="BH949" s="67"/>
      <c r="BI949" s="67"/>
      <c r="BJ949" s="67"/>
      <c r="BK949" s="67"/>
      <c r="BL949" s="67"/>
      <c r="BM949" s="67"/>
      <c r="BN949" s="100"/>
      <c r="BO949" s="102"/>
      <c r="BP949" s="67"/>
      <c r="BQ949" s="79"/>
      <c r="BR949" s="67"/>
      <c r="BS949" s="102"/>
      <c r="BT949" s="106"/>
      <c r="BU949" s="107"/>
      <c r="BV949" s="108" t="str">
        <f t="shared" si="17"/>
        <v/>
      </c>
      <c r="BW949" s="108" t="str">
        <f t="shared" si="16"/>
        <v/>
      </c>
      <c r="BX949" s="102" t="str">
        <f t="shared" si="15"/>
        <v/>
      </c>
      <c r="BY949" s="107" t="str">
        <f t="shared" si="5"/>
        <v/>
      </c>
      <c r="BZ949" s="107" t="str">
        <f t="array" ref="BZ949">IF($A949&lt;&gt;"",INDEX(LISTA!$M$2:$N$27,MATCH($BC949,LISTA!$N$2:$N$27,0),1),"")</f>
        <v/>
      </c>
      <c r="CA949" s="67" t="str">
        <f t="shared" si="6"/>
        <v/>
      </c>
      <c r="CB949" s="114" t="str">
        <f t="shared" si="7"/>
        <v/>
      </c>
      <c r="CC949" s="114"/>
    </row>
    <row r="950" ht="22.5" customHeight="1">
      <c r="A950" s="59"/>
      <c r="B950" s="115"/>
      <c r="C950" s="54"/>
      <c r="D950" s="56"/>
      <c r="E950" s="69"/>
      <c r="F950" s="73"/>
      <c r="G950" s="79"/>
      <c r="H950" s="79"/>
      <c r="I950" s="67"/>
      <c r="J950" s="79"/>
      <c r="K950" s="67"/>
      <c r="L950" s="79"/>
      <c r="M950" s="83"/>
      <c r="N950" s="78"/>
      <c r="O950" s="80"/>
      <c r="P950" s="70"/>
      <c r="Q950" s="54"/>
      <c r="R950" s="67"/>
      <c r="S950" s="67"/>
      <c r="T950" s="54"/>
      <c r="U950" s="86"/>
      <c r="V950" s="54"/>
      <c r="W950" s="86"/>
      <c r="X950" s="54"/>
      <c r="Y950" s="78"/>
      <c r="Z950" s="54"/>
      <c r="AA950" s="70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54"/>
      <c r="AR950" s="83"/>
      <c r="AS950" s="83"/>
      <c r="AT950" s="93"/>
      <c r="AU950" s="93"/>
      <c r="AV950" s="93"/>
      <c r="AW950" s="83"/>
      <c r="AX950" s="83"/>
      <c r="AY950" s="83"/>
      <c r="AZ950" s="83"/>
      <c r="BA950" s="83"/>
      <c r="BB950" s="83"/>
      <c r="BC950" s="54"/>
      <c r="BD950" s="54" t="str">
        <f t="shared" si="1"/>
        <v/>
      </c>
      <c r="BE950" s="67"/>
      <c r="BF950" s="67"/>
      <c r="BG950" s="67"/>
      <c r="BH950" s="67"/>
      <c r="BI950" s="67"/>
      <c r="BJ950" s="67"/>
      <c r="BK950" s="67"/>
      <c r="BL950" s="67"/>
      <c r="BM950" s="67"/>
      <c r="BN950" s="100"/>
      <c r="BO950" s="102"/>
      <c r="BP950" s="67"/>
      <c r="BQ950" s="79"/>
      <c r="BR950" s="67"/>
      <c r="BS950" s="102"/>
      <c r="BT950" s="106"/>
      <c r="BU950" s="107"/>
      <c r="BV950" s="108" t="str">
        <f t="shared" si="17"/>
        <v/>
      </c>
      <c r="BW950" s="108" t="str">
        <f t="shared" si="16"/>
        <v/>
      </c>
      <c r="BX950" s="102" t="str">
        <f t="shared" si="15"/>
        <v/>
      </c>
      <c r="BY950" s="107" t="str">
        <f t="shared" si="5"/>
        <v/>
      </c>
      <c r="BZ950" s="107" t="str">
        <f t="array" ref="BZ950">IF($A950&lt;&gt;"",INDEX(LISTA!$M$2:$N$27,MATCH($BC950,LISTA!$N$2:$N$27,0),1),"")</f>
        <v/>
      </c>
      <c r="CA950" s="67" t="str">
        <f t="shared" si="6"/>
        <v/>
      </c>
      <c r="CB950" s="114" t="str">
        <f t="shared" si="7"/>
        <v/>
      </c>
      <c r="CC950" s="114"/>
    </row>
    <row r="951" ht="22.5" customHeight="1">
      <c r="A951" s="59"/>
      <c r="B951" s="115"/>
      <c r="C951" s="54"/>
      <c r="D951" s="56"/>
      <c r="E951" s="69"/>
      <c r="F951" s="73"/>
      <c r="G951" s="79"/>
      <c r="H951" s="79"/>
      <c r="I951" s="67"/>
      <c r="J951" s="79"/>
      <c r="K951" s="67"/>
      <c r="L951" s="79"/>
      <c r="M951" s="83"/>
      <c r="N951" s="78"/>
      <c r="O951" s="80"/>
      <c r="P951" s="70"/>
      <c r="Q951" s="54"/>
      <c r="R951" s="67"/>
      <c r="S951" s="67"/>
      <c r="T951" s="54"/>
      <c r="U951" s="86"/>
      <c r="V951" s="54"/>
      <c r="W951" s="86"/>
      <c r="X951" s="54"/>
      <c r="Y951" s="78"/>
      <c r="Z951" s="54"/>
      <c r="AA951" s="70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54"/>
      <c r="AR951" s="83"/>
      <c r="AS951" s="83"/>
      <c r="AT951" s="93"/>
      <c r="AU951" s="93"/>
      <c r="AV951" s="93"/>
      <c r="AW951" s="83"/>
      <c r="AX951" s="83"/>
      <c r="AY951" s="83"/>
      <c r="AZ951" s="83"/>
      <c r="BA951" s="83"/>
      <c r="BB951" s="83"/>
      <c r="BC951" s="54"/>
      <c r="BD951" s="54" t="str">
        <f t="shared" si="1"/>
        <v/>
      </c>
      <c r="BE951" s="67"/>
      <c r="BF951" s="67"/>
      <c r="BG951" s="67"/>
      <c r="BH951" s="67"/>
      <c r="BI951" s="67"/>
      <c r="BJ951" s="67"/>
      <c r="BK951" s="67"/>
      <c r="BL951" s="67"/>
      <c r="BM951" s="67"/>
      <c r="BN951" s="100"/>
      <c r="BO951" s="102"/>
      <c r="BP951" s="67"/>
      <c r="BQ951" s="79"/>
      <c r="BR951" s="67"/>
      <c r="BS951" s="102"/>
      <c r="BT951" s="106"/>
      <c r="BU951" s="107"/>
      <c r="BV951" s="108" t="str">
        <f t="shared" si="17"/>
        <v/>
      </c>
      <c r="BW951" s="108" t="str">
        <f t="shared" si="16"/>
        <v/>
      </c>
      <c r="BX951" s="102" t="str">
        <f t="shared" si="15"/>
        <v/>
      </c>
      <c r="BY951" s="107" t="str">
        <f t="shared" si="5"/>
        <v/>
      </c>
      <c r="BZ951" s="107" t="str">
        <f t="array" ref="BZ951">IF($A951&lt;&gt;"",INDEX(LISTA!$M$2:$N$27,MATCH($BC951,LISTA!$N$2:$N$27,0),1),"")</f>
        <v/>
      </c>
      <c r="CA951" s="67" t="str">
        <f t="shared" si="6"/>
        <v/>
      </c>
      <c r="CB951" s="114" t="str">
        <f t="shared" si="7"/>
        <v/>
      </c>
      <c r="CC951" s="114"/>
    </row>
    <row r="952" ht="22.5" customHeight="1">
      <c r="A952" s="59"/>
      <c r="B952" s="115"/>
      <c r="C952" s="54"/>
      <c r="D952" s="56"/>
      <c r="E952" s="69"/>
      <c r="F952" s="73"/>
      <c r="G952" s="79"/>
      <c r="H952" s="79"/>
      <c r="I952" s="67"/>
      <c r="J952" s="79"/>
      <c r="K952" s="67"/>
      <c r="L952" s="79"/>
      <c r="M952" s="83"/>
      <c r="N952" s="78"/>
      <c r="O952" s="80"/>
      <c r="P952" s="70"/>
      <c r="Q952" s="54"/>
      <c r="R952" s="67"/>
      <c r="S952" s="67"/>
      <c r="T952" s="54"/>
      <c r="U952" s="86"/>
      <c r="V952" s="54"/>
      <c r="W952" s="86"/>
      <c r="X952" s="54"/>
      <c r="Y952" s="78"/>
      <c r="Z952" s="54"/>
      <c r="AA952" s="70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54"/>
      <c r="AR952" s="83"/>
      <c r="AS952" s="83"/>
      <c r="AT952" s="93"/>
      <c r="AU952" s="93"/>
      <c r="AV952" s="93"/>
      <c r="AW952" s="83"/>
      <c r="AX952" s="83"/>
      <c r="AY952" s="83"/>
      <c r="AZ952" s="83"/>
      <c r="BA952" s="83"/>
      <c r="BB952" s="83"/>
      <c r="BC952" s="54"/>
      <c r="BD952" s="54" t="str">
        <f t="shared" si="1"/>
        <v/>
      </c>
      <c r="BE952" s="67"/>
      <c r="BF952" s="67"/>
      <c r="BG952" s="67"/>
      <c r="BH952" s="67"/>
      <c r="BI952" s="67"/>
      <c r="BJ952" s="67"/>
      <c r="BK952" s="67"/>
      <c r="BL952" s="67"/>
      <c r="BM952" s="67"/>
      <c r="BN952" s="100"/>
      <c r="BO952" s="102"/>
      <c r="BP952" s="67"/>
      <c r="BQ952" s="79"/>
      <c r="BR952" s="67"/>
      <c r="BS952" s="102"/>
      <c r="BT952" s="106"/>
      <c r="BU952" s="107"/>
      <c r="BV952" s="108" t="str">
        <f t="shared" si="17"/>
        <v/>
      </c>
      <c r="BW952" s="108" t="str">
        <f t="shared" si="16"/>
        <v/>
      </c>
      <c r="BX952" s="102" t="str">
        <f t="shared" si="15"/>
        <v/>
      </c>
      <c r="BY952" s="107" t="str">
        <f t="shared" si="5"/>
        <v/>
      </c>
      <c r="BZ952" s="107" t="str">
        <f t="array" ref="BZ952">IF($A952&lt;&gt;"",INDEX(LISTA!$M$2:$N$27,MATCH($BC952,LISTA!$N$2:$N$27,0),1),"")</f>
        <v/>
      </c>
      <c r="CA952" s="67" t="str">
        <f t="shared" si="6"/>
        <v/>
      </c>
      <c r="CB952" s="114" t="str">
        <f t="shared" si="7"/>
        <v/>
      </c>
      <c r="CC952" s="114"/>
    </row>
    <row r="953" ht="22.5" customHeight="1">
      <c r="A953" s="59"/>
      <c r="B953" s="115"/>
      <c r="C953" s="54"/>
      <c r="D953" s="56"/>
      <c r="E953" s="69"/>
      <c r="F953" s="73"/>
      <c r="G953" s="79"/>
      <c r="H953" s="79"/>
      <c r="I953" s="67"/>
      <c r="J953" s="79"/>
      <c r="K953" s="67"/>
      <c r="L953" s="79"/>
      <c r="M953" s="83"/>
      <c r="N953" s="78"/>
      <c r="O953" s="80"/>
      <c r="P953" s="70"/>
      <c r="Q953" s="54"/>
      <c r="R953" s="67"/>
      <c r="S953" s="67"/>
      <c r="T953" s="54"/>
      <c r="U953" s="86"/>
      <c r="V953" s="54"/>
      <c r="W953" s="86"/>
      <c r="X953" s="54"/>
      <c r="Y953" s="78"/>
      <c r="Z953" s="54"/>
      <c r="AA953" s="70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54"/>
      <c r="AR953" s="83"/>
      <c r="AS953" s="83"/>
      <c r="AT953" s="93"/>
      <c r="AU953" s="93"/>
      <c r="AV953" s="93"/>
      <c r="AW953" s="83"/>
      <c r="AX953" s="83"/>
      <c r="AY953" s="83"/>
      <c r="AZ953" s="83"/>
      <c r="BA953" s="83"/>
      <c r="BB953" s="83"/>
      <c r="BC953" s="54"/>
      <c r="BD953" s="54" t="str">
        <f t="shared" si="1"/>
        <v/>
      </c>
      <c r="BE953" s="67"/>
      <c r="BF953" s="67"/>
      <c r="BG953" s="67"/>
      <c r="BH953" s="67"/>
      <c r="BI953" s="67"/>
      <c r="BJ953" s="67"/>
      <c r="BK953" s="67"/>
      <c r="BL953" s="67"/>
      <c r="BM953" s="67"/>
      <c r="BN953" s="100"/>
      <c r="BO953" s="102"/>
      <c r="BP953" s="67"/>
      <c r="BQ953" s="79"/>
      <c r="BR953" s="67"/>
      <c r="BS953" s="102"/>
      <c r="BT953" s="106"/>
      <c r="BU953" s="107"/>
      <c r="BV953" s="108" t="str">
        <f t="shared" si="17"/>
        <v/>
      </c>
      <c r="BW953" s="108" t="str">
        <f t="shared" si="16"/>
        <v/>
      </c>
      <c r="BX953" s="102" t="str">
        <f t="shared" si="15"/>
        <v/>
      </c>
      <c r="BY953" s="107" t="str">
        <f t="shared" si="5"/>
        <v/>
      </c>
      <c r="BZ953" s="107" t="str">
        <f t="array" ref="BZ953">IF($A953&lt;&gt;"",INDEX(LISTA!$M$2:$N$27,MATCH($BC953,LISTA!$N$2:$N$27,0),1),"")</f>
        <v/>
      </c>
      <c r="CA953" s="67" t="str">
        <f t="shared" si="6"/>
        <v/>
      </c>
      <c r="CB953" s="114" t="str">
        <f t="shared" si="7"/>
        <v/>
      </c>
      <c r="CC953" s="114"/>
    </row>
    <row r="954" ht="22.5" customHeight="1">
      <c r="A954" s="59"/>
      <c r="B954" s="115"/>
      <c r="C954" s="54"/>
      <c r="D954" s="56"/>
      <c r="E954" s="69"/>
      <c r="F954" s="73"/>
      <c r="G954" s="79"/>
      <c r="H954" s="79"/>
      <c r="I954" s="67"/>
      <c r="J954" s="79"/>
      <c r="K954" s="67"/>
      <c r="L954" s="79"/>
      <c r="M954" s="83"/>
      <c r="N954" s="78"/>
      <c r="O954" s="80"/>
      <c r="P954" s="70"/>
      <c r="Q954" s="54"/>
      <c r="R954" s="67"/>
      <c r="S954" s="67"/>
      <c r="T954" s="54"/>
      <c r="U954" s="86"/>
      <c r="V954" s="54"/>
      <c r="W954" s="86"/>
      <c r="X954" s="54"/>
      <c r="Y954" s="78"/>
      <c r="Z954" s="54"/>
      <c r="AA954" s="70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54"/>
      <c r="AR954" s="83"/>
      <c r="AS954" s="83"/>
      <c r="AT954" s="93"/>
      <c r="AU954" s="93"/>
      <c r="AV954" s="93"/>
      <c r="AW954" s="83"/>
      <c r="AX954" s="83"/>
      <c r="AY954" s="83"/>
      <c r="AZ954" s="83"/>
      <c r="BA954" s="83"/>
      <c r="BB954" s="83"/>
      <c r="BC954" s="54"/>
      <c r="BD954" s="54" t="str">
        <f t="shared" si="1"/>
        <v/>
      </c>
      <c r="BE954" s="67"/>
      <c r="BF954" s="67"/>
      <c r="BG954" s="67"/>
      <c r="BH954" s="67"/>
      <c r="BI954" s="67"/>
      <c r="BJ954" s="67"/>
      <c r="BK954" s="67"/>
      <c r="BL954" s="67"/>
      <c r="BM954" s="67"/>
      <c r="BN954" s="100"/>
      <c r="BO954" s="102"/>
      <c r="BP954" s="67"/>
      <c r="BQ954" s="79"/>
      <c r="BR954" s="67"/>
      <c r="BS954" s="102"/>
      <c r="BT954" s="106"/>
      <c r="BU954" s="107"/>
      <c r="BV954" s="108" t="str">
        <f t="shared" si="17"/>
        <v/>
      </c>
      <c r="BW954" s="108" t="str">
        <f t="shared" si="16"/>
        <v/>
      </c>
      <c r="BX954" s="102" t="str">
        <f t="shared" si="15"/>
        <v/>
      </c>
      <c r="BY954" s="107" t="str">
        <f t="shared" si="5"/>
        <v/>
      </c>
      <c r="BZ954" s="107" t="str">
        <f t="array" ref="BZ954">IF($A954&lt;&gt;"",INDEX(LISTA!$M$2:$N$27,MATCH($BC954,LISTA!$N$2:$N$27,0),1),"")</f>
        <v/>
      </c>
      <c r="CA954" s="67" t="str">
        <f t="shared" si="6"/>
        <v/>
      </c>
      <c r="CB954" s="114" t="str">
        <f t="shared" si="7"/>
        <v/>
      </c>
      <c r="CC954" s="114"/>
    </row>
    <row r="955" ht="22.5" customHeight="1">
      <c r="A955" s="59"/>
      <c r="B955" s="115"/>
      <c r="C955" s="54"/>
      <c r="D955" s="56"/>
      <c r="E955" s="69"/>
      <c r="F955" s="73"/>
      <c r="G955" s="79"/>
      <c r="H955" s="79"/>
      <c r="I955" s="67"/>
      <c r="J955" s="79"/>
      <c r="K955" s="67"/>
      <c r="L955" s="79"/>
      <c r="M955" s="83"/>
      <c r="N955" s="78"/>
      <c r="O955" s="80"/>
      <c r="P955" s="70"/>
      <c r="Q955" s="54"/>
      <c r="R955" s="67"/>
      <c r="S955" s="67"/>
      <c r="T955" s="54"/>
      <c r="U955" s="86"/>
      <c r="V955" s="54"/>
      <c r="W955" s="86"/>
      <c r="X955" s="54"/>
      <c r="Y955" s="78"/>
      <c r="Z955" s="54"/>
      <c r="AA955" s="70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54"/>
      <c r="AR955" s="83"/>
      <c r="AS955" s="83"/>
      <c r="AT955" s="93"/>
      <c r="AU955" s="93"/>
      <c r="AV955" s="93"/>
      <c r="AW955" s="83"/>
      <c r="AX955" s="83"/>
      <c r="AY955" s="83"/>
      <c r="AZ955" s="83"/>
      <c r="BA955" s="83"/>
      <c r="BB955" s="83"/>
      <c r="BC955" s="54"/>
      <c r="BD955" s="54" t="str">
        <f t="shared" si="1"/>
        <v/>
      </c>
      <c r="BE955" s="67"/>
      <c r="BF955" s="67"/>
      <c r="BG955" s="67"/>
      <c r="BH955" s="67"/>
      <c r="BI955" s="67"/>
      <c r="BJ955" s="67"/>
      <c r="BK955" s="67"/>
      <c r="BL955" s="67"/>
      <c r="BM955" s="67"/>
      <c r="BN955" s="100"/>
      <c r="BO955" s="102"/>
      <c r="BP955" s="67"/>
      <c r="BQ955" s="79"/>
      <c r="BR955" s="67"/>
      <c r="BS955" s="102"/>
      <c r="BT955" s="106"/>
      <c r="BU955" s="107"/>
      <c r="BV955" s="108" t="str">
        <f t="shared" si="17"/>
        <v/>
      </c>
      <c r="BW955" s="108" t="str">
        <f t="shared" si="16"/>
        <v/>
      </c>
      <c r="BX955" s="102" t="str">
        <f t="shared" si="15"/>
        <v/>
      </c>
      <c r="BY955" s="107" t="str">
        <f t="shared" si="5"/>
        <v/>
      </c>
      <c r="BZ955" s="107" t="str">
        <f t="array" ref="BZ955">IF($A955&lt;&gt;"",INDEX(LISTA!$M$2:$N$27,MATCH($BC955,LISTA!$N$2:$N$27,0),1),"")</f>
        <v/>
      </c>
      <c r="CA955" s="67" t="str">
        <f t="shared" si="6"/>
        <v/>
      </c>
      <c r="CB955" s="114" t="str">
        <f t="shared" si="7"/>
        <v/>
      </c>
      <c r="CC955" s="114"/>
    </row>
    <row r="956" ht="22.5" customHeight="1">
      <c r="A956" s="59"/>
      <c r="B956" s="115"/>
      <c r="C956" s="54"/>
      <c r="D956" s="56"/>
      <c r="E956" s="69"/>
      <c r="F956" s="73"/>
      <c r="G956" s="79"/>
      <c r="H956" s="79"/>
      <c r="I956" s="67"/>
      <c r="J956" s="79"/>
      <c r="K956" s="67"/>
      <c r="L956" s="79"/>
      <c r="M956" s="83"/>
      <c r="N956" s="78"/>
      <c r="O956" s="80"/>
      <c r="P956" s="70"/>
      <c r="Q956" s="54"/>
      <c r="R956" s="67"/>
      <c r="S956" s="67"/>
      <c r="T956" s="54"/>
      <c r="U956" s="86"/>
      <c r="V956" s="54"/>
      <c r="W956" s="86"/>
      <c r="X956" s="54"/>
      <c r="Y956" s="78"/>
      <c r="Z956" s="54"/>
      <c r="AA956" s="70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54"/>
      <c r="AR956" s="83"/>
      <c r="AS956" s="83"/>
      <c r="AT956" s="93"/>
      <c r="AU956" s="93"/>
      <c r="AV956" s="93"/>
      <c r="AW956" s="83"/>
      <c r="AX956" s="83"/>
      <c r="AY956" s="83"/>
      <c r="AZ956" s="83"/>
      <c r="BA956" s="83"/>
      <c r="BB956" s="83"/>
      <c r="BC956" s="54"/>
      <c r="BD956" s="54" t="str">
        <f t="shared" si="1"/>
        <v/>
      </c>
      <c r="BE956" s="67"/>
      <c r="BF956" s="67"/>
      <c r="BG956" s="67"/>
      <c r="BH956" s="67"/>
      <c r="BI956" s="67"/>
      <c r="BJ956" s="67"/>
      <c r="BK956" s="67"/>
      <c r="BL956" s="67"/>
      <c r="BM956" s="67"/>
      <c r="BN956" s="100"/>
      <c r="BO956" s="102"/>
      <c r="BP956" s="67"/>
      <c r="BQ956" s="79"/>
      <c r="BR956" s="67"/>
      <c r="BS956" s="102"/>
      <c r="BT956" s="106"/>
      <c r="BU956" s="107"/>
      <c r="BV956" s="108" t="str">
        <f t="shared" si="17"/>
        <v/>
      </c>
      <c r="BW956" s="108" t="str">
        <f t="shared" si="16"/>
        <v/>
      </c>
      <c r="BX956" s="102" t="str">
        <f t="shared" si="15"/>
        <v/>
      </c>
      <c r="BY956" s="107" t="str">
        <f t="shared" si="5"/>
        <v/>
      </c>
      <c r="BZ956" s="107" t="str">
        <f t="array" ref="BZ956">IF($A956&lt;&gt;"",INDEX(LISTA!$M$2:$N$27,MATCH($BC956,LISTA!$N$2:$N$27,0),1),"")</f>
        <v/>
      </c>
      <c r="CA956" s="67" t="str">
        <f t="shared" si="6"/>
        <v/>
      </c>
      <c r="CB956" s="114" t="str">
        <f t="shared" si="7"/>
        <v/>
      </c>
      <c r="CC956" s="114"/>
    </row>
    <row r="957" ht="22.5" customHeight="1">
      <c r="A957" s="59"/>
      <c r="B957" s="115"/>
      <c r="C957" s="54"/>
      <c r="D957" s="56"/>
      <c r="E957" s="69"/>
      <c r="F957" s="73"/>
      <c r="G957" s="79"/>
      <c r="H957" s="79"/>
      <c r="I957" s="67"/>
      <c r="J957" s="79"/>
      <c r="K957" s="67"/>
      <c r="L957" s="79"/>
      <c r="M957" s="83"/>
      <c r="N957" s="78"/>
      <c r="O957" s="80"/>
      <c r="P957" s="70"/>
      <c r="Q957" s="54"/>
      <c r="R957" s="67"/>
      <c r="S957" s="67"/>
      <c r="T957" s="54"/>
      <c r="U957" s="86"/>
      <c r="V957" s="54"/>
      <c r="W957" s="86"/>
      <c r="X957" s="54"/>
      <c r="Y957" s="78"/>
      <c r="Z957" s="54"/>
      <c r="AA957" s="70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54"/>
      <c r="AR957" s="83"/>
      <c r="AS957" s="83"/>
      <c r="AT957" s="93"/>
      <c r="AU957" s="93"/>
      <c r="AV957" s="93"/>
      <c r="AW957" s="83"/>
      <c r="AX957" s="83"/>
      <c r="AY957" s="83"/>
      <c r="AZ957" s="83"/>
      <c r="BA957" s="83"/>
      <c r="BB957" s="83"/>
      <c r="BC957" s="54"/>
      <c r="BD957" s="54" t="str">
        <f t="shared" si="1"/>
        <v/>
      </c>
      <c r="BE957" s="67"/>
      <c r="BF957" s="67"/>
      <c r="BG957" s="67"/>
      <c r="BH957" s="67"/>
      <c r="BI957" s="67"/>
      <c r="BJ957" s="67"/>
      <c r="BK957" s="67"/>
      <c r="BL957" s="67"/>
      <c r="BM957" s="67"/>
      <c r="BN957" s="100"/>
      <c r="BO957" s="102"/>
      <c r="BP957" s="67"/>
      <c r="BQ957" s="79"/>
      <c r="BR957" s="67"/>
      <c r="BS957" s="102"/>
      <c r="BT957" s="106"/>
      <c r="BU957" s="107"/>
      <c r="BV957" s="108" t="str">
        <f t="shared" si="17"/>
        <v/>
      </c>
      <c r="BW957" s="108" t="str">
        <f t="shared" si="16"/>
        <v/>
      </c>
      <c r="BX957" s="102" t="str">
        <f t="shared" si="15"/>
        <v/>
      </c>
      <c r="BY957" s="107" t="str">
        <f t="shared" si="5"/>
        <v/>
      </c>
      <c r="BZ957" s="107" t="str">
        <f t="array" ref="BZ957">IF($A957&lt;&gt;"",INDEX(LISTA!$M$2:$N$27,MATCH($BC957,LISTA!$N$2:$N$27,0),1),"")</f>
        <v/>
      </c>
      <c r="CA957" s="67" t="str">
        <f t="shared" si="6"/>
        <v/>
      </c>
      <c r="CB957" s="114" t="str">
        <f t="shared" si="7"/>
        <v/>
      </c>
      <c r="CC957" s="114"/>
    </row>
    <row r="958" ht="22.5" customHeight="1">
      <c r="A958" s="59"/>
      <c r="B958" s="115"/>
      <c r="C958" s="54"/>
      <c r="D958" s="56"/>
      <c r="E958" s="69"/>
      <c r="F958" s="73"/>
      <c r="G958" s="79"/>
      <c r="H958" s="79"/>
      <c r="I958" s="67"/>
      <c r="J958" s="79"/>
      <c r="K958" s="67"/>
      <c r="L958" s="79"/>
      <c r="M958" s="83"/>
      <c r="N958" s="78"/>
      <c r="O958" s="80"/>
      <c r="P958" s="70"/>
      <c r="Q958" s="54"/>
      <c r="R958" s="67"/>
      <c r="S958" s="67"/>
      <c r="T958" s="54"/>
      <c r="U958" s="86"/>
      <c r="V958" s="54"/>
      <c r="W958" s="86"/>
      <c r="X958" s="54"/>
      <c r="Y958" s="78"/>
      <c r="Z958" s="54"/>
      <c r="AA958" s="70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54"/>
      <c r="AR958" s="83"/>
      <c r="AS958" s="83"/>
      <c r="AT958" s="93"/>
      <c r="AU958" s="93"/>
      <c r="AV958" s="93"/>
      <c r="AW958" s="83"/>
      <c r="AX958" s="83"/>
      <c r="AY958" s="83"/>
      <c r="AZ958" s="83"/>
      <c r="BA958" s="83"/>
      <c r="BB958" s="83"/>
      <c r="BC958" s="54"/>
      <c r="BD958" s="54" t="str">
        <f t="shared" si="1"/>
        <v/>
      </c>
      <c r="BE958" s="67"/>
      <c r="BF958" s="67"/>
      <c r="BG958" s="67"/>
      <c r="BH958" s="67"/>
      <c r="BI958" s="67"/>
      <c r="BJ958" s="67"/>
      <c r="BK958" s="67"/>
      <c r="BL958" s="67"/>
      <c r="BM958" s="67"/>
      <c r="BN958" s="100"/>
      <c r="BO958" s="102"/>
      <c r="BP958" s="67"/>
      <c r="BQ958" s="79"/>
      <c r="BR958" s="67"/>
      <c r="BS958" s="102"/>
      <c r="BT958" s="106"/>
      <c r="BU958" s="107"/>
      <c r="BV958" s="108" t="str">
        <f t="shared" si="17"/>
        <v/>
      </c>
      <c r="BW958" s="108" t="str">
        <f t="shared" si="16"/>
        <v/>
      </c>
      <c r="BX958" s="102" t="str">
        <f t="shared" si="15"/>
        <v/>
      </c>
      <c r="BY958" s="107" t="str">
        <f t="shared" si="5"/>
        <v/>
      </c>
      <c r="BZ958" s="107" t="str">
        <f t="array" ref="BZ958">IF($A958&lt;&gt;"",INDEX(LISTA!$M$2:$N$27,MATCH($BC958,LISTA!$N$2:$N$27,0),1),"")</f>
        <v/>
      </c>
      <c r="CA958" s="67" t="str">
        <f t="shared" si="6"/>
        <v/>
      </c>
      <c r="CB958" s="114" t="str">
        <f t="shared" si="7"/>
        <v/>
      </c>
      <c r="CC958" s="114"/>
    </row>
    <row r="959" ht="22.5" customHeight="1">
      <c r="A959" s="59"/>
      <c r="B959" s="115"/>
      <c r="C959" s="54"/>
      <c r="D959" s="56"/>
      <c r="E959" s="69"/>
      <c r="F959" s="73"/>
      <c r="G959" s="79"/>
      <c r="H959" s="79"/>
      <c r="I959" s="67"/>
      <c r="J959" s="79"/>
      <c r="K959" s="67"/>
      <c r="L959" s="79"/>
      <c r="M959" s="83"/>
      <c r="N959" s="78"/>
      <c r="O959" s="80"/>
      <c r="P959" s="70"/>
      <c r="Q959" s="54"/>
      <c r="R959" s="67"/>
      <c r="S959" s="67"/>
      <c r="T959" s="54"/>
      <c r="U959" s="86"/>
      <c r="V959" s="54"/>
      <c r="W959" s="86"/>
      <c r="X959" s="54"/>
      <c r="Y959" s="78"/>
      <c r="Z959" s="54"/>
      <c r="AA959" s="70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54"/>
      <c r="AR959" s="83"/>
      <c r="AS959" s="83"/>
      <c r="AT959" s="93"/>
      <c r="AU959" s="93"/>
      <c r="AV959" s="93"/>
      <c r="AW959" s="83"/>
      <c r="AX959" s="83"/>
      <c r="AY959" s="83"/>
      <c r="AZ959" s="83"/>
      <c r="BA959" s="83"/>
      <c r="BB959" s="83"/>
      <c r="BC959" s="54"/>
      <c r="BD959" s="54" t="str">
        <f t="shared" si="1"/>
        <v/>
      </c>
      <c r="BE959" s="67"/>
      <c r="BF959" s="67"/>
      <c r="BG959" s="67"/>
      <c r="BH959" s="67"/>
      <c r="BI959" s="67"/>
      <c r="BJ959" s="67"/>
      <c r="BK959" s="67"/>
      <c r="BL959" s="67"/>
      <c r="BM959" s="67"/>
      <c r="BN959" s="100"/>
      <c r="BO959" s="102"/>
      <c r="BP959" s="67"/>
      <c r="BQ959" s="79"/>
      <c r="BR959" s="67"/>
      <c r="BS959" s="102"/>
      <c r="BT959" s="106"/>
      <c r="BU959" s="107"/>
      <c r="BV959" s="108" t="str">
        <f t="shared" si="17"/>
        <v/>
      </c>
      <c r="BW959" s="108" t="str">
        <f t="shared" si="16"/>
        <v/>
      </c>
      <c r="BX959" s="102" t="str">
        <f t="shared" si="15"/>
        <v/>
      </c>
      <c r="BY959" s="107" t="str">
        <f t="shared" si="5"/>
        <v/>
      </c>
      <c r="BZ959" s="107" t="str">
        <f t="array" ref="BZ959">IF($A959&lt;&gt;"",INDEX(LISTA!$M$2:$N$27,MATCH($BC959,LISTA!$N$2:$N$27,0),1),"")</f>
        <v/>
      </c>
      <c r="CA959" s="67" t="str">
        <f t="shared" si="6"/>
        <v/>
      </c>
      <c r="CB959" s="114" t="str">
        <f t="shared" si="7"/>
        <v/>
      </c>
      <c r="CC959" s="114"/>
    </row>
    <row r="960" ht="22.5" customHeight="1">
      <c r="A960" s="59"/>
      <c r="B960" s="115"/>
      <c r="C960" s="54"/>
      <c r="D960" s="56"/>
      <c r="E960" s="69"/>
      <c r="F960" s="73"/>
      <c r="G960" s="79"/>
      <c r="H960" s="79"/>
      <c r="I960" s="67"/>
      <c r="J960" s="79"/>
      <c r="K960" s="67"/>
      <c r="L960" s="79"/>
      <c r="M960" s="83"/>
      <c r="N960" s="78"/>
      <c r="O960" s="80"/>
      <c r="P960" s="70"/>
      <c r="Q960" s="54"/>
      <c r="R960" s="67"/>
      <c r="S960" s="67"/>
      <c r="T960" s="54"/>
      <c r="U960" s="86"/>
      <c r="V960" s="54"/>
      <c r="W960" s="86"/>
      <c r="X960" s="54"/>
      <c r="Y960" s="78"/>
      <c r="Z960" s="54"/>
      <c r="AA960" s="70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54"/>
      <c r="AR960" s="83"/>
      <c r="AS960" s="83"/>
      <c r="AT960" s="93"/>
      <c r="AU960" s="93"/>
      <c r="AV960" s="93"/>
      <c r="AW960" s="83"/>
      <c r="AX960" s="83"/>
      <c r="AY960" s="83"/>
      <c r="AZ960" s="83"/>
      <c r="BA960" s="83"/>
      <c r="BB960" s="83"/>
      <c r="BC960" s="54"/>
      <c r="BD960" s="54" t="str">
        <f t="shared" si="1"/>
        <v/>
      </c>
      <c r="BE960" s="67"/>
      <c r="BF960" s="67"/>
      <c r="BG960" s="67"/>
      <c r="BH960" s="67"/>
      <c r="BI960" s="67"/>
      <c r="BJ960" s="67"/>
      <c r="BK960" s="67"/>
      <c r="BL960" s="67"/>
      <c r="BM960" s="67"/>
      <c r="BN960" s="100"/>
      <c r="BO960" s="102"/>
      <c r="BP960" s="67"/>
      <c r="BQ960" s="79"/>
      <c r="BR960" s="67"/>
      <c r="BS960" s="102"/>
      <c r="BT960" s="106"/>
      <c r="BU960" s="107"/>
      <c r="BV960" s="108" t="str">
        <f t="shared" si="17"/>
        <v/>
      </c>
      <c r="BW960" s="108" t="str">
        <f t="shared" si="16"/>
        <v/>
      </c>
      <c r="BX960" s="102" t="str">
        <f t="shared" si="15"/>
        <v/>
      </c>
      <c r="BY960" s="107" t="str">
        <f t="shared" si="5"/>
        <v/>
      </c>
      <c r="BZ960" s="107" t="str">
        <f t="array" ref="BZ960">IF($A960&lt;&gt;"",INDEX(LISTA!$M$2:$N$27,MATCH($BC960,LISTA!$N$2:$N$27,0),1),"")</f>
        <v/>
      </c>
      <c r="CA960" s="67" t="str">
        <f t="shared" si="6"/>
        <v/>
      </c>
      <c r="CB960" s="114" t="str">
        <f t="shared" si="7"/>
        <v/>
      </c>
      <c r="CC960" s="114"/>
    </row>
    <row r="961" ht="22.5" customHeight="1">
      <c r="A961" s="59"/>
      <c r="B961" s="115"/>
      <c r="C961" s="54"/>
      <c r="D961" s="56"/>
      <c r="E961" s="69"/>
      <c r="F961" s="73"/>
      <c r="G961" s="79"/>
      <c r="H961" s="79"/>
      <c r="I961" s="67"/>
      <c r="J961" s="79"/>
      <c r="K961" s="67"/>
      <c r="L961" s="79"/>
      <c r="M961" s="83"/>
      <c r="N961" s="78"/>
      <c r="O961" s="80"/>
      <c r="P961" s="70"/>
      <c r="Q961" s="54"/>
      <c r="R961" s="67"/>
      <c r="S961" s="67"/>
      <c r="T961" s="54"/>
      <c r="U961" s="86"/>
      <c r="V961" s="54"/>
      <c r="W961" s="86"/>
      <c r="X961" s="54"/>
      <c r="Y961" s="78"/>
      <c r="Z961" s="54"/>
      <c r="AA961" s="70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54"/>
      <c r="AR961" s="83"/>
      <c r="AS961" s="83"/>
      <c r="AT961" s="93"/>
      <c r="AU961" s="93"/>
      <c r="AV961" s="93"/>
      <c r="AW961" s="83"/>
      <c r="AX961" s="83"/>
      <c r="AY961" s="83"/>
      <c r="AZ961" s="83"/>
      <c r="BA961" s="83"/>
      <c r="BB961" s="83"/>
      <c r="BC961" s="54"/>
      <c r="BD961" s="54" t="str">
        <f t="shared" si="1"/>
        <v/>
      </c>
      <c r="BE961" s="67"/>
      <c r="BF961" s="67"/>
      <c r="BG961" s="67"/>
      <c r="BH961" s="67"/>
      <c r="BI961" s="67"/>
      <c r="BJ961" s="67"/>
      <c r="BK961" s="67"/>
      <c r="BL961" s="67"/>
      <c r="BM961" s="67"/>
      <c r="BN961" s="100"/>
      <c r="BO961" s="102"/>
      <c r="BP961" s="67"/>
      <c r="BQ961" s="79"/>
      <c r="BR961" s="67"/>
      <c r="BS961" s="102"/>
      <c r="BT961" s="106"/>
      <c r="BU961" s="107"/>
      <c r="BV961" s="108" t="str">
        <f t="shared" si="17"/>
        <v/>
      </c>
      <c r="BW961" s="108" t="str">
        <f t="shared" si="16"/>
        <v/>
      </c>
      <c r="BX961" s="102" t="str">
        <f t="shared" si="15"/>
        <v/>
      </c>
      <c r="BY961" s="107" t="str">
        <f t="shared" si="5"/>
        <v/>
      </c>
      <c r="BZ961" s="107" t="str">
        <f t="array" ref="BZ961">IF($A961&lt;&gt;"",INDEX(LISTA!$M$2:$N$27,MATCH($BC961,LISTA!$N$2:$N$27,0),1),"")</f>
        <v/>
      </c>
      <c r="CA961" s="67" t="str">
        <f t="shared" si="6"/>
        <v/>
      </c>
      <c r="CB961" s="114" t="str">
        <f t="shared" si="7"/>
        <v/>
      </c>
      <c r="CC961" s="114"/>
    </row>
    <row r="962" ht="22.5" customHeight="1">
      <c r="A962" s="59"/>
      <c r="B962" s="115"/>
      <c r="C962" s="54"/>
      <c r="D962" s="56"/>
      <c r="E962" s="69"/>
      <c r="F962" s="73"/>
      <c r="G962" s="79"/>
      <c r="H962" s="79"/>
      <c r="I962" s="67"/>
      <c r="J962" s="79"/>
      <c r="K962" s="67"/>
      <c r="L962" s="79"/>
      <c r="M962" s="83"/>
      <c r="N962" s="78"/>
      <c r="O962" s="80"/>
      <c r="P962" s="70"/>
      <c r="Q962" s="54"/>
      <c r="R962" s="67"/>
      <c r="S962" s="67"/>
      <c r="T962" s="54"/>
      <c r="U962" s="86"/>
      <c r="V962" s="54"/>
      <c r="W962" s="86"/>
      <c r="X962" s="54"/>
      <c r="Y962" s="78"/>
      <c r="Z962" s="54"/>
      <c r="AA962" s="70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54"/>
      <c r="AR962" s="83"/>
      <c r="AS962" s="83"/>
      <c r="AT962" s="93"/>
      <c r="AU962" s="93"/>
      <c r="AV962" s="93"/>
      <c r="AW962" s="83"/>
      <c r="AX962" s="83"/>
      <c r="AY962" s="83"/>
      <c r="AZ962" s="83"/>
      <c r="BA962" s="83"/>
      <c r="BB962" s="83"/>
      <c r="BC962" s="54"/>
      <c r="BD962" s="54" t="str">
        <f t="shared" si="1"/>
        <v/>
      </c>
      <c r="BE962" s="67"/>
      <c r="BF962" s="67"/>
      <c r="BG962" s="67"/>
      <c r="BH962" s="67"/>
      <c r="BI962" s="67"/>
      <c r="BJ962" s="67"/>
      <c r="BK962" s="67"/>
      <c r="BL962" s="67"/>
      <c r="BM962" s="67"/>
      <c r="BN962" s="100"/>
      <c r="BO962" s="102"/>
      <c r="BP962" s="67"/>
      <c r="BQ962" s="79"/>
      <c r="BR962" s="67"/>
      <c r="BS962" s="102"/>
      <c r="BT962" s="106"/>
      <c r="BU962" s="107"/>
      <c r="BV962" s="108" t="str">
        <f t="shared" si="17"/>
        <v/>
      </c>
      <c r="BW962" s="108" t="str">
        <f t="shared" si="16"/>
        <v/>
      </c>
      <c r="BX962" s="102" t="str">
        <f t="shared" si="15"/>
        <v/>
      </c>
      <c r="BY962" s="107" t="str">
        <f t="shared" si="5"/>
        <v/>
      </c>
      <c r="BZ962" s="107" t="str">
        <f t="array" ref="BZ962">IF($A962&lt;&gt;"",INDEX(LISTA!$M$2:$N$27,MATCH($BC962,LISTA!$N$2:$N$27,0),1),"")</f>
        <v/>
      </c>
      <c r="CA962" s="67" t="str">
        <f t="shared" si="6"/>
        <v/>
      </c>
      <c r="CB962" s="114" t="str">
        <f t="shared" si="7"/>
        <v/>
      </c>
      <c r="CC962" s="114"/>
    </row>
    <row r="963" ht="22.5" customHeight="1">
      <c r="A963" s="59"/>
      <c r="B963" s="115"/>
      <c r="C963" s="54"/>
      <c r="D963" s="56"/>
      <c r="E963" s="69"/>
      <c r="F963" s="73"/>
      <c r="G963" s="79"/>
      <c r="H963" s="79"/>
      <c r="I963" s="67"/>
      <c r="J963" s="79"/>
      <c r="K963" s="67"/>
      <c r="L963" s="79"/>
      <c r="M963" s="83"/>
      <c r="N963" s="78"/>
      <c r="O963" s="80"/>
      <c r="P963" s="70"/>
      <c r="Q963" s="54"/>
      <c r="R963" s="67"/>
      <c r="S963" s="67"/>
      <c r="T963" s="54"/>
      <c r="U963" s="86"/>
      <c r="V963" s="54"/>
      <c r="W963" s="86"/>
      <c r="X963" s="54"/>
      <c r="Y963" s="78"/>
      <c r="Z963" s="54"/>
      <c r="AA963" s="70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54"/>
      <c r="AR963" s="83"/>
      <c r="AS963" s="83"/>
      <c r="AT963" s="93"/>
      <c r="AU963" s="93"/>
      <c r="AV963" s="93"/>
      <c r="AW963" s="83"/>
      <c r="AX963" s="83"/>
      <c r="AY963" s="83"/>
      <c r="AZ963" s="83"/>
      <c r="BA963" s="83"/>
      <c r="BB963" s="83"/>
      <c r="BC963" s="54"/>
      <c r="BD963" s="54" t="str">
        <f t="shared" si="1"/>
        <v/>
      </c>
      <c r="BE963" s="67"/>
      <c r="BF963" s="67"/>
      <c r="BG963" s="67"/>
      <c r="BH963" s="67"/>
      <c r="BI963" s="67"/>
      <c r="BJ963" s="67"/>
      <c r="BK963" s="67"/>
      <c r="BL963" s="67"/>
      <c r="BM963" s="67"/>
      <c r="BN963" s="100"/>
      <c r="BO963" s="102"/>
      <c r="BP963" s="67"/>
      <c r="BQ963" s="79"/>
      <c r="BR963" s="67"/>
      <c r="BS963" s="102"/>
      <c r="BT963" s="106"/>
      <c r="BU963" s="107"/>
      <c r="BV963" s="108" t="str">
        <f t="shared" si="17"/>
        <v/>
      </c>
      <c r="BW963" s="108" t="str">
        <f t="shared" si="16"/>
        <v/>
      </c>
      <c r="BX963" s="102" t="str">
        <f t="shared" si="15"/>
        <v/>
      </c>
      <c r="BY963" s="107" t="str">
        <f t="shared" si="5"/>
        <v/>
      </c>
      <c r="BZ963" s="107" t="str">
        <f t="array" ref="BZ963">IF($A963&lt;&gt;"",INDEX(LISTA!$M$2:$N$27,MATCH($BC963,LISTA!$N$2:$N$27,0),1),"")</f>
        <v/>
      </c>
      <c r="CA963" s="67" t="str">
        <f t="shared" si="6"/>
        <v/>
      </c>
      <c r="CB963" s="114" t="str">
        <f t="shared" si="7"/>
        <v/>
      </c>
      <c r="CC963" s="114"/>
    </row>
    <row r="964" ht="22.5" customHeight="1">
      <c r="A964" s="59"/>
      <c r="B964" s="115"/>
      <c r="C964" s="54"/>
      <c r="D964" s="56"/>
      <c r="E964" s="69"/>
      <c r="F964" s="73"/>
      <c r="G964" s="79"/>
      <c r="H964" s="79"/>
      <c r="I964" s="67"/>
      <c r="J964" s="79"/>
      <c r="K964" s="67"/>
      <c r="L964" s="79"/>
      <c r="M964" s="83"/>
      <c r="N964" s="78"/>
      <c r="O964" s="80"/>
      <c r="P964" s="70"/>
      <c r="Q964" s="54"/>
      <c r="R964" s="67"/>
      <c r="S964" s="67"/>
      <c r="T964" s="54"/>
      <c r="U964" s="86"/>
      <c r="V964" s="54"/>
      <c r="W964" s="86"/>
      <c r="X964" s="54"/>
      <c r="Y964" s="78"/>
      <c r="Z964" s="54"/>
      <c r="AA964" s="70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54"/>
      <c r="AR964" s="83"/>
      <c r="AS964" s="83"/>
      <c r="AT964" s="93"/>
      <c r="AU964" s="93"/>
      <c r="AV964" s="93"/>
      <c r="AW964" s="83"/>
      <c r="AX964" s="83"/>
      <c r="AY964" s="83"/>
      <c r="AZ964" s="83"/>
      <c r="BA964" s="83"/>
      <c r="BB964" s="83"/>
      <c r="BC964" s="54"/>
      <c r="BD964" s="54" t="str">
        <f t="shared" si="1"/>
        <v/>
      </c>
      <c r="BE964" s="67"/>
      <c r="BF964" s="67"/>
      <c r="BG964" s="67"/>
      <c r="BH964" s="67"/>
      <c r="BI964" s="67"/>
      <c r="BJ964" s="67"/>
      <c r="BK964" s="67"/>
      <c r="BL964" s="67"/>
      <c r="BM964" s="67"/>
      <c r="BN964" s="100"/>
      <c r="BO964" s="102"/>
      <c r="BP964" s="67"/>
      <c r="BQ964" s="79"/>
      <c r="BR964" s="67"/>
      <c r="BS964" s="102"/>
      <c r="BT964" s="106"/>
      <c r="BU964" s="107"/>
      <c r="BV964" s="108" t="str">
        <f t="shared" si="17"/>
        <v/>
      </c>
      <c r="BW964" s="108" t="str">
        <f t="shared" si="16"/>
        <v/>
      </c>
      <c r="BX964" s="102" t="str">
        <f t="shared" si="15"/>
        <v/>
      </c>
      <c r="BY964" s="107" t="str">
        <f t="shared" si="5"/>
        <v/>
      </c>
      <c r="BZ964" s="107" t="str">
        <f t="array" ref="BZ964">IF($A964&lt;&gt;"",INDEX(LISTA!$M$2:$N$27,MATCH($BC964,LISTA!$N$2:$N$27,0),1),"")</f>
        <v/>
      </c>
      <c r="CA964" s="67" t="str">
        <f t="shared" si="6"/>
        <v/>
      </c>
      <c r="CB964" s="114" t="str">
        <f t="shared" si="7"/>
        <v/>
      </c>
      <c r="CC964" s="114"/>
    </row>
    <row r="965" ht="22.5" customHeight="1">
      <c r="A965" s="59"/>
      <c r="B965" s="115"/>
      <c r="C965" s="54"/>
      <c r="D965" s="56"/>
      <c r="E965" s="69"/>
      <c r="F965" s="73"/>
      <c r="G965" s="79"/>
      <c r="H965" s="79"/>
      <c r="I965" s="67"/>
      <c r="J965" s="79"/>
      <c r="K965" s="67"/>
      <c r="L965" s="79"/>
      <c r="M965" s="83"/>
      <c r="N965" s="78"/>
      <c r="O965" s="80"/>
      <c r="P965" s="70"/>
      <c r="Q965" s="54"/>
      <c r="R965" s="67"/>
      <c r="S965" s="67"/>
      <c r="T965" s="54"/>
      <c r="U965" s="86"/>
      <c r="V965" s="54"/>
      <c r="W965" s="86"/>
      <c r="X965" s="54"/>
      <c r="Y965" s="78"/>
      <c r="Z965" s="54"/>
      <c r="AA965" s="70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54"/>
      <c r="AR965" s="83"/>
      <c r="AS965" s="83"/>
      <c r="AT965" s="93"/>
      <c r="AU965" s="93"/>
      <c r="AV965" s="93"/>
      <c r="AW965" s="83"/>
      <c r="AX965" s="83"/>
      <c r="AY965" s="83"/>
      <c r="AZ965" s="83"/>
      <c r="BA965" s="83"/>
      <c r="BB965" s="83"/>
      <c r="BC965" s="54"/>
      <c r="BD965" s="54" t="str">
        <f t="shared" si="1"/>
        <v/>
      </c>
      <c r="BE965" s="67"/>
      <c r="BF965" s="67"/>
      <c r="BG965" s="67"/>
      <c r="BH965" s="67"/>
      <c r="BI965" s="67"/>
      <c r="BJ965" s="67"/>
      <c r="BK965" s="67"/>
      <c r="BL965" s="67"/>
      <c r="BM965" s="67"/>
      <c r="BN965" s="100"/>
      <c r="BO965" s="102"/>
      <c r="BP965" s="67"/>
      <c r="BQ965" s="79"/>
      <c r="BR965" s="67"/>
      <c r="BS965" s="102"/>
      <c r="BT965" s="106"/>
      <c r="BU965" s="107"/>
      <c r="BV965" s="108" t="str">
        <f t="shared" si="17"/>
        <v/>
      </c>
      <c r="BW965" s="108" t="str">
        <f t="shared" si="16"/>
        <v/>
      </c>
      <c r="BX965" s="102" t="str">
        <f t="shared" si="15"/>
        <v/>
      </c>
      <c r="BY965" s="107" t="str">
        <f t="shared" si="5"/>
        <v/>
      </c>
      <c r="BZ965" s="107" t="str">
        <f t="array" ref="BZ965">IF($A965&lt;&gt;"",INDEX(LISTA!$M$2:$N$27,MATCH($BC965,LISTA!$N$2:$N$27,0),1),"")</f>
        <v/>
      </c>
      <c r="CA965" s="67" t="str">
        <f t="shared" si="6"/>
        <v/>
      </c>
      <c r="CB965" s="114" t="str">
        <f t="shared" si="7"/>
        <v/>
      </c>
      <c r="CC965" s="114"/>
    </row>
    <row r="966" ht="22.5" customHeight="1">
      <c r="A966" s="59"/>
      <c r="B966" s="115"/>
      <c r="C966" s="54"/>
      <c r="D966" s="56"/>
      <c r="E966" s="69"/>
      <c r="F966" s="73"/>
      <c r="G966" s="79"/>
      <c r="H966" s="79"/>
      <c r="I966" s="67"/>
      <c r="J966" s="79"/>
      <c r="K966" s="67"/>
      <c r="L966" s="79"/>
      <c r="M966" s="83"/>
      <c r="N966" s="78"/>
      <c r="O966" s="80"/>
      <c r="P966" s="70"/>
      <c r="Q966" s="54"/>
      <c r="R966" s="67"/>
      <c r="S966" s="67"/>
      <c r="T966" s="54"/>
      <c r="U966" s="86"/>
      <c r="V966" s="54"/>
      <c r="W966" s="86"/>
      <c r="X966" s="54"/>
      <c r="Y966" s="78"/>
      <c r="Z966" s="54"/>
      <c r="AA966" s="70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54"/>
      <c r="AR966" s="83"/>
      <c r="AS966" s="83"/>
      <c r="AT966" s="93"/>
      <c r="AU966" s="93"/>
      <c r="AV966" s="93"/>
      <c r="AW966" s="83"/>
      <c r="AX966" s="83"/>
      <c r="AY966" s="83"/>
      <c r="AZ966" s="83"/>
      <c r="BA966" s="83"/>
      <c r="BB966" s="83"/>
      <c r="BC966" s="54"/>
      <c r="BD966" s="54" t="str">
        <f t="shared" si="1"/>
        <v/>
      </c>
      <c r="BE966" s="67"/>
      <c r="BF966" s="67"/>
      <c r="BG966" s="67"/>
      <c r="BH966" s="67"/>
      <c r="BI966" s="67"/>
      <c r="BJ966" s="67"/>
      <c r="BK966" s="67"/>
      <c r="BL966" s="67"/>
      <c r="BM966" s="67"/>
      <c r="BN966" s="100"/>
      <c r="BO966" s="102"/>
      <c r="BP966" s="67"/>
      <c r="BQ966" s="79"/>
      <c r="BR966" s="67"/>
      <c r="BS966" s="102"/>
      <c r="BT966" s="106"/>
      <c r="BU966" s="107"/>
      <c r="BV966" s="108" t="str">
        <f t="shared" si="17"/>
        <v/>
      </c>
      <c r="BW966" s="108" t="str">
        <f t="shared" si="16"/>
        <v/>
      </c>
      <c r="BX966" s="102" t="str">
        <f t="shared" si="15"/>
        <v/>
      </c>
      <c r="BY966" s="107" t="str">
        <f t="shared" si="5"/>
        <v/>
      </c>
      <c r="BZ966" s="107" t="str">
        <f t="array" ref="BZ966">IF($A966&lt;&gt;"",INDEX(LISTA!$M$2:$N$27,MATCH($BC966,LISTA!$N$2:$N$27,0),1),"")</f>
        <v/>
      </c>
      <c r="CA966" s="67" t="str">
        <f t="shared" si="6"/>
        <v/>
      </c>
      <c r="CB966" s="114" t="str">
        <f t="shared" si="7"/>
        <v/>
      </c>
      <c r="CC966" s="114"/>
    </row>
    <row r="967" ht="22.5" customHeight="1">
      <c r="A967" s="59"/>
      <c r="B967" s="115"/>
      <c r="C967" s="54"/>
      <c r="D967" s="56"/>
      <c r="E967" s="69"/>
      <c r="F967" s="73"/>
      <c r="G967" s="79"/>
      <c r="H967" s="79"/>
      <c r="I967" s="67"/>
      <c r="J967" s="79"/>
      <c r="K967" s="67"/>
      <c r="L967" s="79"/>
      <c r="M967" s="83"/>
      <c r="N967" s="78"/>
      <c r="O967" s="80"/>
      <c r="P967" s="70"/>
      <c r="Q967" s="54"/>
      <c r="R967" s="67"/>
      <c r="S967" s="67"/>
      <c r="T967" s="54"/>
      <c r="U967" s="86"/>
      <c r="V967" s="54"/>
      <c r="W967" s="86"/>
      <c r="X967" s="54"/>
      <c r="Y967" s="78"/>
      <c r="Z967" s="54"/>
      <c r="AA967" s="70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54"/>
      <c r="AR967" s="83"/>
      <c r="AS967" s="83"/>
      <c r="AT967" s="93"/>
      <c r="AU967" s="93"/>
      <c r="AV967" s="93"/>
      <c r="AW967" s="83"/>
      <c r="AX967" s="83"/>
      <c r="AY967" s="83"/>
      <c r="AZ967" s="83"/>
      <c r="BA967" s="83"/>
      <c r="BB967" s="83"/>
      <c r="BC967" s="54"/>
      <c r="BD967" s="54" t="str">
        <f t="shared" si="1"/>
        <v/>
      </c>
      <c r="BE967" s="67"/>
      <c r="BF967" s="67"/>
      <c r="BG967" s="67"/>
      <c r="BH967" s="67"/>
      <c r="BI967" s="67"/>
      <c r="BJ967" s="67"/>
      <c r="BK967" s="67"/>
      <c r="BL967" s="67"/>
      <c r="BM967" s="67"/>
      <c r="BN967" s="100"/>
      <c r="BO967" s="102"/>
      <c r="BP967" s="67"/>
      <c r="BQ967" s="79"/>
      <c r="BR967" s="67"/>
      <c r="BS967" s="102"/>
      <c r="BT967" s="106"/>
      <c r="BU967" s="107"/>
      <c r="BV967" s="108" t="str">
        <f t="shared" si="17"/>
        <v/>
      </c>
      <c r="BW967" s="108" t="str">
        <f t="shared" si="16"/>
        <v/>
      </c>
      <c r="BX967" s="102" t="str">
        <f t="shared" si="15"/>
        <v/>
      </c>
      <c r="BY967" s="107" t="str">
        <f t="shared" si="5"/>
        <v/>
      </c>
      <c r="BZ967" s="107" t="str">
        <f t="array" ref="BZ967">IF($A967&lt;&gt;"",INDEX(LISTA!$M$2:$N$27,MATCH($BC967,LISTA!$N$2:$N$27,0),1),"")</f>
        <v/>
      </c>
      <c r="CA967" s="67" t="str">
        <f t="shared" si="6"/>
        <v/>
      </c>
      <c r="CB967" s="114" t="str">
        <f t="shared" si="7"/>
        <v/>
      </c>
      <c r="CC967" s="114"/>
    </row>
    <row r="968" ht="22.5" customHeight="1">
      <c r="A968" s="59"/>
      <c r="B968" s="115"/>
      <c r="C968" s="54"/>
      <c r="D968" s="56"/>
      <c r="E968" s="69"/>
      <c r="F968" s="73"/>
      <c r="G968" s="79"/>
      <c r="H968" s="79"/>
      <c r="I968" s="67"/>
      <c r="J968" s="79"/>
      <c r="K968" s="67"/>
      <c r="L968" s="79"/>
      <c r="M968" s="83"/>
      <c r="N968" s="78"/>
      <c r="O968" s="80"/>
      <c r="P968" s="70"/>
      <c r="Q968" s="54"/>
      <c r="R968" s="67"/>
      <c r="S968" s="67"/>
      <c r="T968" s="54"/>
      <c r="U968" s="86"/>
      <c r="V968" s="54"/>
      <c r="W968" s="86"/>
      <c r="X968" s="54"/>
      <c r="Y968" s="78"/>
      <c r="Z968" s="54"/>
      <c r="AA968" s="70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54"/>
      <c r="AR968" s="83"/>
      <c r="AS968" s="83"/>
      <c r="AT968" s="93"/>
      <c r="AU968" s="93"/>
      <c r="AV968" s="93"/>
      <c r="AW968" s="83"/>
      <c r="AX968" s="83"/>
      <c r="AY968" s="83"/>
      <c r="AZ968" s="83"/>
      <c r="BA968" s="83"/>
      <c r="BB968" s="83"/>
      <c r="BC968" s="54"/>
      <c r="BD968" s="54" t="str">
        <f t="shared" si="1"/>
        <v/>
      </c>
      <c r="BE968" s="67"/>
      <c r="BF968" s="67"/>
      <c r="BG968" s="67"/>
      <c r="BH968" s="67"/>
      <c r="BI968" s="67"/>
      <c r="BJ968" s="67"/>
      <c r="BK968" s="67"/>
      <c r="BL968" s="67"/>
      <c r="BM968" s="67"/>
      <c r="BN968" s="100"/>
      <c r="BO968" s="102"/>
      <c r="BP968" s="67"/>
      <c r="BQ968" s="79"/>
      <c r="BR968" s="67"/>
      <c r="BS968" s="102"/>
      <c r="BT968" s="106"/>
      <c r="BU968" s="107"/>
      <c r="BV968" s="108" t="str">
        <f t="shared" si="17"/>
        <v/>
      </c>
      <c r="BW968" s="108" t="str">
        <f t="shared" si="16"/>
        <v/>
      </c>
      <c r="BX968" s="102" t="str">
        <f t="shared" si="15"/>
        <v/>
      </c>
      <c r="BY968" s="107" t="str">
        <f t="shared" si="5"/>
        <v/>
      </c>
      <c r="BZ968" s="107" t="str">
        <f t="array" ref="BZ968">IF($A968&lt;&gt;"",INDEX(LISTA!$M$2:$N$27,MATCH($BC968,LISTA!$N$2:$N$27,0),1),"")</f>
        <v/>
      </c>
      <c r="CA968" s="67" t="str">
        <f t="shared" si="6"/>
        <v/>
      </c>
      <c r="CB968" s="114" t="str">
        <f t="shared" si="7"/>
        <v/>
      </c>
      <c r="CC968" s="114"/>
    </row>
    <row r="969" ht="22.5" customHeight="1">
      <c r="A969" s="59"/>
      <c r="B969" s="115"/>
      <c r="C969" s="54"/>
      <c r="D969" s="56"/>
      <c r="E969" s="69"/>
      <c r="F969" s="73"/>
      <c r="G969" s="79"/>
      <c r="H969" s="79"/>
      <c r="I969" s="67"/>
      <c r="J969" s="79"/>
      <c r="K969" s="67"/>
      <c r="L969" s="79"/>
      <c r="M969" s="83"/>
      <c r="N969" s="78"/>
      <c r="O969" s="80"/>
      <c r="P969" s="70"/>
      <c r="Q969" s="54"/>
      <c r="R969" s="67"/>
      <c r="S969" s="67"/>
      <c r="T969" s="54"/>
      <c r="U969" s="86"/>
      <c r="V969" s="54"/>
      <c r="W969" s="86"/>
      <c r="X969" s="54"/>
      <c r="Y969" s="78"/>
      <c r="Z969" s="54"/>
      <c r="AA969" s="70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54"/>
      <c r="AR969" s="83"/>
      <c r="AS969" s="83"/>
      <c r="AT969" s="93"/>
      <c r="AU969" s="93"/>
      <c r="AV969" s="93"/>
      <c r="AW969" s="83"/>
      <c r="AX969" s="83"/>
      <c r="AY969" s="83"/>
      <c r="AZ969" s="83"/>
      <c r="BA969" s="83"/>
      <c r="BB969" s="83"/>
      <c r="BC969" s="54"/>
      <c r="BD969" s="54" t="str">
        <f t="shared" si="1"/>
        <v/>
      </c>
      <c r="BE969" s="67"/>
      <c r="BF969" s="67"/>
      <c r="BG969" s="67"/>
      <c r="BH969" s="67"/>
      <c r="BI969" s="67"/>
      <c r="BJ969" s="67"/>
      <c r="BK969" s="67"/>
      <c r="BL969" s="67"/>
      <c r="BM969" s="67"/>
      <c r="BN969" s="100"/>
      <c r="BO969" s="102"/>
      <c r="BP969" s="67"/>
      <c r="BQ969" s="79"/>
      <c r="BR969" s="67"/>
      <c r="BS969" s="102"/>
      <c r="BT969" s="106"/>
      <c r="BU969" s="107"/>
      <c r="BV969" s="108" t="str">
        <f t="shared" si="17"/>
        <v/>
      </c>
      <c r="BW969" s="108" t="str">
        <f t="shared" si="16"/>
        <v/>
      </c>
      <c r="BX969" s="102" t="str">
        <f t="shared" si="15"/>
        <v/>
      </c>
      <c r="BY969" s="107" t="str">
        <f t="shared" si="5"/>
        <v/>
      </c>
      <c r="BZ969" s="107" t="str">
        <f t="array" ref="BZ969">IF($A969&lt;&gt;"",INDEX(LISTA!$M$2:$N$27,MATCH($BC969,LISTA!$N$2:$N$27,0),1),"")</f>
        <v/>
      </c>
      <c r="CA969" s="67" t="str">
        <f t="shared" si="6"/>
        <v/>
      </c>
      <c r="CB969" s="114" t="str">
        <f t="shared" si="7"/>
        <v/>
      </c>
      <c r="CC969" s="114"/>
    </row>
    <row r="970" ht="22.5" customHeight="1">
      <c r="A970" s="59"/>
      <c r="B970" s="115"/>
      <c r="C970" s="54"/>
      <c r="D970" s="56"/>
      <c r="E970" s="69"/>
      <c r="F970" s="73"/>
      <c r="G970" s="79"/>
      <c r="H970" s="79"/>
      <c r="I970" s="67"/>
      <c r="J970" s="79"/>
      <c r="K970" s="67"/>
      <c r="L970" s="79"/>
      <c r="M970" s="83"/>
      <c r="N970" s="78"/>
      <c r="O970" s="80"/>
      <c r="P970" s="70"/>
      <c r="Q970" s="54"/>
      <c r="R970" s="67"/>
      <c r="S970" s="67"/>
      <c r="T970" s="54"/>
      <c r="U970" s="86"/>
      <c r="V970" s="54"/>
      <c r="W970" s="86"/>
      <c r="X970" s="54"/>
      <c r="Y970" s="78"/>
      <c r="Z970" s="54"/>
      <c r="AA970" s="70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54"/>
      <c r="AR970" s="83"/>
      <c r="AS970" s="83"/>
      <c r="AT970" s="93"/>
      <c r="AU970" s="93"/>
      <c r="AV970" s="93"/>
      <c r="AW970" s="83"/>
      <c r="AX970" s="83"/>
      <c r="AY970" s="83"/>
      <c r="AZ970" s="83"/>
      <c r="BA970" s="83"/>
      <c r="BB970" s="83"/>
      <c r="BC970" s="54"/>
      <c r="BD970" s="54" t="str">
        <f t="shared" si="1"/>
        <v/>
      </c>
      <c r="BE970" s="67"/>
      <c r="BF970" s="67"/>
      <c r="BG970" s="67"/>
      <c r="BH970" s="67"/>
      <c r="BI970" s="67"/>
      <c r="BJ970" s="67"/>
      <c r="BK970" s="67"/>
      <c r="BL970" s="67"/>
      <c r="BM970" s="67"/>
      <c r="BN970" s="100"/>
      <c r="BO970" s="102"/>
      <c r="BP970" s="67"/>
      <c r="BQ970" s="79"/>
      <c r="BR970" s="67"/>
      <c r="BS970" s="102"/>
      <c r="BT970" s="106"/>
      <c r="BU970" s="107"/>
      <c r="BV970" s="108" t="str">
        <f t="shared" si="17"/>
        <v/>
      </c>
      <c r="BW970" s="108" t="str">
        <f t="shared" si="16"/>
        <v/>
      </c>
      <c r="BX970" s="102" t="str">
        <f t="shared" si="15"/>
        <v/>
      </c>
      <c r="BY970" s="107" t="str">
        <f t="shared" si="5"/>
        <v/>
      </c>
      <c r="BZ970" s="107" t="str">
        <f t="array" ref="BZ970">IF($A970&lt;&gt;"",INDEX(LISTA!$M$2:$N$27,MATCH($BC970,LISTA!$N$2:$N$27,0),1),"")</f>
        <v/>
      </c>
      <c r="CA970" s="67" t="str">
        <f t="shared" si="6"/>
        <v/>
      </c>
      <c r="CB970" s="114" t="str">
        <f t="shared" si="7"/>
        <v/>
      </c>
      <c r="CC970" s="114"/>
    </row>
    <row r="971" ht="22.5" customHeight="1">
      <c r="A971" s="59"/>
      <c r="B971" s="115"/>
      <c r="C971" s="54"/>
      <c r="D971" s="56"/>
      <c r="E971" s="69"/>
      <c r="F971" s="73"/>
      <c r="G971" s="79"/>
      <c r="H971" s="79"/>
      <c r="I971" s="67"/>
      <c r="J971" s="79"/>
      <c r="K971" s="67"/>
      <c r="L971" s="79"/>
      <c r="M971" s="83"/>
      <c r="N971" s="78"/>
      <c r="O971" s="80"/>
      <c r="P971" s="70"/>
      <c r="Q971" s="54"/>
      <c r="R971" s="67"/>
      <c r="S971" s="67"/>
      <c r="T971" s="54"/>
      <c r="U971" s="86"/>
      <c r="V971" s="54"/>
      <c r="W971" s="86"/>
      <c r="X971" s="54"/>
      <c r="Y971" s="78"/>
      <c r="Z971" s="54"/>
      <c r="AA971" s="70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54"/>
      <c r="AR971" s="83"/>
      <c r="AS971" s="83"/>
      <c r="AT971" s="93"/>
      <c r="AU971" s="93"/>
      <c r="AV971" s="93"/>
      <c r="AW971" s="83"/>
      <c r="AX971" s="83"/>
      <c r="AY971" s="83"/>
      <c r="AZ971" s="83"/>
      <c r="BA971" s="83"/>
      <c r="BB971" s="83"/>
      <c r="BC971" s="54"/>
      <c r="BD971" s="54" t="str">
        <f t="shared" si="1"/>
        <v/>
      </c>
      <c r="BE971" s="67"/>
      <c r="BF971" s="67"/>
      <c r="BG971" s="67"/>
      <c r="BH971" s="67"/>
      <c r="BI971" s="67"/>
      <c r="BJ971" s="67"/>
      <c r="BK971" s="67"/>
      <c r="BL971" s="67"/>
      <c r="BM971" s="67"/>
      <c r="BN971" s="100"/>
      <c r="BO971" s="102"/>
      <c r="BP971" s="67"/>
      <c r="BQ971" s="79"/>
      <c r="BR971" s="67"/>
      <c r="BS971" s="102"/>
      <c r="BT971" s="106"/>
      <c r="BU971" s="107"/>
      <c r="BV971" s="108" t="str">
        <f t="shared" si="17"/>
        <v/>
      </c>
      <c r="BW971" s="108" t="str">
        <f t="shared" si="16"/>
        <v/>
      </c>
      <c r="BX971" s="102" t="str">
        <f t="shared" si="15"/>
        <v/>
      </c>
      <c r="BY971" s="107" t="str">
        <f t="shared" si="5"/>
        <v/>
      </c>
      <c r="BZ971" s="107" t="str">
        <f t="array" ref="BZ971">IF($A971&lt;&gt;"",INDEX(LISTA!$M$2:$N$27,MATCH($BC971,LISTA!$N$2:$N$27,0),1),"")</f>
        <v/>
      </c>
      <c r="CA971" s="67" t="str">
        <f t="shared" si="6"/>
        <v/>
      </c>
      <c r="CB971" s="114" t="str">
        <f t="shared" si="7"/>
        <v/>
      </c>
      <c r="CC971" s="114"/>
    </row>
    <row r="972" ht="22.5" customHeight="1">
      <c r="A972" s="59"/>
      <c r="B972" s="115"/>
      <c r="C972" s="54"/>
      <c r="D972" s="56"/>
      <c r="E972" s="69"/>
      <c r="F972" s="73"/>
      <c r="G972" s="79"/>
      <c r="H972" s="79"/>
      <c r="I972" s="67"/>
      <c r="J972" s="79"/>
      <c r="K972" s="67"/>
      <c r="L972" s="79"/>
      <c r="M972" s="83"/>
      <c r="N972" s="78"/>
      <c r="O972" s="80"/>
      <c r="P972" s="70"/>
      <c r="Q972" s="54"/>
      <c r="R972" s="67"/>
      <c r="S972" s="67"/>
      <c r="T972" s="54"/>
      <c r="U972" s="86"/>
      <c r="V972" s="54"/>
      <c r="W972" s="86"/>
      <c r="X972" s="54"/>
      <c r="Y972" s="78"/>
      <c r="Z972" s="54"/>
      <c r="AA972" s="70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54"/>
      <c r="AR972" s="83"/>
      <c r="AS972" s="83"/>
      <c r="AT972" s="93"/>
      <c r="AU972" s="93"/>
      <c r="AV972" s="93"/>
      <c r="AW972" s="83"/>
      <c r="AX972" s="83"/>
      <c r="AY972" s="83"/>
      <c r="AZ972" s="83"/>
      <c r="BA972" s="83"/>
      <c r="BB972" s="83"/>
      <c r="BC972" s="54"/>
      <c r="BD972" s="54" t="str">
        <f t="shared" si="1"/>
        <v/>
      </c>
      <c r="BE972" s="67"/>
      <c r="BF972" s="67"/>
      <c r="BG972" s="67"/>
      <c r="BH972" s="67"/>
      <c r="BI972" s="67"/>
      <c r="BJ972" s="67"/>
      <c r="BK972" s="67"/>
      <c r="BL972" s="67"/>
      <c r="BM972" s="67"/>
      <c r="BN972" s="100"/>
      <c r="BO972" s="102"/>
      <c r="BP972" s="67"/>
      <c r="BQ972" s="79"/>
      <c r="BR972" s="67"/>
      <c r="BS972" s="102"/>
      <c r="BT972" s="106"/>
      <c r="BU972" s="107"/>
      <c r="BV972" s="108" t="str">
        <f t="shared" si="17"/>
        <v/>
      </c>
      <c r="BW972" s="108" t="str">
        <f t="shared" si="16"/>
        <v/>
      </c>
      <c r="BX972" s="102" t="str">
        <f t="shared" si="15"/>
        <v/>
      </c>
      <c r="BY972" s="107" t="str">
        <f t="shared" si="5"/>
        <v/>
      </c>
      <c r="BZ972" s="107" t="str">
        <f t="array" ref="BZ972">IF($A972&lt;&gt;"",INDEX(LISTA!$M$2:$N$27,MATCH($BC972,LISTA!$N$2:$N$27,0),1),"")</f>
        <v/>
      </c>
      <c r="CA972" s="67" t="str">
        <f t="shared" si="6"/>
        <v/>
      </c>
      <c r="CB972" s="114" t="str">
        <f t="shared" si="7"/>
        <v/>
      </c>
      <c r="CC972" s="114"/>
    </row>
    <row r="973" ht="22.5" customHeight="1">
      <c r="A973" s="59"/>
      <c r="B973" s="115"/>
      <c r="C973" s="54"/>
      <c r="D973" s="56"/>
      <c r="E973" s="69"/>
      <c r="F973" s="73"/>
      <c r="G973" s="79"/>
      <c r="H973" s="79"/>
      <c r="I973" s="67"/>
      <c r="J973" s="79"/>
      <c r="K973" s="67"/>
      <c r="L973" s="79"/>
      <c r="M973" s="83"/>
      <c r="N973" s="78"/>
      <c r="O973" s="80"/>
      <c r="P973" s="70"/>
      <c r="Q973" s="54"/>
      <c r="R973" s="67"/>
      <c r="S973" s="67"/>
      <c r="T973" s="54"/>
      <c r="U973" s="86"/>
      <c r="V973" s="54"/>
      <c r="W973" s="86"/>
      <c r="X973" s="54"/>
      <c r="Y973" s="78"/>
      <c r="Z973" s="54"/>
      <c r="AA973" s="70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54"/>
      <c r="AR973" s="83"/>
      <c r="AS973" s="83"/>
      <c r="AT973" s="93"/>
      <c r="AU973" s="93"/>
      <c r="AV973" s="93"/>
      <c r="AW973" s="83"/>
      <c r="AX973" s="83"/>
      <c r="AY973" s="83"/>
      <c r="AZ973" s="83"/>
      <c r="BA973" s="83"/>
      <c r="BB973" s="83"/>
      <c r="BC973" s="54"/>
      <c r="BD973" s="54" t="str">
        <f t="shared" si="1"/>
        <v/>
      </c>
      <c r="BE973" s="67"/>
      <c r="BF973" s="67"/>
      <c r="BG973" s="67"/>
      <c r="BH973" s="67"/>
      <c r="BI973" s="67"/>
      <c r="BJ973" s="67"/>
      <c r="BK973" s="67"/>
      <c r="BL973" s="67"/>
      <c r="BM973" s="67"/>
      <c r="BN973" s="100"/>
      <c r="BO973" s="102"/>
      <c r="BP973" s="67"/>
      <c r="BQ973" s="79"/>
      <c r="BR973" s="67"/>
      <c r="BS973" s="102"/>
      <c r="BT973" s="106"/>
      <c r="BU973" s="107"/>
      <c r="BV973" s="108" t="str">
        <f t="shared" si="17"/>
        <v/>
      </c>
      <c r="BW973" s="108" t="str">
        <f t="shared" si="16"/>
        <v/>
      </c>
      <c r="BX973" s="102" t="str">
        <f t="shared" si="15"/>
        <v/>
      </c>
      <c r="BY973" s="107" t="str">
        <f t="shared" si="5"/>
        <v/>
      </c>
      <c r="BZ973" s="107" t="str">
        <f t="array" ref="BZ973">IF($A973&lt;&gt;"",INDEX(LISTA!$M$2:$N$27,MATCH($BC973,LISTA!$N$2:$N$27,0),1),"")</f>
        <v/>
      </c>
      <c r="CA973" s="67" t="str">
        <f t="shared" si="6"/>
        <v/>
      </c>
      <c r="CB973" s="114" t="str">
        <f t="shared" si="7"/>
        <v/>
      </c>
      <c r="CC973" s="114"/>
    </row>
    <row r="974" ht="22.5" customHeight="1">
      <c r="A974" s="59"/>
      <c r="B974" s="115"/>
      <c r="C974" s="54"/>
      <c r="D974" s="56"/>
      <c r="E974" s="69"/>
      <c r="F974" s="73"/>
      <c r="G974" s="79"/>
      <c r="H974" s="79"/>
      <c r="I974" s="67"/>
      <c r="J974" s="79"/>
      <c r="K974" s="67"/>
      <c r="L974" s="79"/>
      <c r="M974" s="83"/>
      <c r="N974" s="78"/>
      <c r="O974" s="80"/>
      <c r="P974" s="70"/>
      <c r="Q974" s="54"/>
      <c r="R974" s="67"/>
      <c r="S974" s="67"/>
      <c r="T974" s="54"/>
      <c r="U974" s="86"/>
      <c r="V974" s="54"/>
      <c r="W974" s="86"/>
      <c r="X974" s="54"/>
      <c r="Y974" s="78"/>
      <c r="Z974" s="54"/>
      <c r="AA974" s="70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54"/>
      <c r="AR974" s="83"/>
      <c r="AS974" s="83"/>
      <c r="AT974" s="93"/>
      <c r="AU974" s="93"/>
      <c r="AV974" s="93"/>
      <c r="AW974" s="83"/>
      <c r="AX974" s="83"/>
      <c r="AY974" s="83"/>
      <c r="AZ974" s="83"/>
      <c r="BA974" s="83"/>
      <c r="BB974" s="83"/>
      <c r="BC974" s="54"/>
      <c r="BD974" s="54" t="str">
        <f t="shared" si="1"/>
        <v/>
      </c>
      <c r="BE974" s="67"/>
      <c r="BF974" s="67"/>
      <c r="BG974" s="67"/>
      <c r="BH974" s="67"/>
      <c r="BI974" s="67"/>
      <c r="BJ974" s="67"/>
      <c r="BK974" s="67"/>
      <c r="BL974" s="67"/>
      <c r="BM974" s="67"/>
      <c r="BN974" s="100"/>
      <c r="BO974" s="102"/>
      <c r="BP974" s="67"/>
      <c r="BQ974" s="79"/>
      <c r="BR974" s="67"/>
      <c r="BS974" s="102"/>
      <c r="BT974" s="106"/>
      <c r="BU974" s="107"/>
      <c r="BV974" s="108" t="str">
        <f t="shared" si="17"/>
        <v/>
      </c>
      <c r="BW974" s="108" t="str">
        <f t="shared" si="16"/>
        <v/>
      </c>
      <c r="BX974" s="102" t="str">
        <f t="shared" si="15"/>
        <v/>
      </c>
      <c r="BY974" s="107" t="str">
        <f t="shared" si="5"/>
        <v/>
      </c>
      <c r="BZ974" s="107" t="str">
        <f t="array" ref="BZ974">IF($A974&lt;&gt;"",INDEX(LISTA!$M$2:$N$27,MATCH($BC974,LISTA!$N$2:$N$27,0),1),"")</f>
        <v/>
      </c>
      <c r="CA974" s="67" t="str">
        <f t="shared" si="6"/>
        <v/>
      </c>
      <c r="CB974" s="114" t="str">
        <f t="shared" si="7"/>
        <v/>
      </c>
      <c r="CC974" s="114"/>
    </row>
    <row r="975" ht="22.5" customHeight="1">
      <c r="A975" s="59"/>
      <c r="B975" s="115"/>
      <c r="C975" s="54"/>
      <c r="D975" s="56"/>
      <c r="E975" s="69"/>
      <c r="F975" s="73"/>
      <c r="G975" s="79"/>
      <c r="H975" s="79"/>
      <c r="I975" s="67"/>
      <c r="J975" s="79"/>
      <c r="K975" s="67"/>
      <c r="L975" s="79"/>
      <c r="M975" s="83"/>
      <c r="N975" s="78"/>
      <c r="O975" s="80"/>
      <c r="P975" s="70"/>
      <c r="Q975" s="54"/>
      <c r="R975" s="67"/>
      <c r="S975" s="67"/>
      <c r="T975" s="54"/>
      <c r="U975" s="86"/>
      <c r="V975" s="54"/>
      <c r="W975" s="86"/>
      <c r="X975" s="54"/>
      <c r="Y975" s="78"/>
      <c r="Z975" s="54"/>
      <c r="AA975" s="70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54"/>
      <c r="AR975" s="83"/>
      <c r="AS975" s="83"/>
      <c r="AT975" s="93"/>
      <c r="AU975" s="93"/>
      <c r="AV975" s="93"/>
      <c r="AW975" s="83"/>
      <c r="AX975" s="83"/>
      <c r="AY975" s="83"/>
      <c r="AZ975" s="83"/>
      <c r="BA975" s="83"/>
      <c r="BB975" s="83"/>
      <c r="BC975" s="54"/>
      <c r="BD975" s="54" t="str">
        <f t="shared" si="1"/>
        <v/>
      </c>
      <c r="BE975" s="67"/>
      <c r="BF975" s="67"/>
      <c r="BG975" s="67"/>
      <c r="BH975" s="67"/>
      <c r="BI975" s="67"/>
      <c r="BJ975" s="67"/>
      <c r="BK975" s="67"/>
      <c r="BL975" s="67"/>
      <c r="BM975" s="67"/>
      <c r="BN975" s="100"/>
      <c r="BO975" s="102"/>
      <c r="BP975" s="67"/>
      <c r="BQ975" s="79"/>
      <c r="BR975" s="67"/>
      <c r="BS975" s="102"/>
      <c r="BT975" s="106"/>
      <c r="BU975" s="107"/>
      <c r="BV975" s="108" t="str">
        <f t="shared" si="17"/>
        <v/>
      </c>
      <c r="BW975" s="108" t="str">
        <f t="shared" si="16"/>
        <v/>
      </c>
      <c r="BX975" s="102" t="str">
        <f t="shared" si="15"/>
        <v/>
      </c>
      <c r="BY975" s="107" t="str">
        <f t="shared" si="5"/>
        <v/>
      </c>
      <c r="BZ975" s="107" t="str">
        <f t="array" ref="BZ975">IF($A975&lt;&gt;"",INDEX(LISTA!$M$2:$N$27,MATCH($BC975,LISTA!$N$2:$N$27,0),1),"")</f>
        <v/>
      </c>
      <c r="CA975" s="67" t="str">
        <f t="shared" si="6"/>
        <v/>
      </c>
      <c r="CB975" s="114" t="str">
        <f t="shared" si="7"/>
        <v/>
      </c>
      <c r="CC975" s="114"/>
    </row>
    <row r="976" ht="22.5" customHeight="1">
      <c r="A976" s="59"/>
      <c r="B976" s="115"/>
      <c r="C976" s="54"/>
      <c r="D976" s="56"/>
      <c r="E976" s="69"/>
      <c r="F976" s="73"/>
      <c r="G976" s="79"/>
      <c r="H976" s="79"/>
      <c r="I976" s="67"/>
      <c r="J976" s="79"/>
      <c r="K976" s="67"/>
      <c r="L976" s="79"/>
      <c r="M976" s="83"/>
      <c r="N976" s="78"/>
      <c r="O976" s="80"/>
      <c r="P976" s="70"/>
      <c r="Q976" s="54"/>
      <c r="R976" s="67"/>
      <c r="S976" s="67"/>
      <c r="T976" s="54"/>
      <c r="U976" s="86"/>
      <c r="V976" s="54"/>
      <c r="W976" s="86"/>
      <c r="X976" s="54"/>
      <c r="Y976" s="78"/>
      <c r="Z976" s="54"/>
      <c r="AA976" s="70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54"/>
      <c r="AR976" s="83"/>
      <c r="AS976" s="83"/>
      <c r="AT976" s="93"/>
      <c r="AU976" s="93"/>
      <c r="AV976" s="93"/>
      <c r="AW976" s="83"/>
      <c r="AX976" s="83"/>
      <c r="AY976" s="83"/>
      <c r="AZ976" s="83"/>
      <c r="BA976" s="83"/>
      <c r="BB976" s="83"/>
      <c r="BC976" s="54"/>
      <c r="BD976" s="54" t="str">
        <f t="shared" si="1"/>
        <v/>
      </c>
      <c r="BE976" s="67"/>
      <c r="BF976" s="67"/>
      <c r="BG976" s="67"/>
      <c r="BH976" s="67"/>
      <c r="BI976" s="67"/>
      <c r="BJ976" s="67"/>
      <c r="BK976" s="67"/>
      <c r="BL976" s="67"/>
      <c r="BM976" s="67"/>
      <c r="BN976" s="100"/>
      <c r="BO976" s="102"/>
      <c r="BP976" s="67"/>
      <c r="BQ976" s="79"/>
      <c r="BR976" s="67"/>
      <c r="BS976" s="102"/>
      <c r="BT976" s="106"/>
      <c r="BU976" s="107"/>
      <c r="BV976" s="108" t="str">
        <f t="shared" si="17"/>
        <v/>
      </c>
      <c r="BW976" s="108" t="str">
        <f t="shared" si="16"/>
        <v/>
      </c>
      <c r="BX976" s="102" t="str">
        <f t="shared" si="15"/>
        <v/>
      </c>
      <c r="BY976" s="107" t="str">
        <f t="shared" si="5"/>
        <v/>
      </c>
      <c r="BZ976" s="107" t="str">
        <f t="array" ref="BZ976">IF($A976&lt;&gt;"",INDEX(LISTA!$M$2:$N$27,MATCH($BC976,LISTA!$N$2:$N$27,0),1),"")</f>
        <v/>
      </c>
      <c r="CA976" s="67" t="str">
        <f t="shared" si="6"/>
        <v/>
      </c>
      <c r="CB976" s="114" t="str">
        <f t="shared" si="7"/>
        <v/>
      </c>
      <c r="CC976" s="114"/>
    </row>
    <row r="977" ht="22.5" customHeight="1">
      <c r="A977" s="59"/>
      <c r="B977" s="115"/>
      <c r="C977" s="54"/>
      <c r="D977" s="56"/>
      <c r="E977" s="69"/>
      <c r="F977" s="73"/>
      <c r="G977" s="79"/>
      <c r="H977" s="79"/>
      <c r="I977" s="67"/>
      <c r="J977" s="79"/>
      <c r="K977" s="67"/>
      <c r="L977" s="79"/>
      <c r="M977" s="83"/>
      <c r="N977" s="78"/>
      <c r="O977" s="80"/>
      <c r="P977" s="70"/>
      <c r="Q977" s="54"/>
      <c r="R977" s="67"/>
      <c r="S977" s="67"/>
      <c r="T977" s="54"/>
      <c r="U977" s="86"/>
      <c r="V977" s="54"/>
      <c r="W977" s="86"/>
      <c r="X977" s="54"/>
      <c r="Y977" s="78"/>
      <c r="Z977" s="54"/>
      <c r="AA977" s="70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54"/>
      <c r="AR977" s="83"/>
      <c r="AS977" s="83"/>
      <c r="AT977" s="93"/>
      <c r="AU977" s="93"/>
      <c r="AV977" s="93"/>
      <c r="AW977" s="83"/>
      <c r="AX977" s="83"/>
      <c r="AY977" s="83"/>
      <c r="AZ977" s="83"/>
      <c r="BA977" s="83"/>
      <c r="BB977" s="83"/>
      <c r="BC977" s="54"/>
      <c r="BD977" s="54" t="str">
        <f t="shared" si="1"/>
        <v/>
      </c>
      <c r="BE977" s="67"/>
      <c r="BF977" s="67"/>
      <c r="BG977" s="67"/>
      <c r="BH977" s="67"/>
      <c r="BI977" s="67"/>
      <c r="BJ977" s="67"/>
      <c r="BK977" s="67"/>
      <c r="BL977" s="67"/>
      <c r="BM977" s="67"/>
      <c r="BN977" s="100"/>
      <c r="BO977" s="102"/>
      <c r="BP977" s="67"/>
      <c r="BQ977" s="79"/>
      <c r="BR977" s="67"/>
      <c r="BS977" s="102"/>
      <c r="BT977" s="106"/>
      <c r="BU977" s="107"/>
      <c r="BV977" s="108" t="str">
        <f t="shared" si="17"/>
        <v/>
      </c>
      <c r="BW977" s="108" t="str">
        <f t="shared" si="16"/>
        <v/>
      </c>
      <c r="BX977" s="102" t="str">
        <f t="shared" si="15"/>
        <v/>
      </c>
      <c r="BY977" s="107" t="str">
        <f t="shared" si="5"/>
        <v/>
      </c>
      <c r="BZ977" s="107" t="str">
        <f t="array" ref="BZ977">IF($A977&lt;&gt;"",INDEX(LISTA!$M$2:$N$27,MATCH($BC977,LISTA!$N$2:$N$27,0),1),"")</f>
        <v/>
      </c>
      <c r="CA977" s="67" t="str">
        <f t="shared" si="6"/>
        <v/>
      </c>
      <c r="CB977" s="114" t="str">
        <f t="shared" si="7"/>
        <v/>
      </c>
      <c r="CC977" s="114"/>
    </row>
    <row r="978" ht="22.5" customHeight="1">
      <c r="A978" s="59"/>
      <c r="B978" s="115"/>
      <c r="C978" s="54"/>
      <c r="D978" s="56"/>
      <c r="E978" s="69"/>
      <c r="F978" s="73"/>
      <c r="G978" s="79"/>
      <c r="H978" s="79"/>
      <c r="I978" s="67"/>
      <c r="J978" s="79"/>
      <c r="K978" s="67"/>
      <c r="L978" s="79"/>
      <c r="M978" s="83"/>
      <c r="N978" s="78"/>
      <c r="O978" s="80"/>
      <c r="P978" s="70"/>
      <c r="Q978" s="54"/>
      <c r="R978" s="67"/>
      <c r="S978" s="67"/>
      <c r="T978" s="54"/>
      <c r="U978" s="86"/>
      <c r="V978" s="54"/>
      <c r="W978" s="86"/>
      <c r="X978" s="54"/>
      <c r="Y978" s="78"/>
      <c r="Z978" s="54"/>
      <c r="AA978" s="70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54"/>
      <c r="AR978" s="83"/>
      <c r="AS978" s="83"/>
      <c r="AT978" s="93"/>
      <c r="AU978" s="93"/>
      <c r="AV978" s="93"/>
      <c r="AW978" s="83"/>
      <c r="AX978" s="83"/>
      <c r="AY978" s="83"/>
      <c r="AZ978" s="83"/>
      <c r="BA978" s="83"/>
      <c r="BB978" s="83"/>
      <c r="BC978" s="54"/>
      <c r="BD978" s="54" t="str">
        <f t="shared" si="1"/>
        <v/>
      </c>
      <c r="BE978" s="67"/>
      <c r="BF978" s="67"/>
      <c r="BG978" s="67"/>
      <c r="BH978" s="67"/>
      <c r="BI978" s="67"/>
      <c r="BJ978" s="67"/>
      <c r="BK978" s="67"/>
      <c r="BL978" s="67"/>
      <c r="BM978" s="67"/>
      <c r="BN978" s="100"/>
      <c r="BO978" s="102"/>
      <c r="BP978" s="67"/>
      <c r="BQ978" s="79"/>
      <c r="BR978" s="67"/>
      <c r="BS978" s="102"/>
      <c r="BT978" s="106"/>
      <c r="BU978" s="107"/>
      <c r="BV978" s="108" t="str">
        <f t="shared" si="17"/>
        <v/>
      </c>
      <c r="BW978" s="108" t="str">
        <f t="shared" si="16"/>
        <v/>
      </c>
      <c r="BX978" s="102" t="str">
        <f t="shared" si="15"/>
        <v/>
      </c>
      <c r="BY978" s="107" t="str">
        <f t="shared" si="5"/>
        <v/>
      </c>
      <c r="BZ978" s="107" t="str">
        <f t="array" ref="BZ978">IF($A978&lt;&gt;"",INDEX(LISTA!$M$2:$N$27,MATCH($BC978,LISTA!$N$2:$N$27,0),1),"")</f>
        <v/>
      </c>
      <c r="CA978" s="67" t="str">
        <f t="shared" si="6"/>
        <v/>
      </c>
      <c r="CB978" s="114" t="str">
        <f t="shared" si="7"/>
        <v/>
      </c>
      <c r="CC978" s="114"/>
    </row>
    <row r="979" ht="22.5" customHeight="1">
      <c r="A979" s="59"/>
      <c r="B979" s="115"/>
      <c r="C979" s="54"/>
      <c r="D979" s="56"/>
      <c r="E979" s="69"/>
      <c r="F979" s="73"/>
      <c r="G979" s="79"/>
      <c r="H979" s="79"/>
      <c r="I979" s="67"/>
      <c r="J979" s="79"/>
      <c r="K979" s="67"/>
      <c r="L979" s="79"/>
      <c r="M979" s="83"/>
      <c r="N979" s="78"/>
      <c r="O979" s="80"/>
      <c r="P979" s="70"/>
      <c r="Q979" s="54"/>
      <c r="R979" s="67"/>
      <c r="S979" s="67"/>
      <c r="T979" s="54"/>
      <c r="U979" s="86"/>
      <c r="V979" s="54"/>
      <c r="W979" s="86"/>
      <c r="X979" s="54"/>
      <c r="Y979" s="78"/>
      <c r="Z979" s="54"/>
      <c r="AA979" s="70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54"/>
      <c r="AR979" s="83"/>
      <c r="AS979" s="83"/>
      <c r="AT979" s="93"/>
      <c r="AU979" s="93"/>
      <c r="AV979" s="93"/>
      <c r="AW979" s="83"/>
      <c r="AX979" s="83"/>
      <c r="AY979" s="83"/>
      <c r="AZ979" s="83"/>
      <c r="BA979" s="83"/>
      <c r="BB979" s="83"/>
      <c r="BC979" s="54"/>
      <c r="BD979" s="54" t="str">
        <f t="shared" si="1"/>
        <v/>
      </c>
      <c r="BE979" s="67"/>
      <c r="BF979" s="67"/>
      <c r="BG979" s="67"/>
      <c r="BH979" s="67"/>
      <c r="BI979" s="67"/>
      <c r="BJ979" s="67"/>
      <c r="BK979" s="67"/>
      <c r="BL979" s="67"/>
      <c r="BM979" s="67"/>
      <c r="BN979" s="100"/>
      <c r="BO979" s="102"/>
      <c r="BP979" s="67"/>
      <c r="BQ979" s="79"/>
      <c r="BR979" s="67"/>
      <c r="BS979" s="102"/>
      <c r="BT979" s="106"/>
      <c r="BU979" s="107"/>
      <c r="BV979" s="108" t="str">
        <f t="shared" si="17"/>
        <v/>
      </c>
      <c r="BW979" s="108" t="str">
        <f t="shared" si="16"/>
        <v/>
      </c>
      <c r="BX979" s="102" t="str">
        <f t="shared" si="15"/>
        <v/>
      </c>
      <c r="BY979" s="107" t="str">
        <f t="shared" si="5"/>
        <v/>
      </c>
      <c r="BZ979" s="107" t="str">
        <f t="array" ref="BZ979">IF($A979&lt;&gt;"",INDEX(LISTA!$M$2:$N$27,MATCH($BC979,LISTA!$N$2:$N$27,0),1),"")</f>
        <v/>
      </c>
      <c r="CA979" s="67" t="str">
        <f t="shared" si="6"/>
        <v/>
      </c>
      <c r="CB979" s="114" t="str">
        <f t="shared" si="7"/>
        <v/>
      </c>
      <c r="CC979" s="114"/>
    </row>
    <row r="980" ht="22.5" customHeight="1">
      <c r="A980" s="59"/>
      <c r="B980" s="115"/>
      <c r="C980" s="54"/>
      <c r="D980" s="56"/>
      <c r="E980" s="69"/>
      <c r="F980" s="73"/>
      <c r="G980" s="79"/>
      <c r="H980" s="79"/>
      <c r="I980" s="67"/>
      <c r="J980" s="79"/>
      <c r="K980" s="67"/>
      <c r="L980" s="79"/>
      <c r="M980" s="83"/>
      <c r="N980" s="78"/>
      <c r="O980" s="80"/>
      <c r="P980" s="70"/>
      <c r="Q980" s="54"/>
      <c r="R980" s="67"/>
      <c r="S980" s="67"/>
      <c r="T980" s="54"/>
      <c r="U980" s="86"/>
      <c r="V980" s="54"/>
      <c r="W980" s="86"/>
      <c r="X980" s="54"/>
      <c r="Y980" s="78"/>
      <c r="Z980" s="54"/>
      <c r="AA980" s="70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54"/>
      <c r="AR980" s="83"/>
      <c r="AS980" s="83"/>
      <c r="AT980" s="93"/>
      <c r="AU980" s="93"/>
      <c r="AV980" s="93"/>
      <c r="AW980" s="83"/>
      <c r="AX980" s="83"/>
      <c r="AY980" s="83"/>
      <c r="AZ980" s="83"/>
      <c r="BA980" s="83"/>
      <c r="BB980" s="83"/>
      <c r="BC980" s="54"/>
      <c r="BD980" s="54" t="str">
        <f t="shared" si="1"/>
        <v/>
      </c>
      <c r="BE980" s="67"/>
      <c r="BF980" s="67"/>
      <c r="BG980" s="67"/>
      <c r="BH980" s="67"/>
      <c r="BI980" s="67"/>
      <c r="BJ980" s="67"/>
      <c r="BK980" s="67"/>
      <c r="BL980" s="67"/>
      <c r="BM980" s="67"/>
      <c r="BN980" s="100"/>
      <c r="BO980" s="102"/>
      <c r="BP980" s="67"/>
      <c r="BQ980" s="79"/>
      <c r="BR980" s="67"/>
      <c r="BS980" s="102"/>
      <c r="BT980" s="106"/>
      <c r="BU980" s="107"/>
      <c r="BV980" s="108" t="str">
        <f t="shared" si="17"/>
        <v/>
      </c>
      <c r="BW980" s="108" t="str">
        <f t="shared" si="16"/>
        <v/>
      </c>
      <c r="BX980" s="102" t="str">
        <f t="shared" si="15"/>
        <v/>
      </c>
      <c r="BY980" s="107" t="str">
        <f t="shared" si="5"/>
        <v/>
      </c>
      <c r="BZ980" s="107" t="str">
        <f t="array" ref="BZ980">IF($A980&lt;&gt;"",INDEX(LISTA!$M$2:$N$27,MATCH($BC980,LISTA!$N$2:$N$27,0),1),"")</f>
        <v/>
      </c>
      <c r="CA980" s="67" t="str">
        <f t="shared" si="6"/>
        <v/>
      </c>
      <c r="CB980" s="114" t="str">
        <f t="shared" si="7"/>
        <v/>
      </c>
      <c r="CC980" s="114"/>
    </row>
    <row r="981" ht="22.5" customHeight="1">
      <c r="A981" s="59"/>
      <c r="B981" s="115"/>
      <c r="C981" s="54"/>
      <c r="D981" s="56"/>
      <c r="E981" s="69"/>
      <c r="F981" s="73"/>
      <c r="G981" s="79"/>
      <c r="H981" s="79"/>
      <c r="I981" s="67"/>
      <c r="J981" s="79"/>
      <c r="K981" s="67"/>
      <c r="L981" s="79"/>
      <c r="M981" s="83"/>
      <c r="N981" s="78"/>
      <c r="O981" s="80"/>
      <c r="P981" s="70"/>
      <c r="Q981" s="54"/>
      <c r="R981" s="67"/>
      <c r="S981" s="67"/>
      <c r="T981" s="54"/>
      <c r="U981" s="86"/>
      <c r="V981" s="54"/>
      <c r="W981" s="86"/>
      <c r="X981" s="54"/>
      <c r="Y981" s="78"/>
      <c r="Z981" s="54"/>
      <c r="AA981" s="70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54"/>
      <c r="AR981" s="83"/>
      <c r="AS981" s="83"/>
      <c r="AT981" s="93"/>
      <c r="AU981" s="93"/>
      <c r="AV981" s="93"/>
      <c r="AW981" s="83"/>
      <c r="AX981" s="83"/>
      <c r="AY981" s="83"/>
      <c r="AZ981" s="83"/>
      <c r="BA981" s="83"/>
      <c r="BB981" s="83"/>
      <c r="BC981" s="54"/>
      <c r="BD981" s="54" t="str">
        <f t="shared" si="1"/>
        <v/>
      </c>
      <c r="BE981" s="67"/>
      <c r="BF981" s="67"/>
      <c r="BG981" s="67"/>
      <c r="BH981" s="67"/>
      <c r="BI981" s="67"/>
      <c r="BJ981" s="67"/>
      <c r="BK981" s="67"/>
      <c r="BL981" s="67"/>
      <c r="BM981" s="67"/>
      <c r="BN981" s="100"/>
      <c r="BO981" s="102"/>
      <c r="BP981" s="67"/>
      <c r="BQ981" s="79"/>
      <c r="BR981" s="67"/>
      <c r="BS981" s="102"/>
      <c r="BT981" s="106"/>
      <c r="BU981" s="107"/>
      <c r="BV981" s="108" t="str">
        <f t="shared" si="17"/>
        <v/>
      </c>
      <c r="BW981" s="108" t="str">
        <f t="shared" si="16"/>
        <v/>
      </c>
      <c r="BX981" s="102" t="str">
        <f t="shared" si="15"/>
        <v/>
      </c>
      <c r="BY981" s="107" t="str">
        <f t="shared" si="5"/>
        <v/>
      </c>
      <c r="BZ981" s="107" t="str">
        <f t="array" ref="BZ981">IF($A981&lt;&gt;"",INDEX(LISTA!$M$2:$N$27,MATCH($BC981,LISTA!$N$2:$N$27,0),1),"")</f>
        <v/>
      </c>
      <c r="CA981" s="67" t="str">
        <f t="shared" si="6"/>
        <v/>
      </c>
      <c r="CB981" s="114" t="str">
        <f t="shared" si="7"/>
        <v/>
      </c>
      <c r="CC981" s="114"/>
    </row>
    <row r="982" ht="22.5" customHeight="1">
      <c r="A982" s="59"/>
      <c r="B982" s="115"/>
      <c r="C982" s="54"/>
      <c r="D982" s="56"/>
      <c r="E982" s="69"/>
      <c r="F982" s="73"/>
      <c r="G982" s="79"/>
      <c r="H982" s="79"/>
      <c r="I982" s="67"/>
      <c r="J982" s="79"/>
      <c r="K982" s="67"/>
      <c r="L982" s="79"/>
      <c r="M982" s="83"/>
      <c r="N982" s="78"/>
      <c r="O982" s="80"/>
      <c r="P982" s="70"/>
      <c r="Q982" s="54"/>
      <c r="R982" s="67"/>
      <c r="S982" s="67"/>
      <c r="T982" s="54"/>
      <c r="U982" s="86"/>
      <c r="V982" s="54"/>
      <c r="W982" s="86"/>
      <c r="X982" s="54"/>
      <c r="Y982" s="78"/>
      <c r="Z982" s="54"/>
      <c r="AA982" s="70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54"/>
      <c r="AR982" s="83"/>
      <c r="AS982" s="83"/>
      <c r="AT982" s="93"/>
      <c r="AU982" s="93"/>
      <c r="AV982" s="93"/>
      <c r="AW982" s="83"/>
      <c r="AX982" s="83"/>
      <c r="AY982" s="83"/>
      <c r="AZ982" s="83"/>
      <c r="BA982" s="83"/>
      <c r="BB982" s="83"/>
      <c r="BC982" s="54"/>
      <c r="BD982" s="54" t="str">
        <f t="shared" si="1"/>
        <v/>
      </c>
      <c r="BE982" s="67"/>
      <c r="BF982" s="67"/>
      <c r="BG982" s="67"/>
      <c r="BH982" s="67"/>
      <c r="BI982" s="67"/>
      <c r="BJ982" s="67"/>
      <c r="BK982" s="67"/>
      <c r="BL982" s="67"/>
      <c r="BM982" s="67"/>
      <c r="BN982" s="100"/>
      <c r="BO982" s="102"/>
      <c r="BP982" s="67"/>
      <c r="BQ982" s="79"/>
      <c r="BR982" s="67"/>
      <c r="BS982" s="102"/>
      <c r="BT982" s="106"/>
      <c r="BU982" s="107"/>
      <c r="BV982" s="108" t="str">
        <f t="shared" si="17"/>
        <v/>
      </c>
      <c r="BW982" s="108" t="str">
        <f t="shared" si="16"/>
        <v/>
      </c>
      <c r="BX982" s="102" t="str">
        <f t="shared" si="15"/>
        <v/>
      </c>
      <c r="BY982" s="107" t="str">
        <f t="shared" si="5"/>
        <v/>
      </c>
      <c r="BZ982" s="107" t="str">
        <f t="array" ref="BZ982">IF($A982&lt;&gt;"",INDEX(LISTA!$M$2:$N$27,MATCH($BC982,LISTA!$N$2:$N$27,0),1),"")</f>
        <v/>
      </c>
      <c r="CA982" s="67" t="str">
        <f t="shared" si="6"/>
        <v/>
      </c>
      <c r="CB982" s="114" t="str">
        <f t="shared" si="7"/>
        <v/>
      </c>
      <c r="CC982" s="114"/>
    </row>
    <row r="983" ht="22.5" customHeight="1">
      <c r="A983" s="59"/>
      <c r="B983" s="115"/>
      <c r="C983" s="54"/>
      <c r="D983" s="56"/>
      <c r="E983" s="69"/>
      <c r="F983" s="73"/>
      <c r="G983" s="79"/>
      <c r="H983" s="79"/>
      <c r="I983" s="67"/>
      <c r="J983" s="79"/>
      <c r="K983" s="67"/>
      <c r="L983" s="79"/>
      <c r="M983" s="83"/>
      <c r="N983" s="78"/>
      <c r="O983" s="80"/>
      <c r="P983" s="70"/>
      <c r="Q983" s="54"/>
      <c r="R983" s="67"/>
      <c r="S983" s="67"/>
      <c r="T983" s="54"/>
      <c r="U983" s="86"/>
      <c r="V983" s="54"/>
      <c r="W983" s="86"/>
      <c r="X983" s="54"/>
      <c r="Y983" s="78"/>
      <c r="Z983" s="54"/>
      <c r="AA983" s="70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54"/>
      <c r="AR983" s="83"/>
      <c r="AS983" s="83"/>
      <c r="AT983" s="93"/>
      <c r="AU983" s="93"/>
      <c r="AV983" s="93"/>
      <c r="AW983" s="83"/>
      <c r="AX983" s="83"/>
      <c r="AY983" s="83"/>
      <c r="AZ983" s="83"/>
      <c r="BA983" s="83"/>
      <c r="BB983" s="83"/>
      <c r="BC983" s="54"/>
      <c r="BD983" s="54" t="str">
        <f t="shared" si="1"/>
        <v/>
      </c>
      <c r="BE983" s="67"/>
      <c r="BF983" s="67"/>
      <c r="BG983" s="67"/>
      <c r="BH983" s="67"/>
      <c r="BI983" s="67"/>
      <c r="BJ983" s="67"/>
      <c r="BK983" s="67"/>
      <c r="BL983" s="67"/>
      <c r="BM983" s="67"/>
      <c r="BN983" s="100"/>
      <c r="BO983" s="102"/>
      <c r="BP983" s="67"/>
      <c r="BQ983" s="79"/>
      <c r="BR983" s="67"/>
      <c r="BS983" s="102"/>
      <c r="BT983" s="106"/>
      <c r="BU983" s="107"/>
      <c r="BV983" s="108" t="str">
        <f t="shared" si="17"/>
        <v/>
      </c>
      <c r="BW983" s="108" t="str">
        <f t="shared" si="16"/>
        <v/>
      </c>
      <c r="BX983" s="102" t="str">
        <f t="shared" si="15"/>
        <v/>
      </c>
      <c r="BY983" s="107" t="str">
        <f t="shared" si="5"/>
        <v/>
      </c>
      <c r="BZ983" s="107" t="str">
        <f t="array" ref="BZ983">IF($A983&lt;&gt;"",INDEX(LISTA!$M$2:$N$27,MATCH($BC983,LISTA!$N$2:$N$27,0),1),"")</f>
        <v/>
      </c>
      <c r="CA983" s="67" t="str">
        <f t="shared" si="6"/>
        <v/>
      </c>
      <c r="CB983" s="114" t="str">
        <f t="shared" si="7"/>
        <v/>
      </c>
      <c r="CC983" s="114"/>
    </row>
    <row r="984" ht="22.5" customHeight="1">
      <c r="A984" s="59"/>
      <c r="B984" s="115"/>
      <c r="C984" s="54"/>
      <c r="D984" s="56"/>
      <c r="E984" s="69"/>
      <c r="F984" s="73"/>
      <c r="G984" s="79"/>
      <c r="H984" s="79"/>
      <c r="I984" s="67"/>
      <c r="J984" s="79"/>
      <c r="K984" s="67"/>
      <c r="L984" s="79"/>
      <c r="M984" s="83"/>
      <c r="N984" s="78"/>
      <c r="O984" s="80"/>
      <c r="P984" s="70"/>
      <c r="Q984" s="54"/>
      <c r="R984" s="67"/>
      <c r="S984" s="67"/>
      <c r="T984" s="54"/>
      <c r="U984" s="86"/>
      <c r="V984" s="54"/>
      <c r="W984" s="86"/>
      <c r="X984" s="54"/>
      <c r="Y984" s="78"/>
      <c r="Z984" s="54"/>
      <c r="AA984" s="70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54"/>
      <c r="AR984" s="83"/>
      <c r="AS984" s="83"/>
      <c r="AT984" s="93"/>
      <c r="AU984" s="93"/>
      <c r="AV984" s="93"/>
      <c r="AW984" s="83"/>
      <c r="AX984" s="83"/>
      <c r="AY984" s="83"/>
      <c r="AZ984" s="83"/>
      <c r="BA984" s="83"/>
      <c r="BB984" s="83"/>
      <c r="BC984" s="54"/>
      <c r="BD984" s="54" t="str">
        <f t="shared" si="1"/>
        <v/>
      </c>
      <c r="BE984" s="67"/>
      <c r="BF984" s="67"/>
      <c r="BG984" s="67"/>
      <c r="BH984" s="67"/>
      <c r="BI984" s="67"/>
      <c r="BJ984" s="67"/>
      <c r="BK984" s="67"/>
      <c r="BL984" s="67"/>
      <c r="BM984" s="67"/>
      <c r="BN984" s="100"/>
      <c r="BO984" s="102"/>
      <c r="BP984" s="67"/>
      <c r="BQ984" s="79"/>
      <c r="BR984" s="67"/>
      <c r="BS984" s="102"/>
      <c r="BT984" s="106"/>
      <c r="BU984" s="107"/>
      <c r="BV984" s="108" t="str">
        <f t="shared" si="17"/>
        <v/>
      </c>
      <c r="BW984" s="108" t="str">
        <f t="shared" si="16"/>
        <v/>
      </c>
      <c r="BX984" s="102" t="str">
        <f t="shared" si="15"/>
        <v/>
      </c>
      <c r="BY984" s="107" t="str">
        <f t="shared" si="5"/>
        <v/>
      </c>
      <c r="BZ984" s="107" t="str">
        <f t="array" ref="BZ984">IF($A984&lt;&gt;"",INDEX(LISTA!$M$2:$N$27,MATCH($BC984,LISTA!$N$2:$N$27,0),1),"")</f>
        <v/>
      </c>
      <c r="CA984" s="67" t="str">
        <f t="shared" si="6"/>
        <v/>
      </c>
      <c r="CB984" s="114" t="str">
        <f t="shared" si="7"/>
        <v/>
      </c>
      <c r="CC984" s="114"/>
    </row>
    <row r="985" ht="22.5" customHeight="1">
      <c r="A985" s="59"/>
      <c r="B985" s="115"/>
      <c r="C985" s="54"/>
      <c r="D985" s="56"/>
      <c r="E985" s="69"/>
      <c r="F985" s="73"/>
      <c r="G985" s="79"/>
      <c r="H985" s="79"/>
      <c r="I985" s="67"/>
      <c r="J985" s="79"/>
      <c r="K985" s="67"/>
      <c r="L985" s="79"/>
      <c r="M985" s="83"/>
      <c r="N985" s="78"/>
      <c r="O985" s="80"/>
      <c r="P985" s="70"/>
      <c r="Q985" s="54"/>
      <c r="R985" s="67"/>
      <c r="S985" s="67"/>
      <c r="T985" s="54"/>
      <c r="U985" s="86"/>
      <c r="V985" s="54"/>
      <c r="W985" s="86"/>
      <c r="X985" s="54"/>
      <c r="Y985" s="78"/>
      <c r="Z985" s="54"/>
      <c r="AA985" s="70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54"/>
      <c r="AR985" s="83"/>
      <c r="AS985" s="83"/>
      <c r="AT985" s="93"/>
      <c r="AU985" s="93"/>
      <c r="AV985" s="93"/>
      <c r="AW985" s="83"/>
      <c r="AX985" s="83"/>
      <c r="AY985" s="83"/>
      <c r="AZ985" s="83"/>
      <c r="BA985" s="83"/>
      <c r="BB985" s="83"/>
      <c r="BC985" s="54"/>
      <c r="BD985" s="54" t="str">
        <f t="shared" si="1"/>
        <v/>
      </c>
      <c r="BE985" s="67"/>
      <c r="BF985" s="67"/>
      <c r="BG985" s="67"/>
      <c r="BH985" s="67"/>
      <c r="BI985" s="67"/>
      <c r="BJ985" s="67"/>
      <c r="BK985" s="67"/>
      <c r="BL985" s="67"/>
      <c r="BM985" s="67"/>
      <c r="BN985" s="100"/>
      <c r="BO985" s="102"/>
      <c r="BP985" s="67"/>
      <c r="BQ985" s="79"/>
      <c r="BR985" s="67"/>
      <c r="BS985" s="102"/>
      <c r="BT985" s="106"/>
      <c r="BU985" s="107"/>
      <c r="BV985" s="108" t="str">
        <f t="shared" si="17"/>
        <v/>
      </c>
      <c r="BW985" s="108" t="str">
        <f t="shared" si="16"/>
        <v/>
      </c>
      <c r="BX985" s="102" t="str">
        <f t="shared" si="15"/>
        <v/>
      </c>
      <c r="BY985" s="107" t="str">
        <f t="shared" si="5"/>
        <v/>
      </c>
      <c r="BZ985" s="107" t="str">
        <f t="array" ref="BZ985">IF($A985&lt;&gt;"",INDEX(LISTA!$M$2:$N$27,MATCH($BC985,LISTA!$N$2:$N$27,0),1),"")</f>
        <v/>
      </c>
      <c r="CA985" s="67" t="str">
        <f t="shared" si="6"/>
        <v/>
      </c>
      <c r="CB985" s="114" t="str">
        <f t="shared" si="7"/>
        <v/>
      </c>
      <c r="CC985" s="114"/>
    </row>
    <row r="986" ht="22.5" customHeight="1">
      <c r="A986" s="59"/>
      <c r="B986" s="115"/>
      <c r="C986" s="54"/>
      <c r="D986" s="56"/>
      <c r="E986" s="69"/>
      <c r="F986" s="73"/>
      <c r="G986" s="79"/>
      <c r="H986" s="79"/>
      <c r="I986" s="67"/>
      <c r="J986" s="79"/>
      <c r="K986" s="67"/>
      <c r="L986" s="79"/>
      <c r="M986" s="83"/>
      <c r="N986" s="78"/>
      <c r="O986" s="80"/>
      <c r="P986" s="70"/>
      <c r="Q986" s="54"/>
      <c r="R986" s="67"/>
      <c r="S986" s="67"/>
      <c r="T986" s="54"/>
      <c r="U986" s="86"/>
      <c r="V986" s="54"/>
      <c r="W986" s="86"/>
      <c r="X986" s="54"/>
      <c r="Y986" s="78"/>
      <c r="Z986" s="54"/>
      <c r="AA986" s="70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54"/>
      <c r="AR986" s="83"/>
      <c r="AS986" s="83"/>
      <c r="AT986" s="93"/>
      <c r="AU986" s="93"/>
      <c r="AV986" s="93"/>
      <c r="AW986" s="83"/>
      <c r="AX986" s="83"/>
      <c r="AY986" s="83"/>
      <c r="AZ986" s="83"/>
      <c r="BA986" s="83"/>
      <c r="BB986" s="83"/>
      <c r="BC986" s="54"/>
      <c r="BD986" s="54" t="str">
        <f t="shared" si="1"/>
        <v/>
      </c>
      <c r="BE986" s="67"/>
      <c r="BF986" s="67"/>
      <c r="BG986" s="67"/>
      <c r="BH986" s="67"/>
      <c r="BI986" s="67"/>
      <c r="BJ986" s="67"/>
      <c r="BK986" s="67"/>
      <c r="BL986" s="67"/>
      <c r="BM986" s="67"/>
      <c r="BN986" s="100"/>
      <c r="BO986" s="102"/>
      <c r="BP986" s="67"/>
      <c r="BQ986" s="79"/>
      <c r="BR986" s="67"/>
      <c r="BS986" s="102"/>
      <c r="BT986" s="106"/>
      <c r="BU986" s="107"/>
      <c r="BV986" s="108" t="str">
        <f t="shared" si="17"/>
        <v/>
      </c>
      <c r="BW986" s="108" t="str">
        <f t="shared" si="16"/>
        <v/>
      </c>
      <c r="BX986" s="102" t="str">
        <f t="shared" si="15"/>
        <v/>
      </c>
      <c r="BY986" s="107" t="str">
        <f t="shared" si="5"/>
        <v/>
      </c>
      <c r="BZ986" s="107" t="str">
        <f t="array" ref="BZ986">IF($A986&lt;&gt;"",INDEX(LISTA!$M$2:$N$27,MATCH($BC986,LISTA!$N$2:$N$27,0),1),"")</f>
        <v/>
      </c>
      <c r="CA986" s="67" t="str">
        <f t="shared" si="6"/>
        <v/>
      </c>
      <c r="CB986" s="114" t="str">
        <f t="shared" si="7"/>
        <v/>
      </c>
      <c r="CC986" s="114"/>
    </row>
    <row r="987" ht="22.5" customHeight="1">
      <c r="A987" s="59"/>
      <c r="B987" s="115"/>
      <c r="C987" s="54"/>
      <c r="D987" s="56"/>
      <c r="E987" s="69"/>
      <c r="F987" s="73"/>
      <c r="G987" s="79"/>
      <c r="H987" s="79"/>
      <c r="I987" s="67"/>
      <c r="J987" s="79"/>
      <c r="K987" s="67"/>
      <c r="L987" s="79"/>
      <c r="M987" s="83"/>
      <c r="N987" s="78"/>
      <c r="O987" s="80"/>
      <c r="P987" s="70"/>
      <c r="Q987" s="54"/>
      <c r="R987" s="67"/>
      <c r="S987" s="67"/>
      <c r="T987" s="54"/>
      <c r="U987" s="86"/>
      <c r="V987" s="54"/>
      <c r="W987" s="86"/>
      <c r="X987" s="54"/>
      <c r="Y987" s="78"/>
      <c r="Z987" s="54"/>
      <c r="AA987" s="70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54"/>
      <c r="AR987" s="83"/>
      <c r="AS987" s="83"/>
      <c r="AT987" s="93"/>
      <c r="AU987" s="93"/>
      <c r="AV987" s="93"/>
      <c r="AW987" s="83"/>
      <c r="AX987" s="83"/>
      <c r="AY987" s="83"/>
      <c r="AZ987" s="83"/>
      <c r="BA987" s="83"/>
      <c r="BB987" s="83"/>
      <c r="BC987" s="54"/>
      <c r="BD987" s="54" t="str">
        <f t="shared" si="1"/>
        <v/>
      </c>
      <c r="BE987" s="67"/>
      <c r="BF987" s="67"/>
      <c r="BG987" s="67"/>
      <c r="BH987" s="67"/>
      <c r="BI987" s="67"/>
      <c r="BJ987" s="67"/>
      <c r="BK987" s="67"/>
      <c r="BL987" s="67"/>
      <c r="BM987" s="67"/>
      <c r="BN987" s="100"/>
      <c r="BO987" s="102"/>
      <c r="BP987" s="67"/>
      <c r="BQ987" s="79"/>
      <c r="BR987" s="67"/>
      <c r="BS987" s="102"/>
      <c r="BT987" s="106"/>
      <c r="BU987" s="107"/>
      <c r="BV987" s="108" t="str">
        <f t="shared" si="17"/>
        <v/>
      </c>
      <c r="BW987" s="108" t="str">
        <f t="shared" si="16"/>
        <v/>
      </c>
      <c r="BX987" s="102" t="str">
        <f t="shared" si="15"/>
        <v/>
      </c>
      <c r="BY987" s="107" t="str">
        <f t="shared" si="5"/>
        <v/>
      </c>
      <c r="BZ987" s="107" t="str">
        <f t="array" ref="BZ987">IF($A987&lt;&gt;"",INDEX(LISTA!$M$2:$N$27,MATCH($BC987,LISTA!$N$2:$N$27,0),1),"")</f>
        <v/>
      </c>
      <c r="CA987" s="67" t="str">
        <f t="shared" si="6"/>
        <v/>
      </c>
      <c r="CB987" s="114" t="str">
        <f t="shared" si="7"/>
        <v/>
      </c>
      <c r="CC987" s="114"/>
    </row>
    <row r="988" ht="22.5" customHeight="1">
      <c r="A988" s="59"/>
      <c r="B988" s="115"/>
      <c r="C988" s="54"/>
      <c r="D988" s="56"/>
      <c r="E988" s="69"/>
      <c r="F988" s="73"/>
      <c r="G988" s="79"/>
      <c r="H988" s="79"/>
      <c r="I988" s="67"/>
      <c r="J988" s="79"/>
      <c r="K988" s="67"/>
      <c r="L988" s="79"/>
      <c r="M988" s="83"/>
      <c r="N988" s="78"/>
      <c r="O988" s="80"/>
      <c r="P988" s="70"/>
      <c r="Q988" s="54"/>
      <c r="R988" s="67"/>
      <c r="S988" s="67"/>
      <c r="T988" s="54"/>
      <c r="U988" s="86"/>
      <c r="V988" s="54"/>
      <c r="W988" s="86"/>
      <c r="X988" s="54"/>
      <c r="Y988" s="78"/>
      <c r="Z988" s="54"/>
      <c r="AA988" s="70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54"/>
      <c r="AR988" s="83"/>
      <c r="AS988" s="83"/>
      <c r="AT988" s="93"/>
      <c r="AU988" s="93"/>
      <c r="AV988" s="93"/>
      <c r="AW988" s="83"/>
      <c r="AX988" s="83"/>
      <c r="AY988" s="83"/>
      <c r="AZ988" s="83"/>
      <c r="BA988" s="83"/>
      <c r="BB988" s="83"/>
      <c r="BC988" s="54"/>
      <c r="BD988" s="54" t="str">
        <f t="shared" si="1"/>
        <v/>
      </c>
      <c r="BE988" s="67"/>
      <c r="BF988" s="67"/>
      <c r="BG988" s="67"/>
      <c r="BH988" s="67"/>
      <c r="BI988" s="67"/>
      <c r="BJ988" s="67"/>
      <c r="BK988" s="67"/>
      <c r="BL988" s="67"/>
      <c r="BM988" s="67"/>
      <c r="BN988" s="100"/>
      <c r="BO988" s="102"/>
      <c r="BP988" s="67"/>
      <c r="BQ988" s="79"/>
      <c r="BR988" s="67"/>
      <c r="BS988" s="102"/>
      <c r="BT988" s="106"/>
      <c r="BU988" s="107"/>
      <c r="BV988" s="108" t="str">
        <f t="shared" si="17"/>
        <v/>
      </c>
      <c r="BW988" s="108" t="str">
        <f t="shared" si="16"/>
        <v/>
      </c>
      <c r="BX988" s="102" t="str">
        <f t="shared" si="15"/>
        <v/>
      </c>
      <c r="BY988" s="107" t="str">
        <f t="shared" si="5"/>
        <v/>
      </c>
      <c r="BZ988" s="107" t="str">
        <f t="array" ref="BZ988">IF($A988&lt;&gt;"",INDEX(LISTA!$M$2:$N$27,MATCH($BC988,LISTA!$N$2:$N$27,0),1),"")</f>
        <v/>
      </c>
      <c r="CA988" s="67" t="str">
        <f t="shared" si="6"/>
        <v/>
      </c>
      <c r="CB988" s="114" t="str">
        <f t="shared" si="7"/>
        <v/>
      </c>
      <c r="CC988" s="114"/>
    </row>
    <row r="989" ht="22.5" customHeight="1">
      <c r="A989" s="59"/>
      <c r="B989" s="115"/>
      <c r="C989" s="54"/>
      <c r="D989" s="56"/>
      <c r="E989" s="69"/>
      <c r="F989" s="73"/>
      <c r="G989" s="79"/>
      <c r="H989" s="79"/>
      <c r="I989" s="67"/>
      <c r="J989" s="79"/>
      <c r="K989" s="67"/>
      <c r="L989" s="79"/>
      <c r="M989" s="83"/>
      <c r="N989" s="78"/>
      <c r="O989" s="80"/>
      <c r="P989" s="70"/>
      <c r="Q989" s="54"/>
      <c r="R989" s="67"/>
      <c r="S989" s="67"/>
      <c r="T989" s="54"/>
      <c r="U989" s="86"/>
      <c r="V989" s="54"/>
      <c r="W989" s="86"/>
      <c r="X989" s="54"/>
      <c r="Y989" s="78"/>
      <c r="Z989" s="54"/>
      <c r="AA989" s="70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54"/>
      <c r="AR989" s="83"/>
      <c r="AS989" s="83"/>
      <c r="AT989" s="93"/>
      <c r="AU989" s="93"/>
      <c r="AV989" s="93"/>
      <c r="AW989" s="83"/>
      <c r="AX989" s="83"/>
      <c r="AY989" s="83"/>
      <c r="AZ989" s="83"/>
      <c r="BA989" s="83"/>
      <c r="BB989" s="83"/>
      <c r="BC989" s="54"/>
      <c r="BD989" s="54" t="str">
        <f t="shared" si="1"/>
        <v/>
      </c>
      <c r="BE989" s="67"/>
      <c r="BF989" s="67"/>
      <c r="BG989" s="67"/>
      <c r="BH989" s="67"/>
      <c r="BI989" s="67"/>
      <c r="BJ989" s="67"/>
      <c r="BK989" s="67"/>
      <c r="BL989" s="67"/>
      <c r="BM989" s="67"/>
      <c r="BN989" s="100"/>
      <c r="BO989" s="102"/>
      <c r="BP989" s="67"/>
      <c r="BQ989" s="79"/>
      <c r="BR989" s="67"/>
      <c r="BS989" s="102"/>
      <c r="BT989" s="106"/>
      <c r="BU989" s="107"/>
      <c r="BV989" s="108" t="str">
        <f t="shared" si="17"/>
        <v/>
      </c>
      <c r="BW989" s="108" t="str">
        <f t="shared" si="16"/>
        <v/>
      </c>
      <c r="BX989" s="102" t="str">
        <f t="shared" si="15"/>
        <v/>
      </c>
      <c r="BY989" s="107" t="str">
        <f t="shared" si="5"/>
        <v/>
      </c>
      <c r="BZ989" s="107" t="str">
        <f t="array" ref="BZ989">IF($A989&lt;&gt;"",INDEX(LISTA!$M$2:$N$27,MATCH($BC989,LISTA!$N$2:$N$27,0),1),"")</f>
        <v/>
      </c>
      <c r="CA989" s="67" t="str">
        <f t="shared" si="6"/>
        <v/>
      </c>
      <c r="CB989" s="114" t="str">
        <f t="shared" si="7"/>
        <v/>
      </c>
      <c r="CC989" s="114"/>
    </row>
    <row r="990" ht="22.5" customHeight="1">
      <c r="A990" s="59"/>
      <c r="B990" s="115"/>
      <c r="C990" s="54"/>
      <c r="D990" s="56"/>
      <c r="E990" s="69"/>
      <c r="F990" s="73"/>
      <c r="G990" s="79"/>
      <c r="H990" s="79"/>
      <c r="I990" s="67"/>
      <c r="J990" s="79"/>
      <c r="K990" s="67"/>
      <c r="L990" s="79"/>
      <c r="M990" s="83"/>
      <c r="N990" s="78"/>
      <c r="O990" s="80"/>
      <c r="P990" s="70"/>
      <c r="Q990" s="54"/>
      <c r="R990" s="67"/>
      <c r="S990" s="67"/>
      <c r="T990" s="54"/>
      <c r="U990" s="86"/>
      <c r="V990" s="54"/>
      <c r="W990" s="86"/>
      <c r="X990" s="54"/>
      <c r="Y990" s="78"/>
      <c r="Z990" s="54"/>
      <c r="AA990" s="70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54"/>
      <c r="AR990" s="83"/>
      <c r="AS990" s="83"/>
      <c r="AT990" s="93"/>
      <c r="AU990" s="93"/>
      <c r="AV990" s="93"/>
      <c r="AW990" s="83"/>
      <c r="AX990" s="83"/>
      <c r="AY990" s="83"/>
      <c r="AZ990" s="83"/>
      <c r="BA990" s="83"/>
      <c r="BB990" s="83"/>
      <c r="BC990" s="54"/>
      <c r="BD990" s="54" t="str">
        <f t="shared" si="1"/>
        <v/>
      </c>
      <c r="BE990" s="67"/>
      <c r="BF990" s="67"/>
      <c r="BG990" s="67"/>
      <c r="BH990" s="67"/>
      <c r="BI990" s="67"/>
      <c r="BJ990" s="67"/>
      <c r="BK990" s="67"/>
      <c r="BL990" s="67"/>
      <c r="BM990" s="67"/>
      <c r="BN990" s="100"/>
      <c r="BO990" s="102"/>
      <c r="BP990" s="67"/>
      <c r="BQ990" s="79"/>
      <c r="BR990" s="67"/>
      <c r="BS990" s="102"/>
      <c r="BT990" s="106"/>
      <c r="BU990" s="107"/>
      <c r="BV990" s="108" t="str">
        <f t="shared" si="17"/>
        <v/>
      </c>
      <c r="BW990" s="108" t="str">
        <f t="shared" si="16"/>
        <v/>
      </c>
      <c r="BX990" s="102" t="str">
        <f t="shared" si="15"/>
        <v/>
      </c>
      <c r="BY990" s="107" t="str">
        <f t="shared" si="5"/>
        <v/>
      </c>
      <c r="BZ990" s="107" t="str">
        <f t="array" ref="BZ990">IF($A990&lt;&gt;"",INDEX(LISTA!$M$2:$N$27,MATCH($BC990,LISTA!$N$2:$N$27,0),1),"")</f>
        <v/>
      </c>
      <c r="CA990" s="67" t="str">
        <f t="shared" si="6"/>
        <v/>
      </c>
      <c r="CB990" s="114" t="str">
        <f t="shared" si="7"/>
        <v/>
      </c>
      <c r="CC990" s="114"/>
    </row>
    <row r="991" ht="22.5" customHeight="1">
      <c r="A991" s="59"/>
      <c r="B991" s="115"/>
      <c r="C991" s="54"/>
      <c r="D991" s="56"/>
      <c r="E991" s="69"/>
      <c r="F991" s="73"/>
      <c r="G991" s="79"/>
      <c r="H991" s="79"/>
      <c r="I991" s="67"/>
      <c r="J991" s="79"/>
      <c r="K991" s="67"/>
      <c r="L991" s="79"/>
      <c r="M991" s="83"/>
      <c r="N991" s="78"/>
      <c r="O991" s="80"/>
      <c r="P991" s="70"/>
      <c r="Q991" s="54"/>
      <c r="R991" s="67"/>
      <c r="S991" s="67"/>
      <c r="T991" s="54"/>
      <c r="U991" s="86"/>
      <c r="V991" s="54"/>
      <c r="W991" s="86"/>
      <c r="X991" s="54"/>
      <c r="Y991" s="78"/>
      <c r="Z991" s="54"/>
      <c r="AA991" s="70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54"/>
      <c r="AR991" s="83"/>
      <c r="AS991" s="83"/>
      <c r="AT991" s="93"/>
      <c r="AU991" s="93"/>
      <c r="AV991" s="93"/>
      <c r="AW991" s="83"/>
      <c r="AX991" s="83"/>
      <c r="AY991" s="83"/>
      <c r="AZ991" s="83"/>
      <c r="BA991" s="83"/>
      <c r="BB991" s="83"/>
      <c r="BC991" s="54"/>
      <c r="BD991" s="54" t="str">
        <f t="shared" si="1"/>
        <v/>
      </c>
      <c r="BE991" s="67"/>
      <c r="BF991" s="67"/>
      <c r="BG991" s="67"/>
      <c r="BH991" s="67"/>
      <c r="BI991" s="67"/>
      <c r="BJ991" s="67"/>
      <c r="BK991" s="67"/>
      <c r="BL991" s="67"/>
      <c r="BM991" s="67"/>
      <c r="BN991" s="100"/>
      <c r="BO991" s="102"/>
      <c r="BP991" s="67"/>
      <c r="BQ991" s="79"/>
      <c r="BR991" s="67"/>
      <c r="BS991" s="102"/>
      <c r="BT991" s="106"/>
      <c r="BU991" s="107"/>
      <c r="BV991" s="108" t="str">
        <f t="shared" si="17"/>
        <v/>
      </c>
      <c r="BW991" s="108" t="str">
        <f t="shared" si="16"/>
        <v/>
      </c>
      <c r="BX991" s="102" t="str">
        <f t="shared" si="15"/>
        <v/>
      </c>
      <c r="BY991" s="107" t="str">
        <f t="shared" si="5"/>
        <v/>
      </c>
      <c r="BZ991" s="107" t="str">
        <f t="array" ref="BZ991">IF($A991&lt;&gt;"",INDEX(LISTA!$M$2:$N$27,MATCH($BC991,LISTA!$N$2:$N$27,0),1),"")</f>
        <v/>
      </c>
      <c r="CA991" s="67" t="str">
        <f t="shared" si="6"/>
        <v/>
      </c>
      <c r="CB991" s="114" t="str">
        <f t="shared" si="7"/>
        <v/>
      </c>
      <c r="CC991" s="114"/>
    </row>
    <row r="992" ht="22.5" customHeight="1">
      <c r="A992" s="59"/>
      <c r="B992" s="115"/>
      <c r="C992" s="54"/>
      <c r="D992" s="56"/>
      <c r="E992" s="69"/>
      <c r="F992" s="73"/>
      <c r="G992" s="79"/>
      <c r="H992" s="79"/>
      <c r="I992" s="67"/>
      <c r="J992" s="79"/>
      <c r="K992" s="67"/>
      <c r="L992" s="79"/>
      <c r="M992" s="83"/>
      <c r="N992" s="78"/>
      <c r="O992" s="80"/>
      <c r="P992" s="70"/>
      <c r="Q992" s="54"/>
      <c r="R992" s="67"/>
      <c r="S992" s="67"/>
      <c r="T992" s="54"/>
      <c r="U992" s="86"/>
      <c r="V992" s="54"/>
      <c r="W992" s="86"/>
      <c r="X992" s="54"/>
      <c r="Y992" s="78"/>
      <c r="Z992" s="54"/>
      <c r="AA992" s="70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54"/>
      <c r="AR992" s="83"/>
      <c r="AS992" s="83"/>
      <c r="AT992" s="93"/>
      <c r="AU992" s="93"/>
      <c r="AV992" s="93"/>
      <c r="AW992" s="83"/>
      <c r="AX992" s="83"/>
      <c r="AY992" s="83"/>
      <c r="AZ992" s="83"/>
      <c r="BA992" s="83"/>
      <c r="BB992" s="83"/>
      <c r="BC992" s="54"/>
      <c r="BD992" s="54" t="str">
        <f t="shared" si="1"/>
        <v/>
      </c>
      <c r="BE992" s="67"/>
      <c r="BF992" s="67"/>
      <c r="BG992" s="67"/>
      <c r="BH992" s="67"/>
      <c r="BI992" s="67"/>
      <c r="BJ992" s="67"/>
      <c r="BK992" s="67"/>
      <c r="BL992" s="67"/>
      <c r="BM992" s="67"/>
      <c r="BN992" s="100"/>
      <c r="BO992" s="102"/>
      <c r="BP992" s="67"/>
      <c r="BQ992" s="79"/>
      <c r="BR992" s="67"/>
      <c r="BS992" s="102"/>
      <c r="BT992" s="106"/>
      <c r="BU992" s="107"/>
      <c r="BV992" s="108" t="str">
        <f t="shared" si="17"/>
        <v/>
      </c>
      <c r="BW992" s="108" t="str">
        <f t="shared" si="16"/>
        <v/>
      </c>
      <c r="BX992" s="102" t="str">
        <f t="shared" si="15"/>
        <v/>
      </c>
      <c r="BY992" s="107" t="str">
        <f t="shared" si="5"/>
        <v/>
      </c>
      <c r="BZ992" s="107" t="str">
        <f t="array" ref="BZ992">IF($A992&lt;&gt;"",INDEX(LISTA!$M$2:$N$27,MATCH($BC992,LISTA!$N$2:$N$27,0),1),"")</f>
        <v/>
      </c>
      <c r="CA992" s="67" t="str">
        <f t="shared" si="6"/>
        <v/>
      </c>
      <c r="CB992" s="114" t="str">
        <f t="shared" si="7"/>
        <v/>
      </c>
      <c r="CC992" s="114"/>
    </row>
    <row r="993" ht="22.5" customHeight="1">
      <c r="A993" s="59"/>
      <c r="B993" s="115"/>
      <c r="C993" s="54"/>
      <c r="D993" s="56"/>
      <c r="E993" s="69"/>
      <c r="F993" s="73"/>
      <c r="G993" s="79"/>
      <c r="H993" s="79"/>
      <c r="I993" s="67"/>
      <c r="J993" s="79"/>
      <c r="K993" s="67"/>
      <c r="L993" s="79"/>
      <c r="M993" s="83"/>
      <c r="N993" s="78"/>
      <c r="O993" s="80"/>
      <c r="P993" s="70"/>
      <c r="Q993" s="54"/>
      <c r="R993" s="67"/>
      <c r="S993" s="67"/>
      <c r="T993" s="54"/>
      <c r="U993" s="86"/>
      <c r="V993" s="54"/>
      <c r="W993" s="86"/>
      <c r="X993" s="54"/>
      <c r="Y993" s="78"/>
      <c r="Z993" s="54"/>
      <c r="AA993" s="70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54"/>
      <c r="AR993" s="83"/>
      <c r="AS993" s="83"/>
      <c r="AT993" s="93"/>
      <c r="AU993" s="93"/>
      <c r="AV993" s="93"/>
      <c r="AW993" s="83"/>
      <c r="AX993" s="83"/>
      <c r="AY993" s="83"/>
      <c r="AZ993" s="83"/>
      <c r="BA993" s="83"/>
      <c r="BB993" s="83"/>
      <c r="BC993" s="54"/>
      <c r="BD993" s="54" t="str">
        <f t="shared" si="1"/>
        <v/>
      </c>
      <c r="BE993" s="67"/>
      <c r="BF993" s="67"/>
      <c r="BG993" s="67"/>
      <c r="BH993" s="67"/>
      <c r="BI993" s="67"/>
      <c r="BJ993" s="67"/>
      <c r="BK993" s="67"/>
      <c r="BL993" s="67"/>
      <c r="BM993" s="67"/>
      <c r="BN993" s="100"/>
      <c r="BO993" s="102"/>
      <c r="BP993" s="67"/>
      <c r="BQ993" s="79"/>
      <c r="BR993" s="67"/>
      <c r="BS993" s="102"/>
      <c r="BT993" s="106"/>
      <c r="BU993" s="107"/>
      <c r="BV993" s="108" t="str">
        <f t="shared" si="17"/>
        <v/>
      </c>
      <c r="BW993" s="108" t="str">
        <f t="shared" si="16"/>
        <v/>
      </c>
      <c r="BX993" s="102" t="str">
        <f t="shared" si="15"/>
        <v/>
      </c>
      <c r="BY993" s="107" t="str">
        <f t="shared" si="5"/>
        <v/>
      </c>
      <c r="BZ993" s="107" t="str">
        <f t="array" ref="BZ993">IF($A993&lt;&gt;"",INDEX(LISTA!$M$2:$N$27,MATCH($BC993,LISTA!$N$2:$N$27,0),1),"")</f>
        <v/>
      </c>
      <c r="CA993" s="67" t="str">
        <f t="shared" si="6"/>
        <v/>
      </c>
      <c r="CB993" s="114" t="str">
        <f t="shared" si="7"/>
        <v/>
      </c>
      <c r="CC993" s="114"/>
    </row>
    <row r="994" ht="22.5" customHeight="1">
      <c r="A994" s="59"/>
      <c r="B994" s="115"/>
      <c r="C994" s="54"/>
      <c r="D994" s="56"/>
      <c r="E994" s="69"/>
      <c r="F994" s="73"/>
      <c r="G994" s="79"/>
      <c r="H994" s="79"/>
      <c r="I994" s="67"/>
      <c r="J994" s="79"/>
      <c r="K994" s="67"/>
      <c r="L994" s="79"/>
      <c r="M994" s="83"/>
      <c r="N994" s="78"/>
      <c r="O994" s="80"/>
      <c r="P994" s="70"/>
      <c r="Q994" s="54"/>
      <c r="R994" s="67"/>
      <c r="S994" s="67"/>
      <c r="T994" s="54"/>
      <c r="U994" s="86"/>
      <c r="V994" s="54"/>
      <c r="W994" s="86"/>
      <c r="X994" s="54"/>
      <c r="Y994" s="78"/>
      <c r="Z994" s="54"/>
      <c r="AA994" s="70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54"/>
      <c r="AR994" s="83"/>
      <c r="AS994" s="83"/>
      <c r="AT994" s="93"/>
      <c r="AU994" s="93"/>
      <c r="AV994" s="93"/>
      <c r="AW994" s="83"/>
      <c r="AX994" s="83"/>
      <c r="AY994" s="83"/>
      <c r="AZ994" s="83"/>
      <c r="BA994" s="83"/>
      <c r="BB994" s="83"/>
      <c r="BC994" s="54"/>
      <c r="BD994" s="54" t="str">
        <f t="shared" si="1"/>
        <v/>
      </c>
      <c r="BE994" s="67"/>
      <c r="BF994" s="67"/>
      <c r="BG994" s="67"/>
      <c r="BH994" s="67"/>
      <c r="BI994" s="67"/>
      <c r="BJ994" s="67"/>
      <c r="BK994" s="67"/>
      <c r="BL994" s="67"/>
      <c r="BM994" s="67"/>
      <c r="BN994" s="100"/>
      <c r="BO994" s="102"/>
      <c r="BP994" s="67"/>
      <c r="BQ994" s="79"/>
      <c r="BR994" s="67"/>
      <c r="BS994" s="102"/>
      <c r="BT994" s="106"/>
      <c r="BU994" s="107"/>
      <c r="BV994" s="108" t="str">
        <f t="shared" si="17"/>
        <v/>
      </c>
      <c r="BW994" s="108" t="str">
        <f t="shared" si="16"/>
        <v/>
      </c>
      <c r="BX994" s="102" t="str">
        <f t="shared" si="15"/>
        <v/>
      </c>
      <c r="BY994" s="107" t="str">
        <f t="shared" si="5"/>
        <v/>
      </c>
      <c r="BZ994" s="107" t="str">
        <f t="array" ref="BZ994">IF($A994&lt;&gt;"",INDEX(LISTA!$M$2:$N$27,MATCH($BC994,LISTA!$N$2:$N$27,0),1),"")</f>
        <v/>
      </c>
      <c r="CA994" s="67" t="str">
        <f t="shared" si="6"/>
        <v/>
      </c>
      <c r="CB994" s="114" t="str">
        <f t="shared" si="7"/>
        <v/>
      </c>
      <c r="CC994" s="114"/>
    </row>
    <row r="995" ht="22.5" customHeight="1">
      <c r="A995" s="59"/>
      <c r="B995" s="115"/>
      <c r="C995" s="54"/>
      <c r="D995" s="56"/>
      <c r="E995" s="69"/>
      <c r="F995" s="73"/>
      <c r="G995" s="79"/>
      <c r="H995" s="79"/>
      <c r="I995" s="67"/>
      <c r="J995" s="79"/>
      <c r="K995" s="67"/>
      <c r="L995" s="79"/>
      <c r="M995" s="83"/>
      <c r="N995" s="78"/>
      <c r="O995" s="80"/>
      <c r="P995" s="70"/>
      <c r="Q995" s="54"/>
      <c r="R995" s="67"/>
      <c r="S995" s="67"/>
      <c r="T995" s="54"/>
      <c r="U995" s="86"/>
      <c r="V995" s="54"/>
      <c r="W995" s="86"/>
      <c r="X995" s="54"/>
      <c r="Y995" s="78"/>
      <c r="Z995" s="54"/>
      <c r="AA995" s="70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54"/>
      <c r="AR995" s="83"/>
      <c r="AS995" s="83"/>
      <c r="AT995" s="93"/>
      <c r="AU995" s="93"/>
      <c r="AV995" s="93"/>
      <c r="AW995" s="83"/>
      <c r="AX995" s="83"/>
      <c r="AY995" s="83"/>
      <c r="AZ995" s="83"/>
      <c r="BA995" s="83"/>
      <c r="BB995" s="83"/>
      <c r="BC995" s="54"/>
      <c r="BD995" s="54" t="str">
        <f t="shared" si="1"/>
        <v/>
      </c>
      <c r="BE995" s="67"/>
      <c r="BF995" s="67"/>
      <c r="BG995" s="67"/>
      <c r="BH995" s="67"/>
      <c r="BI995" s="67"/>
      <c r="BJ995" s="67"/>
      <c r="BK995" s="67"/>
      <c r="BL995" s="67"/>
      <c r="BM995" s="67"/>
      <c r="BN995" s="100"/>
      <c r="BO995" s="102"/>
      <c r="BP995" s="67"/>
      <c r="BQ995" s="79"/>
      <c r="BR995" s="67"/>
      <c r="BS995" s="102"/>
      <c r="BT995" s="106"/>
      <c r="BU995" s="107"/>
      <c r="BV995" s="108" t="str">
        <f t="shared" si="17"/>
        <v/>
      </c>
      <c r="BW995" s="108" t="str">
        <f t="shared" si="16"/>
        <v/>
      </c>
      <c r="BX995" s="102" t="str">
        <f t="shared" si="15"/>
        <v/>
      </c>
      <c r="BY995" s="107" t="str">
        <f t="shared" si="5"/>
        <v/>
      </c>
      <c r="BZ995" s="107" t="str">
        <f t="array" ref="BZ995">IF($A995&lt;&gt;"",INDEX(LISTA!$M$2:$N$27,MATCH($BC995,LISTA!$N$2:$N$27,0),1),"")</f>
        <v/>
      </c>
      <c r="CA995" s="67" t="str">
        <f t="shared" si="6"/>
        <v/>
      </c>
      <c r="CB995" s="114" t="str">
        <f t="shared" si="7"/>
        <v/>
      </c>
      <c r="CC995" s="114"/>
    </row>
    <row r="996" ht="22.5" customHeight="1">
      <c r="A996" s="59"/>
      <c r="B996" s="115"/>
      <c r="C996" s="54"/>
      <c r="D996" s="56"/>
      <c r="E996" s="69"/>
      <c r="F996" s="73"/>
      <c r="G996" s="79"/>
      <c r="H996" s="79"/>
      <c r="I996" s="67"/>
      <c r="J996" s="79"/>
      <c r="K996" s="67"/>
      <c r="L996" s="79"/>
      <c r="M996" s="83"/>
      <c r="N996" s="78"/>
      <c r="O996" s="80"/>
      <c r="P996" s="70"/>
      <c r="Q996" s="54"/>
      <c r="R996" s="67"/>
      <c r="S996" s="67"/>
      <c r="T996" s="54"/>
      <c r="U996" s="86"/>
      <c r="V996" s="54"/>
      <c r="W996" s="86"/>
      <c r="X996" s="54"/>
      <c r="Y996" s="78"/>
      <c r="Z996" s="54"/>
      <c r="AA996" s="70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54"/>
      <c r="AR996" s="83"/>
      <c r="AS996" s="83"/>
      <c r="AT996" s="93"/>
      <c r="AU996" s="93"/>
      <c r="AV996" s="93"/>
      <c r="AW996" s="83"/>
      <c r="AX996" s="83"/>
      <c r="AY996" s="83"/>
      <c r="AZ996" s="83"/>
      <c r="BA996" s="83"/>
      <c r="BB996" s="83"/>
      <c r="BC996" s="54"/>
      <c r="BD996" s="54" t="str">
        <f t="shared" si="1"/>
        <v/>
      </c>
      <c r="BE996" s="67"/>
      <c r="BF996" s="67"/>
      <c r="BG996" s="67"/>
      <c r="BH996" s="67"/>
      <c r="BI996" s="67"/>
      <c r="BJ996" s="67"/>
      <c r="BK996" s="67"/>
      <c r="BL996" s="67"/>
      <c r="BM996" s="67"/>
      <c r="BN996" s="100"/>
      <c r="BO996" s="102"/>
      <c r="BP996" s="67"/>
      <c r="BQ996" s="79"/>
      <c r="BR996" s="67"/>
      <c r="BS996" s="102"/>
      <c r="BT996" s="106"/>
      <c r="BU996" s="107"/>
      <c r="BV996" s="108" t="str">
        <f t="shared" si="17"/>
        <v/>
      </c>
      <c r="BW996" s="108" t="str">
        <f t="shared" si="16"/>
        <v/>
      </c>
      <c r="BX996" s="102" t="str">
        <f t="shared" si="15"/>
        <v/>
      </c>
      <c r="BY996" s="107" t="str">
        <f t="shared" si="5"/>
        <v/>
      </c>
      <c r="BZ996" s="107" t="str">
        <f t="array" ref="BZ996">IF($A996&lt;&gt;"",INDEX(LISTA!$M$2:$N$27,MATCH($BC996,LISTA!$N$2:$N$27,0),1),"")</f>
        <v/>
      </c>
      <c r="CA996" s="67" t="str">
        <f t="shared" si="6"/>
        <v/>
      </c>
      <c r="CB996" s="114" t="str">
        <f t="shared" si="7"/>
        <v/>
      </c>
      <c r="CC996" s="114"/>
    </row>
    <row r="997" ht="22.5" customHeight="1">
      <c r="A997" s="59"/>
      <c r="B997" s="115"/>
      <c r="C997" s="54"/>
      <c r="D997" s="56"/>
      <c r="E997" s="69"/>
      <c r="F997" s="73"/>
      <c r="G997" s="79"/>
      <c r="H997" s="79"/>
      <c r="I997" s="67"/>
      <c r="J997" s="79"/>
      <c r="K997" s="67"/>
      <c r="L997" s="79"/>
      <c r="M997" s="83"/>
      <c r="N997" s="78"/>
      <c r="O997" s="80"/>
      <c r="P997" s="70"/>
      <c r="Q997" s="54"/>
      <c r="R997" s="67"/>
      <c r="S997" s="67"/>
      <c r="T997" s="54"/>
      <c r="U997" s="86"/>
      <c r="V997" s="54"/>
      <c r="W997" s="86"/>
      <c r="X997" s="54"/>
      <c r="Y997" s="78"/>
      <c r="Z997" s="54"/>
      <c r="AA997" s="70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54"/>
      <c r="AR997" s="83"/>
      <c r="AS997" s="83"/>
      <c r="AT997" s="93"/>
      <c r="AU997" s="93"/>
      <c r="AV997" s="93"/>
      <c r="AW997" s="83"/>
      <c r="AX997" s="83"/>
      <c r="AY997" s="83"/>
      <c r="AZ997" s="83"/>
      <c r="BA997" s="83"/>
      <c r="BB997" s="83"/>
      <c r="BC997" s="54"/>
      <c r="BD997" s="54" t="str">
        <f t="shared" si="1"/>
        <v/>
      </c>
      <c r="BE997" s="67"/>
      <c r="BF997" s="67"/>
      <c r="BG997" s="67"/>
      <c r="BH997" s="67"/>
      <c r="BI997" s="67"/>
      <c r="BJ997" s="67"/>
      <c r="BK997" s="67"/>
      <c r="BL997" s="67"/>
      <c r="BM997" s="67"/>
      <c r="BN997" s="100"/>
      <c r="BO997" s="102"/>
      <c r="BP997" s="67"/>
      <c r="BQ997" s="79"/>
      <c r="BR997" s="67"/>
      <c r="BS997" s="102"/>
      <c r="BT997" s="106"/>
      <c r="BU997" s="107"/>
      <c r="BV997" s="108" t="str">
        <f t="shared" si="17"/>
        <v/>
      </c>
      <c r="BW997" s="108" t="str">
        <f t="shared" si="16"/>
        <v/>
      </c>
      <c r="BX997" s="102" t="str">
        <f t="shared" si="15"/>
        <v/>
      </c>
      <c r="BY997" s="107" t="str">
        <f t="shared" si="5"/>
        <v/>
      </c>
      <c r="BZ997" s="107" t="str">
        <f t="array" ref="BZ997">IF($A997&lt;&gt;"",INDEX(LISTA!$M$2:$N$27,MATCH($BC997,LISTA!$N$2:$N$27,0),1),"")</f>
        <v/>
      </c>
      <c r="CA997" s="67" t="str">
        <f t="shared" si="6"/>
        <v/>
      </c>
      <c r="CB997" s="114" t="str">
        <f t="shared" si="7"/>
        <v/>
      </c>
      <c r="CC997" s="114"/>
    </row>
    <row r="998" ht="22.5" customHeight="1">
      <c r="A998" s="59"/>
      <c r="B998" s="115"/>
      <c r="C998" s="54"/>
      <c r="D998" s="56"/>
      <c r="E998" s="69"/>
      <c r="F998" s="73"/>
      <c r="G998" s="79"/>
      <c r="H998" s="79"/>
      <c r="I998" s="67"/>
      <c r="J998" s="79"/>
      <c r="K998" s="67"/>
      <c r="L998" s="79"/>
      <c r="M998" s="83"/>
      <c r="N998" s="78"/>
      <c r="O998" s="80"/>
      <c r="P998" s="70"/>
      <c r="Q998" s="54"/>
      <c r="R998" s="67"/>
      <c r="S998" s="67"/>
      <c r="T998" s="54"/>
      <c r="U998" s="86"/>
      <c r="V998" s="54"/>
      <c r="W998" s="86"/>
      <c r="X998" s="54"/>
      <c r="Y998" s="78"/>
      <c r="Z998" s="54"/>
      <c r="AA998" s="70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54"/>
      <c r="AR998" s="83"/>
      <c r="AS998" s="83"/>
      <c r="AT998" s="93"/>
      <c r="AU998" s="93"/>
      <c r="AV998" s="93"/>
      <c r="AW998" s="83"/>
      <c r="AX998" s="83"/>
      <c r="AY998" s="83"/>
      <c r="AZ998" s="83"/>
      <c r="BA998" s="83"/>
      <c r="BB998" s="83"/>
      <c r="BC998" s="54"/>
      <c r="BD998" s="54" t="str">
        <f t="shared" si="1"/>
        <v/>
      </c>
      <c r="BE998" s="67"/>
      <c r="BF998" s="67"/>
      <c r="BG998" s="67"/>
      <c r="BH998" s="67"/>
      <c r="BI998" s="67"/>
      <c r="BJ998" s="67"/>
      <c r="BK998" s="67"/>
      <c r="BL998" s="67"/>
      <c r="BM998" s="67"/>
      <c r="BN998" s="100"/>
      <c r="BO998" s="102"/>
      <c r="BP998" s="67"/>
      <c r="BQ998" s="79"/>
      <c r="BR998" s="67"/>
      <c r="BS998" s="102"/>
      <c r="BT998" s="106"/>
      <c r="BU998" s="107"/>
      <c r="BV998" s="108" t="str">
        <f t="shared" si="17"/>
        <v/>
      </c>
      <c r="BW998" s="108" t="str">
        <f t="shared" si="16"/>
        <v/>
      </c>
      <c r="BX998" s="102" t="str">
        <f t="shared" si="15"/>
        <v/>
      </c>
      <c r="BY998" s="107" t="str">
        <f t="shared" si="5"/>
        <v/>
      </c>
      <c r="BZ998" s="107" t="str">
        <f t="array" ref="BZ998">IF($A998&lt;&gt;"",INDEX(LISTA!$M$2:$N$27,MATCH($BC998,LISTA!$N$2:$N$27,0),1),"")</f>
        <v/>
      </c>
      <c r="CA998" s="67" t="str">
        <f t="shared" si="6"/>
        <v/>
      </c>
      <c r="CB998" s="114" t="str">
        <f t="shared" si="7"/>
        <v/>
      </c>
      <c r="CC998" s="114"/>
    </row>
    <row r="999" ht="22.5" customHeight="1">
      <c r="A999" s="59"/>
      <c r="B999" s="115"/>
      <c r="C999" s="54"/>
      <c r="D999" s="56"/>
      <c r="E999" s="69"/>
      <c r="F999" s="73"/>
      <c r="G999" s="79"/>
      <c r="H999" s="79"/>
      <c r="I999" s="67"/>
      <c r="J999" s="79"/>
      <c r="K999" s="67"/>
      <c r="L999" s="79"/>
      <c r="M999" s="83"/>
      <c r="N999" s="78"/>
      <c r="O999" s="80"/>
      <c r="P999" s="70"/>
      <c r="Q999" s="54"/>
      <c r="R999" s="67"/>
      <c r="S999" s="67"/>
      <c r="T999" s="54"/>
      <c r="U999" s="86"/>
      <c r="V999" s="54"/>
      <c r="W999" s="86"/>
      <c r="X999" s="54"/>
      <c r="Y999" s="78"/>
      <c r="Z999" s="54"/>
      <c r="AA999" s="70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54"/>
      <c r="AR999" s="83"/>
      <c r="AS999" s="83"/>
      <c r="AT999" s="93"/>
      <c r="AU999" s="93"/>
      <c r="AV999" s="93"/>
      <c r="AW999" s="83"/>
      <c r="AX999" s="83"/>
      <c r="AY999" s="83"/>
      <c r="AZ999" s="83"/>
      <c r="BA999" s="83"/>
      <c r="BB999" s="83"/>
      <c r="BC999" s="54"/>
      <c r="BD999" s="54" t="str">
        <f t="shared" si="1"/>
        <v/>
      </c>
      <c r="BE999" s="67"/>
      <c r="BF999" s="67"/>
      <c r="BG999" s="67"/>
      <c r="BH999" s="67"/>
      <c r="BI999" s="67"/>
      <c r="BJ999" s="67"/>
      <c r="BK999" s="67"/>
      <c r="BL999" s="67"/>
      <c r="BM999" s="67"/>
      <c r="BN999" s="100"/>
      <c r="BO999" s="102"/>
      <c r="BP999" s="67"/>
      <c r="BQ999" s="79"/>
      <c r="BR999" s="67"/>
      <c r="BS999" s="102"/>
      <c r="BT999" s="106"/>
      <c r="BU999" s="107"/>
      <c r="BV999" s="108" t="str">
        <f t="shared" si="17"/>
        <v/>
      </c>
      <c r="BW999" s="108" t="str">
        <f t="shared" si="16"/>
        <v/>
      </c>
      <c r="BX999" s="102" t="str">
        <f t="shared" si="15"/>
        <v/>
      </c>
      <c r="BY999" s="107" t="str">
        <f t="shared" si="5"/>
        <v/>
      </c>
      <c r="BZ999" s="107" t="str">
        <f t="array" ref="BZ999">IF($A999&lt;&gt;"",INDEX(LISTA!$M$2:$N$27,MATCH($BC999,LISTA!$N$2:$N$27,0),1),"")</f>
        <v/>
      </c>
      <c r="CA999" s="67" t="str">
        <f t="shared" si="6"/>
        <v/>
      </c>
      <c r="CB999" s="114" t="str">
        <f t="shared" si="7"/>
        <v/>
      </c>
      <c r="CC999" s="114"/>
    </row>
    <row r="1000" ht="22.5" customHeight="1">
      <c r="A1000" s="59"/>
      <c r="B1000" s="115"/>
      <c r="C1000" s="54"/>
      <c r="D1000" s="56"/>
      <c r="E1000" s="69"/>
      <c r="F1000" s="73"/>
      <c r="G1000" s="79"/>
      <c r="H1000" s="79"/>
      <c r="I1000" s="67"/>
      <c r="J1000" s="79"/>
      <c r="K1000" s="67"/>
      <c r="L1000" s="79"/>
      <c r="M1000" s="83"/>
      <c r="N1000" s="78"/>
      <c r="O1000" s="80"/>
      <c r="P1000" s="70"/>
      <c r="Q1000" s="54"/>
      <c r="R1000" s="67"/>
      <c r="S1000" s="67"/>
      <c r="T1000" s="54"/>
      <c r="U1000" s="86"/>
      <c r="V1000" s="54"/>
      <c r="W1000" s="86"/>
      <c r="X1000" s="54"/>
      <c r="Y1000" s="78"/>
      <c r="Z1000" s="54"/>
      <c r="AA1000" s="70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54"/>
      <c r="AR1000" s="83"/>
      <c r="AS1000" s="83"/>
      <c r="AT1000" s="93"/>
      <c r="AU1000" s="93"/>
      <c r="AV1000" s="93"/>
      <c r="AW1000" s="83"/>
      <c r="AX1000" s="83"/>
      <c r="AY1000" s="83"/>
      <c r="AZ1000" s="83"/>
      <c r="BA1000" s="83"/>
      <c r="BB1000" s="83"/>
      <c r="BC1000" s="54"/>
      <c r="BD1000" s="54" t="str">
        <f t="shared" si="1"/>
        <v/>
      </c>
      <c r="BE1000" s="67"/>
      <c r="BF1000" s="67"/>
      <c r="BG1000" s="67"/>
      <c r="BH1000" s="67"/>
      <c r="BI1000" s="67"/>
      <c r="BJ1000" s="67"/>
      <c r="BK1000" s="67"/>
      <c r="BL1000" s="67"/>
      <c r="BM1000" s="67"/>
      <c r="BN1000" s="100"/>
      <c r="BO1000" s="102"/>
      <c r="BP1000" s="67"/>
      <c r="BQ1000" s="79"/>
      <c r="BR1000" s="67"/>
      <c r="BS1000" s="102"/>
      <c r="BT1000" s="106"/>
      <c r="BU1000" s="107"/>
      <c r="BV1000" s="108" t="str">
        <f t="shared" si="17"/>
        <v/>
      </c>
      <c r="BW1000" s="108" t="str">
        <f t="shared" si="16"/>
        <v/>
      </c>
      <c r="BX1000" s="102" t="str">
        <f t="shared" si="15"/>
        <v/>
      </c>
      <c r="BY1000" s="107" t="str">
        <f t="shared" si="5"/>
        <v/>
      </c>
      <c r="BZ1000" s="107" t="str">
        <f t="array" ref="BZ1000">IF($A1000&lt;&gt;"",INDEX(LISTA!$M$2:$N$27,MATCH($BC1000,LISTA!$N$2:$N$27,0),1),"")</f>
        <v/>
      </c>
      <c r="CA1000" s="67" t="str">
        <f t="shared" si="6"/>
        <v/>
      </c>
      <c r="CB1000" s="114" t="str">
        <f t="shared" si="7"/>
        <v/>
      </c>
      <c r="CC1000" s="114"/>
    </row>
    <row r="1001" ht="22.5" customHeight="1">
      <c r="A1001" s="59"/>
      <c r="B1001" s="115"/>
      <c r="C1001" s="54"/>
      <c r="D1001" s="56"/>
      <c r="E1001" s="69"/>
      <c r="F1001" s="73"/>
      <c r="G1001" s="79"/>
      <c r="H1001" s="79"/>
      <c r="I1001" s="67"/>
      <c r="J1001" s="79"/>
      <c r="K1001" s="67"/>
      <c r="L1001" s="79"/>
      <c r="M1001" s="83"/>
      <c r="N1001" s="78"/>
      <c r="O1001" s="80"/>
      <c r="P1001" s="70"/>
      <c r="Q1001" s="54"/>
      <c r="R1001" s="67"/>
      <c r="S1001" s="67"/>
      <c r="T1001" s="54"/>
      <c r="U1001" s="86"/>
      <c r="V1001" s="54"/>
      <c r="W1001" s="86"/>
      <c r="X1001" s="54"/>
      <c r="Y1001" s="78"/>
      <c r="Z1001" s="54"/>
      <c r="AA1001" s="70"/>
      <c r="AB1001" s="83"/>
      <c r="AC1001" s="83"/>
      <c r="AD1001" s="83"/>
      <c r="AE1001" s="83"/>
      <c r="AF1001" s="83"/>
      <c r="AG1001" s="83"/>
      <c r="AH1001" s="83"/>
      <c r="AI1001" s="83"/>
      <c r="AJ1001" s="83"/>
      <c r="AK1001" s="83"/>
      <c r="AL1001" s="83"/>
      <c r="AM1001" s="83"/>
      <c r="AN1001" s="83"/>
      <c r="AO1001" s="83"/>
      <c r="AP1001" s="83"/>
      <c r="AQ1001" s="54"/>
      <c r="AR1001" s="83"/>
      <c r="AS1001" s="83"/>
      <c r="AT1001" s="93"/>
      <c r="AU1001" s="93"/>
      <c r="AV1001" s="93"/>
      <c r="AW1001" s="83"/>
      <c r="AX1001" s="83"/>
      <c r="AY1001" s="83"/>
      <c r="AZ1001" s="83"/>
      <c r="BA1001" s="83"/>
      <c r="BB1001" s="83"/>
      <c r="BC1001" s="54"/>
      <c r="BD1001" s="54" t="str">
        <f t="shared" si="1"/>
        <v/>
      </c>
      <c r="BE1001" s="67"/>
      <c r="BF1001" s="67"/>
      <c r="BG1001" s="67"/>
      <c r="BH1001" s="67"/>
      <c r="BI1001" s="67"/>
      <c r="BJ1001" s="67"/>
      <c r="BK1001" s="67"/>
      <c r="BL1001" s="67"/>
      <c r="BM1001" s="67"/>
      <c r="BN1001" s="100"/>
      <c r="BO1001" s="102"/>
      <c r="BP1001" s="67"/>
      <c r="BQ1001" s="79"/>
      <c r="BR1001" s="67"/>
      <c r="BS1001" s="102"/>
      <c r="BT1001" s="106"/>
      <c r="BU1001" s="107"/>
      <c r="BV1001" s="108" t="str">
        <f t="shared" si="17"/>
        <v/>
      </c>
      <c r="BW1001" s="108" t="str">
        <f t="shared" si="16"/>
        <v/>
      </c>
      <c r="BX1001" s="102" t="str">
        <f t="shared" si="15"/>
        <v/>
      </c>
      <c r="BY1001" s="107" t="str">
        <f t="shared" si="5"/>
        <v/>
      </c>
      <c r="BZ1001" s="107" t="str">
        <f t="array" ref="BZ1001">IF($A1001&lt;&gt;"",INDEX(LISTA!$M$2:$N$27,MATCH($BC1001,LISTA!$N$2:$N$27,0),1),"")</f>
        <v/>
      </c>
      <c r="CA1001" s="67" t="str">
        <f t="shared" si="6"/>
        <v/>
      </c>
      <c r="CB1001" s="114" t="str">
        <f t="shared" si="7"/>
        <v/>
      </c>
      <c r="CC1001" s="114"/>
    </row>
    <row r="1002" ht="22.5" customHeight="1">
      <c r="A1002" s="59"/>
      <c r="B1002" s="115"/>
      <c r="C1002" s="54"/>
      <c r="D1002" s="56"/>
      <c r="E1002" s="69"/>
      <c r="F1002" s="73"/>
      <c r="G1002" s="79"/>
      <c r="H1002" s="79"/>
      <c r="I1002" s="67"/>
      <c r="J1002" s="79"/>
      <c r="K1002" s="67"/>
      <c r="L1002" s="79"/>
      <c r="M1002" s="83"/>
      <c r="N1002" s="78"/>
      <c r="O1002" s="80"/>
      <c r="P1002" s="70"/>
      <c r="Q1002" s="54"/>
      <c r="R1002" s="67"/>
      <c r="S1002" s="67"/>
      <c r="T1002" s="54"/>
      <c r="U1002" s="86"/>
      <c r="V1002" s="54"/>
      <c r="W1002" s="86"/>
      <c r="X1002" s="54"/>
      <c r="Y1002" s="78"/>
      <c r="Z1002" s="54"/>
      <c r="AA1002" s="70"/>
      <c r="AB1002" s="83"/>
      <c r="AC1002" s="83"/>
      <c r="AD1002" s="83"/>
      <c r="AE1002" s="83"/>
      <c r="AF1002" s="83"/>
      <c r="AG1002" s="83"/>
      <c r="AH1002" s="83"/>
      <c r="AI1002" s="83"/>
      <c r="AJ1002" s="83"/>
      <c r="AK1002" s="83"/>
      <c r="AL1002" s="83"/>
      <c r="AM1002" s="83"/>
      <c r="AN1002" s="83"/>
      <c r="AO1002" s="83"/>
      <c r="AP1002" s="83"/>
      <c r="AQ1002" s="54"/>
      <c r="AR1002" s="83"/>
      <c r="AS1002" s="83"/>
      <c r="AT1002" s="93"/>
      <c r="AU1002" s="93"/>
      <c r="AV1002" s="93"/>
      <c r="AW1002" s="83"/>
      <c r="AX1002" s="83"/>
      <c r="AY1002" s="83"/>
      <c r="AZ1002" s="83"/>
      <c r="BA1002" s="83"/>
      <c r="BB1002" s="83"/>
      <c r="BC1002" s="54"/>
      <c r="BD1002" s="54" t="str">
        <f t="shared" si="1"/>
        <v/>
      </c>
      <c r="BE1002" s="67"/>
      <c r="BF1002" s="67"/>
      <c r="BG1002" s="67"/>
      <c r="BH1002" s="67"/>
      <c r="BI1002" s="67"/>
      <c r="BJ1002" s="67"/>
      <c r="BK1002" s="67"/>
      <c r="BL1002" s="67"/>
      <c r="BM1002" s="67"/>
      <c r="BN1002" s="100"/>
      <c r="BO1002" s="102"/>
      <c r="BP1002" s="67"/>
      <c r="BQ1002" s="79"/>
      <c r="BR1002" s="67"/>
      <c r="BS1002" s="102"/>
      <c r="BT1002" s="106"/>
      <c r="BU1002" s="107"/>
      <c r="BV1002" s="108" t="str">
        <f t="shared" si="17"/>
        <v/>
      </c>
      <c r="BW1002" s="108" t="str">
        <f t="shared" si="16"/>
        <v/>
      </c>
      <c r="BX1002" s="102" t="str">
        <f t="shared" si="15"/>
        <v/>
      </c>
      <c r="BY1002" s="107" t="str">
        <f t="shared" si="5"/>
        <v/>
      </c>
      <c r="BZ1002" s="107" t="str">
        <f t="array" ref="BZ1002">IF($A1002&lt;&gt;"",INDEX(LISTA!$M$2:$N$27,MATCH($BC1002,LISTA!$N$2:$N$27,0),1),"")</f>
        <v/>
      </c>
      <c r="CA1002" s="67" t="str">
        <f t="shared" si="6"/>
        <v/>
      </c>
      <c r="CB1002" s="114" t="str">
        <f t="shared" si="7"/>
        <v/>
      </c>
      <c r="CC1002" s="114"/>
    </row>
    <row r="1003" ht="22.5" customHeight="1">
      <c r="A1003" s="59"/>
      <c r="B1003" s="115"/>
      <c r="C1003" s="54"/>
      <c r="D1003" s="56"/>
      <c r="E1003" s="69"/>
      <c r="F1003" s="73"/>
      <c r="G1003" s="79"/>
      <c r="H1003" s="79"/>
      <c r="I1003" s="67"/>
      <c r="J1003" s="79"/>
      <c r="K1003" s="67"/>
      <c r="L1003" s="79"/>
      <c r="M1003" s="83"/>
      <c r="N1003" s="78"/>
      <c r="O1003" s="80"/>
      <c r="P1003" s="70"/>
      <c r="Q1003" s="54"/>
      <c r="R1003" s="67"/>
      <c r="S1003" s="67"/>
      <c r="T1003" s="54"/>
      <c r="U1003" s="86"/>
      <c r="V1003" s="54"/>
      <c r="W1003" s="86"/>
      <c r="X1003" s="54"/>
      <c r="Y1003" s="78"/>
      <c r="Z1003" s="54"/>
      <c r="AA1003" s="70"/>
      <c r="AB1003" s="83"/>
      <c r="AC1003" s="83"/>
      <c r="AD1003" s="83"/>
      <c r="AE1003" s="83"/>
      <c r="AF1003" s="83"/>
      <c r="AG1003" s="83"/>
      <c r="AH1003" s="83"/>
      <c r="AI1003" s="83"/>
      <c r="AJ1003" s="83"/>
      <c r="AK1003" s="83"/>
      <c r="AL1003" s="83"/>
      <c r="AM1003" s="83"/>
      <c r="AN1003" s="83"/>
      <c r="AO1003" s="83"/>
      <c r="AP1003" s="83"/>
      <c r="AQ1003" s="54"/>
      <c r="AR1003" s="83"/>
      <c r="AS1003" s="83"/>
      <c r="AT1003" s="93"/>
      <c r="AU1003" s="93"/>
      <c r="AV1003" s="93"/>
      <c r="AW1003" s="83"/>
      <c r="AX1003" s="83"/>
      <c r="AY1003" s="83"/>
      <c r="AZ1003" s="83"/>
      <c r="BA1003" s="83"/>
      <c r="BB1003" s="83"/>
      <c r="BC1003" s="54"/>
      <c r="BD1003" s="54" t="str">
        <f t="shared" si="1"/>
        <v/>
      </c>
      <c r="BE1003" s="67"/>
      <c r="BF1003" s="67"/>
      <c r="BG1003" s="67"/>
      <c r="BH1003" s="67"/>
      <c r="BI1003" s="67"/>
      <c r="BJ1003" s="67"/>
      <c r="BK1003" s="67"/>
      <c r="BL1003" s="67"/>
      <c r="BM1003" s="67"/>
      <c r="BN1003" s="100"/>
      <c r="BO1003" s="102"/>
      <c r="BP1003" s="67"/>
      <c r="BQ1003" s="79"/>
      <c r="BR1003" s="67"/>
      <c r="BS1003" s="102"/>
      <c r="BT1003" s="106"/>
      <c r="BU1003" s="107"/>
      <c r="BV1003" s="108" t="str">
        <f t="shared" si="17"/>
        <v/>
      </c>
      <c r="BW1003" s="108" t="str">
        <f t="shared" si="16"/>
        <v/>
      </c>
      <c r="BX1003" s="102" t="str">
        <f t="shared" si="15"/>
        <v/>
      </c>
      <c r="BY1003" s="107" t="str">
        <f t="shared" si="5"/>
        <v/>
      </c>
      <c r="BZ1003" s="107" t="str">
        <f t="array" ref="BZ1003">IF($A1003&lt;&gt;"",INDEX(LISTA!$M$2:$N$27,MATCH($BC1003,LISTA!$N$2:$N$27,0),1),"")</f>
        <v/>
      </c>
      <c r="CA1003" s="67" t="str">
        <f t="shared" si="6"/>
        <v/>
      </c>
      <c r="CB1003" s="114" t="str">
        <f t="shared" si="7"/>
        <v/>
      </c>
      <c r="CC1003" s="114"/>
    </row>
    <row r="1004" ht="22.5" customHeight="1">
      <c r="A1004" s="59"/>
      <c r="B1004" s="115"/>
      <c r="C1004" s="54"/>
      <c r="D1004" s="56"/>
      <c r="E1004" s="69"/>
      <c r="F1004" s="73"/>
      <c r="G1004" s="79"/>
      <c r="H1004" s="79"/>
      <c r="I1004" s="67"/>
      <c r="J1004" s="79"/>
      <c r="K1004" s="67"/>
      <c r="L1004" s="79"/>
      <c r="M1004" s="83"/>
      <c r="N1004" s="78"/>
      <c r="O1004" s="80"/>
      <c r="P1004" s="70"/>
      <c r="Q1004" s="54"/>
      <c r="R1004" s="67"/>
      <c r="S1004" s="67"/>
      <c r="T1004" s="54"/>
      <c r="U1004" s="86"/>
      <c r="V1004" s="54"/>
      <c r="W1004" s="86"/>
      <c r="X1004" s="54"/>
      <c r="Y1004" s="78"/>
      <c r="Z1004" s="54"/>
      <c r="AA1004" s="70"/>
      <c r="AB1004" s="83"/>
      <c r="AC1004" s="83"/>
      <c r="AD1004" s="83"/>
      <c r="AE1004" s="83"/>
      <c r="AF1004" s="83"/>
      <c r="AG1004" s="83"/>
      <c r="AH1004" s="83"/>
      <c r="AI1004" s="83"/>
      <c r="AJ1004" s="83"/>
      <c r="AK1004" s="83"/>
      <c r="AL1004" s="83"/>
      <c r="AM1004" s="83"/>
      <c r="AN1004" s="83"/>
      <c r="AO1004" s="83"/>
      <c r="AP1004" s="83"/>
      <c r="AQ1004" s="54"/>
      <c r="AR1004" s="83"/>
      <c r="AS1004" s="83"/>
      <c r="AT1004" s="93"/>
      <c r="AU1004" s="93"/>
      <c r="AV1004" s="93"/>
      <c r="AW1004" s="83"/>
      <c r="AX1004" s="83"/>
      <c r="AY1004" s="83"/>
      <c r="AZ1004" s="83"/>
      <c r="BA1004" s="83"/>
      <c r="BB1004" s="83"/>
      <c r="BC1004" s="54"/>
      <c r="BD1004" s="54" t="str">
        <f t="shared" si="1"/>
        <v/>
      </c>
      <c r="BE1004" s="67"/>
      <c r="BF1004" s="67"/>
      <c r="BG1004" s="67"/>
      <c r="BH1004" s="67"/>
      <c r="BI1004" s="67"/>
      <c r="BJ1004" s="67"/>
      <c r="BK1004" s="67"/>
      <c r="BL1004" s="67"/>
      <c r="BM1004" s="67"/>
      <c r="BN1004" s="100"/>
      <c r="BO1004" s="102"/>
      <c r="BP1004" s="67"/>
      <c r="BQ1004" s="79"/>
      <c r="BR1004" s="67"/>
      <c r="BS1004" s="102"/>
      <c r="BT1004" s="106"/>
      <c r="BU1004" s="107"/>
      <c r="BV1004" s="108" t="str">
        <f t="shared" si="17"/>
        <v/>
      </c>
      <c r="BW1004" s="108" t="str">
        <f t="shared" si="16"/>
        <v/>
      </c>
      <c r="BX1004" s="102" t="str">
        <f t="shared" si="15"/>
        <v/>
      </c>
      <c r="BY1004" s="107" t="str">
        <f t="shared" si="5"/>
        <v/>
      </c>
      <c r="BZ1004" s="107" t="str">
        <f t="array" ref="BZ1004">IF($A1004&lt;&gt;"",INDEX(LISTA!$M$2:$N$27,MATCH($BC1004,LISTA!$N$2:$N$27,0),1),"")</f>
        <v/>
      </c>
      <c r="CA1004" s="67" t="str">
        <f t="shared" si="6"/>
        <v/>
      </c>
      <c r="CB1004" s="114" t="str">
        <f t="shared" si="7"/>
        <v/>
      </c>
      <c r="CC1004" s="114"/>
    </row>
    <row r="1005" ht="22.5" customHeight="1">
      <c r="A1005" s="59"/>
      <c r="B1005" s="115"/>
      <c r="C1005" s="54"/>
      <c r="D1005" s="56"/>
      <c r="E1005" s="69"/>
      <c r="F1005" s="73"/>
      <c r="G1005" s="79"/>
      <c r="H1005" s="79"/>
      <c r="I1005" s="67"/>
      <c r="J1005" s="79"/>
      <c r="K1005" s="67"/>
      <c r="L1005" s="79"/>
      <c r="M1005" s="83"/>
      <c r="N1005" s="78"/>
      <c r="O1005" s="80"/>
      <c r="P1005" s="70"/>
      <c r="Q1005" s="54"/>
      <c r="R1005" s="67"/>
      <c r="S1005" s="67"/>
      <c r="T1005" s="54"/>
      <c r="U1005" s="86"/>
      <c r="V1005" s="54"/>
      <c r="W1005" s="86"/>
      <c r="X1005" s="54"/>
      <c r="Y1005" s="78"/>
      <c r="Z1005" s="54"/>
      <c r="AA1005" s="70"/>
      <c r="AB1005" s="83"/>
      <c r="AC1005" s="83"/>
      <c r="AD1005" s="83"/>
      <c r="AE1005" s="83"/>
      <c r="AF1005" s="83"/>
      <c r="AG1005" s="83"/>
      <c r="AH1005" s="83"/>
      <c r="AI1005" s="83"/>
      <c r="AJ1005" s="83"/>
      <c r="AK1005" s="83"/>
      <c r="AL1005" s="83"/>
      <c r="AM1005" s="83"/>
      <c r="AN1005" s="83"/>
      <c r="AO1005" s="83"/>
      <c r="AP1005" s="83"/>
      <c r="AQ1005" s="54"/>
      <c r="AR1005" s="83"/>
      <c r="AS1005" s="83"/>
      <c r="AT1005" s="93"/>
      <c r="AU1005" s="93"/>
      <c r="AV1005" s="93"/>
      <c r="AW1005" s="83"/>
      <c r="AX1005" s="83"/>
      <c r="AY1005" s="83"/>
      <c r="AZ1005" s="83"/>
      <c r="BA1005" s="83"/>
      <c r="BB1005" s="83"/>
      <c r="BC1005" s="54"/>
      <c r="BD1005" s="54" t="str">
        <f t="shared" si="1"/>
        <v/>
      </c>
      <c r="BE1005" s="67"/>
      <c r="BF1005" s="67"/>
      <c r="BG1005" s="67"/>
      <c r="BH1005" s="67"/>
      <c r="BI1005" s="67"/>
      <c r="BJ1005" s="67"/>
      <c r="BK1005" s="67"/>
      <c r="BL1005" s="67"/>
      <c r="BM1005" s="67"/>
      <c r="BN1005" s="100"/>
      <c r="BO1005" s="102"/>
      <c r="BP1005" s="67"/>
      <c r="BQ1005" s="79"/>
      <c r="BR1005" s="67"/>
      <c r="BS1005" s="102"/>
      <c r="BT1005" s="106"/>
      <c r="BU1005" s="107"/>
      <c r="BV1005" s="108" t="str">
        <f t="shared" si="17"/>
        <v/>
      </c>
      <c r="BW1005" s="108" t="str">
        <f t="shared" si="16"/>
        <v/>
      </c>
      <c r="BX1005" s="102" t="str">
        <f t="shared" si="15"/>
        <v/>
      </c>
      <c r="BY1005" s="107" t="str">
        <f t="shared" si="5"/>
        <v/>
      </c>
      <c r="BZ1005" s="107" t="str">
        <f t="array" ref="BZ1005">IF($A1005&lt;&gt;"",INDEX(LISTA!$M$2:$N$27,MATCH($BC1005,LISTA!$N$2:$N$27,0),1),"")</f>
        <v/>
      </c>
      <c r="CA1005" s="67" t="str">
        <f t="shared" si="6"/>
        <v/>
      </c>
      <c r="CB1005" s="114" t="str">
        <f t="shared" si="7"/>
        <v/>
      </c>
      <c r="CC1005" s="114"/>
    </row>
    <row r="1006" ht="22.5" customHeight="1">
      <c r="A1006" s="59"/>
      <c r="B1006" s="115"/>
      <c r="C1006" s="54"/>
      <c r="D1006" s="56"/>
      <c r="E1006" s="69"/>
      <c r="F1006" s="73"/>
      <c r="G1006" s="79"/>
      <c r="H1006" s="79"/>
      <c r="I1006" s="67"/>
      <c r="J1006" s="79"/>
      <c r="K1006" s="67"/>
      <c r="L1006" s="79"/>
      <c r="M1006" s="83"/>
      <c r="N1006" s="78"/>
      <c r="O1006" s="80"/>
      <c r="P1006" s="70"/>
      <c r="Q1006" s="54"/>
      <c r="R1006" s="67"/>
      <c r="S1006" s="67"/>
      <c r="T1006" s="54"/>
      <c r="U1006" s="86"/>
      <c r="V1006" s="54"/>
      <c r="W1006" s="86"/>
      <c r="X1006" s="54"/>
      <c r="Y1006" s="78"/>
      <c r="Z1006" s="54"/>
      <c r="AA1006" s="70"/>
      <c r="AB1006" s="83"/>
      <c r="AC1006" s="83"/>
      <c r="AD1006" s="83"/>
      <c r="AE1006" s="83"/>
      <c r="AF1006" s="83"/>
      <c r="AG1006" s="83"/>
      <c r="AH1006" s="83"/>
      <c r="AI1006" s="83"/>
      <c r="AJ1006" s="83"/>
      <c r="AK1006" s="83"/>
      <c r="AL1006" s="83"/>
      <c r="AM1006" s="83"/>
      <c r="AN1006" s="83"/>
      <c r="AO1006" s="83"/>
      <c r="AP1006" s="83"/>
      <c r="AQ1006" s="54"/>
      <c r="AR1006" s="83"/>
      <c r="AS1006" s="83"/>
      <c r="AT1006" s="93"/>
      <c r="AU1006" s="93"/>
      <c r="AV1006" s="93"/>
      <c r="AW1006" s="83"/>
      <c r="AX1006" s="83"/>
      <c r="AY1006" s="83"/>
      <c r="AZ1006" s="83"/>
      <c r="BA1006" s="83"/>
      <c r="BB1006" s="83"/>
      <c r="BC1006" s="54"/>
      <c r="BD1006" s="54" t="str">
        <f t="shared" si="1"/>
        <v/>
      </c>
      <c r="BE1006" s="67"/>
      <c r="BF1006" s="67"/>
      <c r="BG1006" s="67"/>
      <c r="BH1006" s="67"/>
      <c r="BI1006" s="67"/>
      <c r="BJ1006" s="67"/>
      <c r="BK1006" s="67"/>
      <c r="BL1006" s="67"/>
      <c r="BM1006" s="67"/>
      <c r="BN1006" s="100"/>
      <c r="BO1006" s="102"/>
      <c r="BP1006" s="67"/>
      <c r="BQ1006" s="79"/>
      <c r="BR1006" s="67"/>
      <c r="BS1006" s="102"/>
      <c r="BT1006" s="106"/>
      <c r="BU1006" s="107"/>
      <c r="BV1006" s="108" t="str">
        <f t="shared" si="17"/>
        <v/>
      </c>
      <c r="BW1006" s="108" t="str">
        <f t="shared" si="16"/>
        <v/>
      </c>
      <c r="BX1006" s="102" t="str">
        <f t="shared" si="15"/>
        <v/>
      </c>
      <c r="BY1006" s="107" t="str">
        <f t="shared" si="5"/>
        <v/>
      </c>
      <c r="BZ1006" s="107" t="str">
        <f t="array" ref="BZ1006">IF($A1006&lt;&gt;"",INDEX(LISTA!$M$2:$N$27,MATCH($BC1006,LISTA!$N$2:$N$27,0),1),"")</f>
        <v/>
      </c>
      <c r="CA1006" s="67" t="str">
        <f t="shared" si="6"/>
        <v/>
      </c>
      <c r="CB1006" s="114" t="str">
        <f t="shared" si="7"/>
        <v/>
      </c>
      <c r="CC1006" s="114"/>
    </row>
    <row r="1007" ht="22.5" customHeight="1">
      <c r="A1007" s="59"/>
      <c r="B1007" s="115"/>
      <c r="C1007" s="54"/>
      <c r="D1007" s="56"/>
      <c r="E1007" s="69"/>
      <c r="F1007" s="73"/>
      <c r="G1007" s="79"/>
      <c r="H1007" s="79"/>
      <c r="I1007" s="67"/>
      <c r="J1007" s="79"/>
      <c r="K1007" s="67"/>
      <c r="L1007" s="79"/>
      <c r="M1007" s="83"/>
      <c r="N1007" s="78"/>
      <c r="O1007" s="80"/>
      <c r="P1007" s="70"/>
      <c r="Q1007" s="54"/>
      <c r="R1007" s="67"/>
      <c r="S1007" s="67"/>
      <c r="T1007" s="54"/>
      <c r="U1007" s="86"/>
      <c r="V1007" s="54"/>
      <c r="W1007" s="86"/>
      <c r="X1007" s="54"/>
      <c r="Y1007" s="78"/>
      <c r="Z1007" s="54"/>
      <c r="AA1007" s="70"/>
      <c r="AB1007" s="83"/>
      <c r="AC1007" s="83"/>
      <c r="AD1007" s="83"/>
      <c r="AE1007" s="83"/>
      <c r="AF1007" s="83"/>
      <c r="AG1007" s="83"/>
      <c r="AH1007" s="83"/>
      <c r="AI1007" s="83"/>
      <c r="AJ1007" s="83"/>
      <c r="AK1007" s="83"/>
      <c r="AL1007" s="83"/>
      <c r="AM1007" s="83"/>
      <c r="AN1007" s="83"/>
      <c r="AO1007" s="83"/>
      <c r="AP1007" s="83"/>
      <c r="AQ1007" s="54"/>
      <c r="AR1007" s="83"/>
      <c r="AS1007" s="83"/>
      <c r="AT1007" s="93"/>
      <c r="AU1007" s="93"/>
      <c r="AV1007" s="93"/>
      <c r="AW1007" s="83"/>
      <c r="AX1007" s="83"/>
      <c r="AY1007" s="83"/>
      <c r="AZ1007" s="83"/>
      <c r="BA1007" s="83"/>
      <c r="BB1007" s="83"/>
      <c r="BC1007" s="54"/>
      <c r="BD1007" s="54" t="str">
        <f t="shared" si="1"/>
        <v/>
      </c>
      <c r="BE1007" s="67"/>
      <c r="BF1007" s="67"/>
      <c r="BG1007" s="67"/>
      <c r="BH1007" s="67"/>
      <c r="BI1007" s="67"/>
      <c r="BJ1007" s="67"/>
      <c r="BK1007" s="67"/>
      <c r="BL1007" s="67"/>
      <c r="BM1007" s="67"/>
      <c r="BN1007" s="100"/>
      <c r="BO1007" s="102"/>
      <c r="BP1007" s="67"/>
      <c r="BQ1007" s="79"/>
      <c r="BR1007" s="67"/>
      <c r="BS1007" s="102"/>
      <c r="BT1007" s="106"/>
      <c r="BU1007" s="107"/>
      <c r="BV1007" s="108" t="str">
        <f t="shared" si="17"/>
        <v/>
      </c>
      <c r="BW1007" s="108" t="str">
        <f t="shared" si="16"/>
        <v/>
      </c>
      <c r="BX1007" s="102" t="str">
        <f t="shared" si="15"/>
        <v/>
      </c>
      <c r="BY1007" s="107" t="str">
        <f t="shared" si="5"/>
        <v/>
      </c>
      <c r="BZ1007" s="107" t="str">
        <f t="array" ref="BZ1007">IF($A1007&lt;&gt;"",INDEX(LISTA!$M$2:$N$27,MATCH($BC1007,LISTA!$N$2:$N$27,0),1),"")</f>
        <v/>
      </c>
      <c r="CA1007" s="67" t="str">
        <f t="shared" si="6"/>
        <v/>
      </c>
      <c r="CB1007" s="114" t="str">
        <f t="shared" si="7"/>
        <v/>
      </c>
      <c r="CC1007" s="114"/>
    </row>
    <row r="1008" ht="22.5" customHeight="1">
      <c r="A1008" s="59"/>
      <c r="B1008" s="115"/>
      <c r="C1008" s="54"/>
      <c r="D1008" s="56"/>
      <c r="E1008" s="69"/>
      <c r="F1008" s="73"/>
      <c r="G1008" s="79"/>
      <c r="H1008" s="79"/>
      <c r="I1008" s="67"/>
      <c r="J1008" s="79"/>
      <c r="K1008" s="67"/>
      <c r="L1008" s="79"/>
      <c r="M1008" s="83"/>
      <c r="N1008" s="78"/>
      <c r="O1008" s="80"/>
      <c r="P1008" s="70"/>
      <c r="Q1008" s="54"/>
      <c r="R1008" s="67"/>
      <c r="S1008" s="67"/>
      <c r="T1008" s="54"/>
      <c r="U1008" s="86"/>
      <c r="V1008" s="54"/>
      <c r="W1008" s="86"/>
      <c r="X1008" s="54"/>
      <c r="Y1008" s="78"/>
      <c r="Z1008" s="54"/>
      <c r="AA1008" s="70"/>
      <c r="AB1008" s="83"/>
      <c r="AC1008" s="83"/>
      <c r="AD1008" s="83"/>
      <c r="AE1008" s="83"/>
      <c r="AF1008" s="83"/>
      <c r="AG1008" s="83"/>
      <c r="AH1008" s="83"/>
      <c r="AI1008" s="83"/>
      <c r="AJ1008" s="83"/>
      <c r="AK1008" s="83"/>
      <c r="AL1008" s="83"/>
      <c r="AM1008" s="83"/>
      <c r="AN1008" s="83"/>
      <c r="AO1008" s="83"/>
      <c r="AP1008" s="83"/>
      <c r="AQ1008" s="54"/>
      <c r="AR1008" s="83"/>
      <c r="AS1008" s="83"/>
      <c r="AT1008" s="93"/>
      <c r="AU1008" s="93"/>
      <c r="AV1008" s="93"/>
      <c r="AW1008" s="83"/>
      <c r="AX1008" s="83"/>
      <c r="AY1008" s="83"/>
      <c r="AZ1008" s="83"/>
      <c r="BA1008" s="83"/>
      <c r="BB1008" s="83"/>
      <c r="BC1008" s="54"/>
      <c r="BD1008" s="54" t="str">
        <f t="shared" si="1"/>
        <v/>
      </c>
      <c r="BE1008" s="67"/>
      <c r="BF1008" s="67"/>
      <c r="BG1008" s="67"/>
      <c r="BH1008" s="67"/>
      <c r="BI1008" s="67"/>
      <c r="BJ1008" s="67"/>
      <c r="BK1008" s="67"/>
      <c r="BL1008" s="67"/>
      <c r="BM1008" s="67"/>
      <c r="BN1008" s="100"/>
      <c r="BO1008" s="102"/>
      <c r="BP1008" s="67"/>
      <c r="BQ1008" s="79"/>
      <c r="BR1008" s="67"/>
      <c r="BS1008" s="102"/>
      <c r="BT1008" s="106"/>
      <c r="BU1008" s="107"/>
      <c r="BV1008" s="108" t="str">
        <f t="shared" si="17"/>
        <v/>
      </c>
      <c r="BW1008" s="108" t="str">
        <f t="shared" si="16"/>
        <v/>
      </c>
      <c r="BX1008" s="102" t="str">
        <f t="shared" si="15"/>
        <v/>
      </c>
      <c r="BY1008" s="107" t="str">
        <f t="shared" si="5"/>
        <v/>
      </c>
      <c r="BZ1008" s="107" t="str">
        <f t="array" ref="BZ1008">IF($A1008&lt;&gt;"",INDEX(LISTA!$M$2:$N$27,MATCH($BC1008,LISTA!$N$2:$N$27,0),1),"")</f>
        <v/>
      </c>
      <c r="CA1008" s="67" t="str">
        <f t="shared" si="6"/>
        <v/>
      </c>
      <c r="CB1008" s="114" t="str">
        <f t="shared" si="7"/>
        <v/>
      </c>
      <c r="CC1008" s="114"/>
    </row>
    <row r="1009" ht="22.5" customHeight="1">
      <c r="A1009" s="59"/>
      <c r="B1009" s="115"/>
      <c r="C1009" s="54"/>
      <c r="D1009" s="56"/>
      <c r="E1009" s="69"/>
      <c r="F1009" s="73"/>
      <c r="G1009" s="79"/>
      <c r="H1009" s="79"/>
      <c r="I1009" s="67"/>
      <c r="J1009" s="79"/>
      <c r="K1009" s="67"/>
      <c r="L1009" s="79"/>
      <c r="M1009" s="83"/>
      <c r="N1009" s="78"/>
      <c r="O1009" s="80"/>
      <c r="P1009" s="70"/>
      <c r="Q1009" s="54"/>
      <c r="R1009" s="67"/>
      <c r="S1009" s="67"/>
      <c r="T1009" s="54"/>
      <c r="U1009" s="86"/>
      <c r="V1009" s="54"/>
      <c r="W1009" s="86"/>
      <c r="X1009" s="54"/>
      <c r="Y1009" s="78"/>
      <c r="Z1009" s="54"/>
      <c r="AA1009" s="70"/>
      <c r="AB1009" s="83"/>
      <c r="AC1009" s="83"/>
      <c r="AD1009" s="83"/>
      <c r="AE1009" s="83"/>
      <c r="AF1009" s="83"/>
      <c r="AG1009" s="83"/>
      <c r="AH1009" s="83"/>
      <c r="AI1009" s="83"/>
      <c r="AJ1009" s="83"/>
      <c r="AK1009" s="83"/>
      <c r="AL1009" s="83"/>
      <c r="AM1009" s="83"/>
      <c r="AN1009" s="83"/>
      <c r="AO1009" s="83"/>
      <c r="AP1009" s="83"/>
      <c r="AQ1009" s="54"/>
      <c r="AR1009" s="83"/>
      <c r="AS1009" s="83"/>
      <c r="AT1009" s="93"/>
      <c r="AU1009" s="93"/>
      <c r="AV1009" s="93"/>
      <c r="AW1009" s="83"/>
      <c r="AX1009" s="83"/>
      <c r="AY1009" s="83"/>
      <c r="AZ1009" s="83"/>
      <c r="BA1009" s="83"/>
      <c r="BB1009" s="83"/>
      <c r="BC1009" s="54"/>
      <c r="BD1009" s="54" t="str">
        <f t="shared" si="1"/>
        <v/>
      </c>
      <c r="BE1009" s="67"/>
      <c r="BF1009" s="67"/>
      <c r="BG1009" s="67"/>
      <c r="BH1009" s="67"/>
      <c r="BI1009" s="67"/>
      <c r="BJ1009" s="67"/>
      <c r="BK1009" s="67"/>
      <c r="BL1009" s="67"/>
      <c r="BM1009" s="67"/>
      <c r="BN1009" s="100"/>
      <c r="BO1009" s="102"/>
      <c r="BP1009" s="67"/>
      <c r="BQ1009" s="79"/>
      <c r="BR1009" s="67"/>
      <c r="BS1009" s="102"/>
      <c r="BT1009" s="106"/>
      <c r="BU1009" s="107"/>
      <c r="BV1009" s="108" t="str">
        <f t="shared" si="17"/>
        <v/>
      </c>
      <c r="BW1009" s="108" t="str">
        <f t="shared" si="16"/>
        <v/>
      </c>
      <c r="BX1009" s="102" t="str">
        <f t="shared" si="15"/>
        <v/>
      </c>
      <c r="BY1009" s="107" t="str">
        <f t="shared" si="5"/>
        <v/>
      </c>
      <c r="BZ1009" s="107" t="str">
        <f t="array" ref="BZ1009">IF($A1009&lt;&gt;"",INDEX(LISTA!$M$2:$N$27,MATCH($BC1009,LISTA!$N$2:$N$27,0),1),"")</f>
        <v/>
      </c>
      <c r="CA1009" s="67" t="str">
        <f t="shared" si="6"/>
        <v/>
      </c>
      <c r="CB1009" s="114" t="str">
        <f t="shared" si="7"/>
        <v/>
      </c>
      <c r="CC1009" s="114"/>
    </row>
    <row r="1010" ht="22.5" customHeight="1">
      <c r="A1010" s="59"/>
      <c r="B1010" s="115"/>
      <c r="C1010" s="54"/>
      <c r="D1010" s="56"/>
      <c r="E1010" s="69"/>
      <c r="F1010" s="73"/>
      <c r="G1010" s="79"/>
      <c r="H1010" s="79"/>
      <c r="I1010" s="67"/>
      <c r="J1010" s="79"/>
      <c r="K1010" s="67"/>
      <c r="L1010" s="79"/>
      <c r="M1010" s="83"/>
      <c r="N1010" s="78"/>
      <c r="O1010" s="80"/>
      <c r="P1010" s="70"/>
      <c r="Q1010" s="54"/>
      <c r="R1010" s="67"/>
      <c r="S1010" s="67"/>
      <c r="T1010" s="54"/>
      <c r="U1010" s="86"/>
      <c r="V1010" s="54"/>
      <c r="W1010" s="86"/>
      <c r="X1010" s="54"/>
      <c r="Y1010" s="78"/>
      <c r="Z1010" s="54"/>
      <c r="AA1010" s="70"/>
      <c r="AB1010" s="83"/>
      <c r="AC1010" s="83"/>
      <c r="AD1010" s="83"/>
      <c r="AE1010" s="83"/>
      <c r="AF1010" s="83"/>
      <c r="AG1010" s="83"/>
      <c r="AH1010" s="83"/>
      <c r="AI1010" s="83"/>
      <c r="AJ1010" s="83"/>
      <c r="AK1010" s="83"/>
      <c r="AL1010" s="83"/>
      <c r="AM1010" s="83"/>
      <c r="AN1010" s="83"/>
      <c r="AO1010" s="83"/>
      <c r="AP1010" s="83"/>
      <c r="AQ1010" s="54"/>
      <c r="AR1010" s="83"/>
      <c r="AS1010" s="83"/>
      <c r="AT1010" s="93"/>
      <c r="AU1010" s="93"/>
      <c r="AV1010" s="93"/>
      <c r="AW1010" s="83"/>
      <c r="AX1010" s="83"/>
      <c r="AY1010" s="83"/>
      <c r="AZ1010" s="83"/>
      <c r="BA1010" s="83"/>
      <c r="BB1010" s="83"/>
      <c r="BC1010" s="54"/>
      <c r="BD1010" s="54" t="str">
        <f t="shared" si="1"/>
        <v/>
      </c>
      <c r="BE1010" s="67"/>
      <c r="BF1010" s="67"/>
      <c r="BG1010" s="67"/>
      <c r="BH1010" s="67"/>
      <c r="BI1010" s="67"/>
      <c r="BJ1010" s="67"/>
      <c r="BK1010" s="67"/>
      <c r="BL1010" s="67"/>
      <c r="BM1010" s="67"/>
      <c r="BN1010" s="100"/>
      <c r="BO1010" s="102"/>
      <c r="BP1010" s="67"/>
      <c r="BQ1010" s="79"/>
      <c r="BR1010" s="67"/>
      <c r="BS1010" s="102"/>
      <c r="BT1010" s="106"/>
      <c r="BU1010" s="107"/>
      <c r="BV1010" s="108" t="str">
        <f t="shared" si="17"/>
        <v/>
      </c>
      <c r="BW1010" s="108" t="str">
        <f t="shared" si="16"/>
        <v/>
      </c>
      <c r="BX1010" s="102" t="str">
        <f t="shared" si="15"/>
        <v/>
      </c>
      <c r="BY1010" s="107" t="str">
        <f t="shared" si="5"/>
        <v/>
      </c>
      <c r="BZ1010" s="107" t="str">
        <f t="array" ref="BZ1010">IF($A1010&lt;&gt;"",INDEX(LISTA!$M$2:$N$27,MATCH($BC1010,LISTA!$N$2:$N$27,0),1),"")</f>
        <v/>
      </c>
      <c r="CA1010" s="67" t="str">
        <f t="shared" si="6"/>
        <v/>
      </c>
      <c r="CB1010" s="114" t="str">
        <f t="shared" si="7"/>
        <v/>
      </c>
      <c r="CC1010" s="114"/>
    </row>
    <row r="1011" ht="22.5" customHeight="1">
      <c r="A1011" s="59"/>
      <c r="B1011" s="115"/>
      <c r="C1011" s="54"/>
      <c r="D1011" s="56"/>
      <c r="E1011" s="69"/>
      <c r="F1011" s="73"/>
      <c r="G1011" s="79"/>
      <c r="H1011" s="79"/>
      <c r="I1011" s="67"/>
      <c r="J1011" s="79"/>
      <c r="K1011" s="67"/>
      <c r="L1011" s="79"/>
      <c r="M1011" s="83"/>
      <c r="N1011" s="78"/>
      <c r="O1011" s="80"/>
      <c r="P1011" s="70"/>
      <c r="Q1011" s="54"/>
      <c r="R1011" s="67"/>
      <c r="S1011" s="67"/>
      <c r="T1011" s="54"/>
      <c r="U1011" s="86"/>
      <c r="V1011" s="54"/>
      <c r="W1011" s="86"/>
      <c r="X1011" s="54"/>
      <c r="Y1011" s="78"/>
      <c r="Z1011" s="54"/>
      <c r="AA1011" s="70"/>
      <c r="AB1011" s="83"/>
      <c r="AC1011" s="83"/>
      <c r="AD1011" s="83"/>
      <c r="AE1011" s="83"/>
      <c r="AF1011" s="83"/>
      <c r="AG1011" s="83"/>
      <c r="AH1011" s="83"/>
      <c r="AI1011" s="83"/>
      <c r="AJ1011" s="83"/>
      <c r="AK1011" s="83"/>
      <c r="AL1011" s="83"/>
      <c r="AM1011" s="83"/>
      <c r="AN1011" s="83"/>
      <c r="AO1011" s="83"/>
      <c r="AP1011" s="83"/>
      <c r="AQ1011" s="54"/>
      <c r="AR1011" s="83"/>
      <c r="AS1011" s="83"/>
      <c r="AT1011" s="93"/>
      <c r="AU1011" s="93"/>
      <c r="AV1011" s="93"/>
      <c r="AW1011" s="83"/>
      <c r="AX1011" s="83"/>
      <c r="AY1011" s="83"/>
      <c r="AZ1011" s="83"/>
      <c r="BA1011" s="83"/>
      <c r="BB1011" s="83"/>
      <c r="BC1011" s="54"/>
      <c r="BD1011" s="54" t="str">
        <f t="shared" si="1"/>
        <v/>
      </c>
      <c r="BE1011" s="67"/>
      <c r="BF1011" s="67"/>
      <c r="BG1011" s="67"/>
      <c r="BH1011" s="67"/>
      <c r="BI1011" s="67"/>
      <c r="BJ1011" s="67"/>
      <c r="BK1011" s="67"/>
      <c r="BL1011" s="67"/>
      <c r="BM1011" s="67"/>
      <c r="BN1011" s="100"/>
      <c r="BO1011" s="102"/>
      <c r="BP1011" s="67"/>
      <c r="BQ1011" s="79"/>
      <c r="BR1011" s="67"/>
      <c r="BS1011" s="102"/>
      <c r="BT1011" s="106"/>
      <c r="BU1011" s="107"/>
      <c r="BV1011" s="108" t="str">
        <f t="shared" si="17"/>
        <v/>
      </c>
      <c r="BW1011" s="108" t="str">
        <f t="shared" si="16"/>
        <v/>
      </c>
      <c r="BX1011" s="102" t="str">
        <f t="shared" si="15"/>
        <v/>
      </c>
      <c r="BY1011" s="107" t="str">
        <f t="shared" si="5"/>
        <v/>
      </c>
      <c r="BZ1011" s="107" t="str">
        <f t="array" ref="BZ1011">IF($A1011&lt;&gt;"",INDEX(LISTA!$M$2:$N$27,MATCH($BC1011,LISTA!$N$2:$N$27,0),1),"")</f>
        <v/>
      </c>
      <c r="CA1011" s="67" t="str">
        <f t="shared" si="6"/>
        <v/>
      </c>
      <c r="CB1011" s="114" t="str">
        <f t="shared" si="7"/>
        <v/>
      </c>
      <c r="CC1011" s="114"/>
    </row>
    <row r="1012" ht="22.5" customHeight="1">
      <c r="A1012" s="59"/>
      <c r="B1012" s="115"/>
      <c r="C1012" s="54"/>
      <c r="D1012" s="56"/>
      <c r="E1012" s="69"/>
      <c r="F1012" s="73"/>
      <c r="G1012" s="79"/>
      <c r="H1012" s="79"/>
      <c r="I1012" s="67"/>
      <c r="J1012" s="79"/>
      <c r="K1012" s="67"/>
      <c r="L1012" s="79"/>
      <c r="M1012" s="83"/>
      <c r="N1012" s="78"/>
      <c r="O1012" s="80"/>
      <c r="P1012" s="70"/>
      <c r="Q1012" s="54"/>
      <c r="R1012" s="67"/>
      <c r="S1012" s="67"/>
      <c r="T1012" s="54"/>
      <c r="U1012" s="86"/>
      <c r="V1012" s="54"/>
      <c r="W1012" s="86"/>
      <c r="X1012" s="54"/>
      <c r="Y1012" s="78"/>
      <c r="Z1012" s="54"/>
      <c r="AA1012" s="70"/>
      <c r="AB1012" s="83"/>
      <c r="AC1012" s="83"/>
      <c r="AD1012" s="83"/>
      <c r="AE1012" s="83"/>
      <c r="AF1012" s="83"/>
      <c r="AG1012" s="83"/>
      <c r="AH1012" s="83"/>
      <c r="AI1012" s="83"/>
      <c r="AJ1012" s="83"/>
      <c r="AK1012" s="83"/>
      <c r="AL1012" s="83"/>
      <c r="AM1012" s="83"/>
      <c r="AN1012" s="83"/>
      <c r="AO1012" s="83"/>
      <c r="AP1012" s="83"/>
      <c r="AQ1012" s="54"/>
      <c r="AR1012" s="83"/>
      <c r="AS1012" s="83"/>
      <c r="AT1012" s="93"/>
      <c r="AU1012" s="93"/>
      <c r="AV1012" s="93"/>
      <c r="AW1012" s="83"/>
      <c r="AX1012" s="83"/>
      <c r="AY1012" s="83"/>
      <c r="AZ1012" s="83"/>
      <c r="BA1012" s="83"/>
      <c r="BB1012" s="83"/>
      <c r="BC1012" s="54"/>
      <c r="BD1012" s="54" t="str">
        <f t="shared" si="1"/>
        <v/>
      </c>
      <c r="BE1012" s="67"/>
      <c r="BF1012" s="67"/>
      <c r="BG1012" s="67"/>
      <c r="BH1012" s="67"/>
      <c r="BI1012" s="67"/>
      <c r="BJ1012" s="67"/>
      <c r="BK1012" s="67"/>
      <c r="BL1012" s="67"/>
      <c r="BM1012" s="67"/>
      <c r="BN1012" s="100"/>
      <c r="BO1012" s="102"/>
      <c r="BP1012" s="67"/>
      <c r="BQ1012" s="79"/>
      <c r="BR1012" s="67"/>
      <c r="BS1012" s="102"/>
      <c r="BT1012" s="106"/>
      <c r="BU1012" s="107"/>
      <c r="BV1012" s="108" t="str">
        <f t="shared" si="17"/>
        <v/>
      </c>
      <c r="BW1012" s="108" t="str">
        <f t="shared" si="16"/>
        <v/>
      </c>
      <c r="BX1012" s="102" t="str">
        <f t="shared" si="15"/>
        <v/>
      </c>
      <c r="BY1012" s="107" t="str">
        <f t="shared" si="5"/>
        <v/>
      </c>
      <c r="BZ1012" s="107" t="str">
        <f t="array" ref="BZ1012">IF($A1012&lt;&gt;"",INDEX(LISTA!$M$2:$N$27,MATCH($BC1012,LISTA!$N$2:$N$27,0),1),"")</f>
        <v/>
      </c>
      <c r="CA1012" s="67" t="str">
        <f t="shared" si="6"/>
        <v/>
      </c>
      <c r="CB1012" s="114" t="str">
        <f t="shared" si="7"/>
        <v/>
      </c>
      <c r="CC1012" s="114"/>
    </row>
    <row r="1013" ht="22.5" customHeight="1">
      <c r="A1013" s="59"/>
      <c r="B1013" s="115"/>
      <c r="C1013" s="54"/>
      <c r="D1013" s="56"/>
      <c r="E1013" s="69"/>
      <c r="F1013" s="73"/>
      <c r="G1013" s="79"/>
      <c r="H1013" s="79"/>
      <c r="I1013" s="67"/>
      <c r="J1013" s="79"/>
      <c r="K1013" s="67"/>
      <c r="L1013" s="79"/>
      <c r="M1013" s="83"/>
      <c r="N1013" s="78"/>
      <c r="O1013" s="80"/>
      <c r="P1013" s="70"/>
      <c r="Q1013" s="54"/>
      <c r="R1013" s="67"/>
      <c r="S1013" s="67"/>
      <c r="T1013" s="54"/>
      <c r="U1013" s="86"/>
      <c r="V1013" s="54"/>
      <c r="W1013" s="86"/>
      <c r="X1013" s="54"/>
      <c r="Y1013" s="78"/>
      <c r="Z1013" s="54"/>
      <c r="AA1013" s="70"/>
      <c r="AB1013" s="83"/>
      <c r="AC1013" s="83"/>
      <c r="AD1013" s="83"/>
      <c r="AE1013" s="83"/>
      <c r="AF1013" s="83"/>
      <c r="AG1013" s="83"/>
      <c r="AH1013" s="83"/>
      <c r="AI1013" s="83"/>
      <c r="AJ1013" s="83"/>
      <c r="AK1013" s="83"/>
      <c r="AL1013" s="83"/>
      <c r="AM1013" s="83"/>
      <c r="AN1013" s="83"/>
      <c r="AO1013" s="83"/>
      <c r="AP1013" s="83"/>
      <c r="AQ1013" s="54"/>
      <c r="AR1013" s="83"/>
      <c r="AS1013" s="83"/>
      <c r="AT1013" s="93"/>
      <c r="AU1013" s="93"/>
      <c r="AV1013" s="93"/>
      <c r="AW1013" s="83"/>
      <c r="AX1013" s="83"/>
      <c r="AY1013" s="83"/>
      <c r="AZ1013" s="83"/>
      <c r="BA1013" s="83"/>
      <c r="BB1013" s="83"/>
      <c r="BC1013" s="54"/>
      <c r="BD1013" s="54" t="str">
        <f t="shared" si="1"/>
        <v/>
      </c>
      <c r="BE1013" s="67"/>
      <c r="BF1013" s="67"/>
      <c r="BG1013" s="67"/>
      <c r="BH1013" s="67"/>
      <c r="BI1013" s="67"/>
      <c r="BJ1013" s="67"/>
      <c r="BK1013" s="67"/>
      <c r="BL1013" s="67"/>
      <c r="BM1013" s="67"/>
      <c r="BN1013" s="100"/>
      <c r="BO1013" s="102"/>
      <c r="BP1013" s="67"/>
      <c r="BQ1013" s="79"/>
      <c r="BR1013" s="67"/>
      <c r="BS1013" s="102"/>
      <c r="BT1013" s="106"/>
      <c r="BU1013" s="107"/>
      <c r="BV1013" s="108" t="str">
        <f t="shared" si="17"/>
        <v/>
      </c>
      <c r="BW1013" s="108" t="str">
        <f t="shared" si="16"/>
        <v/>
      </c>
      <c r="BX1013" s="102" t="str">
        <f t="shared" si="15"/>
        <v/>
      </c>
      <c r="BY1013" s="107" t="str">
        <f t="shared" si="5"/>
        <v/>
      </c>
      <c r="BZ1013" s="107" t="str">
        <f t="array" ref="BZ1013">IF($A1013&lt;&gt;"",INDEX(LISTA!$M$2:$N$27,MATCH($BC1013,LISTA!$N$2:$N$27,0),1),"")</f>
        <v/>
      </c>
      <c r="CA1013" s="67" t="str">
        <f t="shared" si="6"/>
        <v/>
      </c>
      <c r="CB1013" s="114" t="str">
        <f t="shared" si="7"/>
        <v/>
      </c>
      <c r="CC1013" s="114"/>
    </row>
    <row r="1014" ht="22.5" customHeight="1">
      <c r="A1014" s="59"/>
      <c r="B1014" s="115"/>
      <c r="C1014" s="54"/>
      <c r="D1014" s="56"/>
      <c r="E1014" s="69"/>
      <c r="F1014" s="73"/>
      <c r="G1014" s="79"/>
      <c r="H1014" s="79"/>
      <c r="I1014" s="67"/>
      <c r="J1014" s="79"/>
      <c r="K1014" s="67"/>
      <c r="L1014" s="79"/>
      <c r="M1014" s="83"/>
      <c r="N1014" s="78"/>
      <c r="O1014" s="80"/>
      <c r="P1014" s="70"/>
      <c r="Q1014" s="54"/>
      <c r="R1014" s="67"/>
      <c r="S1014" s="67"/>
      <c r="T1014" s="54"/>
      <c r="U1014" s="86"/>
      <c r="V1014" s="54"/>
      <c r="W1014" s="86"/>
      <c r="X1014" s="54"/>
      <c r="Y1014" s="78"/>
      <c r="Z1014" s="54"/>
      <c r="AA1014" s="70"/>
      <c r="AB1014" s="83"/>
      <c r="AC1014" s="83"/>
      <c r="AD1014" s="83"/>
      <c r="AE1014" s="83"/>
      <c r="AF1014" s="83"/>
      <c r="AG1014" s="83"/>
      <c r="AH1014" s="83"/>
      <c r="AI1014" s="83"/>
      <c r="AJ1014" s="83"/>
      <c r="AK1014" s="83"/>
      <c r="AL1014" s="83"/>
      <c r="AM1014" s="83"/>
      <c r="AN1014" s="83"/>
      <c r="AO1014" s="83"/>
      <c r="AP1014" s="83"/>
      <c r="AQ1014" s="54"/>
      <c r="AR1014" s="83"/>
      <c r="AS1014" s="83"/>
      <c r="AT1014" s="93"/>
      <c r="AU1014" s="93"/>
      <c r="AV1014" s="93"/>
      <c r="AW1014" s="83"/>
      <c r="AX1014" s="83"/>
      <c r="AY1014" s="83"/>
      <c r="AZ1014" s="83"/>
      <c r="BA1014" s="83"/>
      <c r="BB1014" s="83"/>
      <c r="BC1014" s="54"/>
      <c r="BD1014" s="54" t="str">
        <f t="shared" si="1"/>
        <v/>
      </c>
      <c r="BE1014" s="67"/>
      <c r="BF1014" s="67"/>
      <c r="BG1014" s="67"/>
      <c r="BH1014" s="67"/>
      <c r="BI1014" s="67"/>
      <c r="BJ1014" s="67"/>
      <c r="BK1014" s="67"/>
      <c r="BL1014" s="67"/>
      <c r="BM1014" s="67"/>
      <c r="BN1014" s="100"/>
      <c r="BO1014" s="102"/>
      <c r="BP1014" s="67"/>
      <c r="BQ1014" s="79"/>
      <c r="BR1014" s="67"/>
      <c r="BS1014" s="102"/>
      <c r="BT1014" s="106"/>
      <c r="BU1014" s="107"/>
      <c r="BV1014" s="108" t="str">
        <f t="shared" si="17"/>
        <v/>
      </c>
      <c r="BW1014" s="108" t="str">
        <f t="shared" si="16"/>
        <v/>
      </c>
      <c r="BX1014" s="102" t="str">
        <f t="shared" si="15"/>
        <v/>
      </c>
      <c r="BY1014" s="107" t="str">
        <f t="shared" si="5"/>
        <v/>
      </c>
      <c r="BZ1014" s="107" t="str">
        <f t="array" ref="BZ1014">IF($A1014&lt;&gt;"",INDEX(LISTA!$M$2:$N$27,MATCH($BC1014,LISTA!$N$2:$N$27,0),1),"")</f>
        <v/>
      </c>
      <c r="CA1014" s="67" t="str">
        <f t="shared" si="6"/>
        <v/>
      </c>
      <c r="CB1014" s="114" t="str">
        <f t="shared" si="7"/>
        <v/>
      </c>
      <c r="CC1014" s="114"/>
    </row>
    <row r="1015" ht="22.5" customHeight="1">
      <c r="A1015" s="59"/>
      <c r="B1015" s="115"/>
      <c r="C1015" s="54"/>
      <c r="D1015" s="56"/>
      <c r="E1015" s="69"/>
      <c r="F1015" s="73"/>
      <c r="G1015" s="79"/>
      <c r="H1015" s="79"/>
      <c r="I1015" s="67"/>
      <c r="J1015" s="79"/>
      <c r="K1015" s="67"/>
      <c r="L1015" s="79"/>
      <c r="M1015" s="83"/>
      <c r="N1015" s="78"/>
      <c r="O1015" s="80"/>
      <c r="P1015" s="70"/>
      <c r="Q1015" s="54"/>
      <c r="R1015" s="67"/>
      <c r="S1015" s="67"/>
      <c r="T1015" s="54"/>
      <c r="U1015" s="86"/>
      <c r="V1015" s="54"/>
      <c r="W1015" s="86"/>
      <c r="X1015" s="54"/>
      <c r="Y1015" s="78"/>
      <c r="Z1015" s="54"/>
      <c r="AA1015" s="70"/>
      <c r="AB1015" s="83"/>
      <c r="AC1015" s="83"/>
      <c r="AD1015" s="83"/>
      <c r="AE1015" s="83"/>
      <c r="AF1015" s="83"/>
      <c r="AG1015" s="83"/>
      <c r="AH1015" s="83"/>
      <c r="AI1015" s="83"/>
      <c r="AJ1015" s="83"/>
      <c r="AK1015" s="83"/>
      <c r="AL1015" s="83"/>
      <c r="AM1015" s="83"/>
      <c r="AN1015" s="83"/>
      <c r="AO1015" s="83"/>
      <c r="AP1015" s="83"/>
      <c r="AQ1015" s="54"/>
      <c r="AR1015" s="83"/>
      <c r="AS1015" s="83"/>
      <c r="AT1015" s="93"/>
      <c r="AU1015" s="93"/>
      <c r="AV1015" s="93"/>
      <c r="AW1015" s="83"/>
      <c r="AX1015" s="83"/>
      <c r="AY1015" s="83"/>
      <c r="AZ1015" s="83"/>
      <c r="BA1015" s="83"/>
      <c r="BB1015" s="83"/>
      <c r="BC1015" s="54"/>
      <c r="BD1015" s="54" t="str">
        <f t="shared" si="1"/>
        <v/>
      </c>
      <c r="BE1015" s="67"/>
      <c r="BF1015" s="67"/>
      <c r="BG1015" s="67"/>
      <c r="BH1015" s="67"/>
      <c r="BI1015" s="67"/>
      <c r="BJ1015" s="67"/>
      <c r="BK1015" s="67"/>
      <c r="BL1015" s="67"/>
      <c r="BM1015" s="67"/>
      <c r="BN1015" s="100"/>
      <c r="BO1015" s="102"/>
      <c r="BP1015" s="67"/>
      <c r="BQ1015" s="79"/>
      <c r="BR1015" s="67"/>
      <c r="BS1015" s="102"/>
      <c r="BT1015" s="106"/>
      <c r="BU1015" s="107"/>
      <c r="BV1015" s="108" t="str">
        <f t="shared" si="17"/>
        <v/>
      </c>
      <c r="BW1015" s="108" t="str">
        <f t="shared" si="16"/>
        <v/>
      </c>
      <c r="BX1015" s="102" t="str">
        <f t="shared" si="15"/>
        <v/>
      </c>
      <c r="BY1015" s="107" t="str">
        <f t="shared" si="5"/>
        <v/>
      </c>
      <c r="BZ1015" s="107" t="str">
        <f t="array" ref="BZ1015">IF($A1015&lt;&gt;"",INDEX(LISTA!$M$2:$N$27,MATCH($BC1015,LISTA!$N$2:$N$27,0),1),"")</f>
        <v/>
      </c>
      <c r="CA1015" s="67" t="str">
        <f t="shared" si="6"/>
        <v/>
      </c>
      <c r="CB1015" s="114" t="str">
        <f t="shared" si="7"/>
        <v/>
      </c>
      <c r="CC1015" s="114"/>
    </row>
    <row r="1016" ht="22.5" customHeight="1">
      <c r="A1016" s="59"/>
      <c r="B1016" s="115"/>
      <c r="C1016" s="54"/>
      <c r="D1016" s="56"/>
      <c r="E1016" s="69"/>
      <c r="F1016" s="73"/>
      <c r="G1016" s="79"/>
      <c r="H1016" s="79"/>
      <c r="I1016" s="67"/>
      <c r="J1016" s="79"/>
      <c r="K1016" s="67"/>
      <c r="L1016" s="79"/>
      <c r="M1016" s="83"/>
      <c r="N1016" s="78"/>
      <c r="O1016" s="80"/>
      <c r="P1016" s="70"/>
      <c r="Q1016" s="54"/>
      <c r="R1016" s="67"/>
      <c r="S1016" s="67"/>
      <c r="T1016" s="54"/>
      <c r="U1016" s="86"/>
      <c r="V1016" s="54"/>
      <c r="W1016" s="86"/>
      <c r="X1016" s="54"/>
      <c r="Y1016" s="78"/>
      <c r="Z1016" s="54"/>
      <c r="AA1016" s="70"/>
      <c r="AB1016" s="83"/>
      <c r="AC1016" s="83"/>
      <c r="AD1016" s="83"/>
      <c r="AE1016" s="83"/>
      <c r="AF1016" s="83"/>
      <c r="AG1016" s="83"/>
      <c r="AH1016" s="83"/>
      <c r="AI1016" s="83"/>
      <c r="AJ1016" s="83"/>
      <c r="AK1016" s="83"/>
      <c r="AL1016" s="83"/>
      <c r="AM1016" s="83"/>
      <c r="AN1016" s="83"/>
      <c r="AO1016" s="83"/>
      <c r="AP1016" s="83"/>
      <c r="AQ1016" s="54"/>
      <c r="AR1016" s="83"/>
      <c r="AS1016" s="83"/>
      <c r="AT1016" s="93"/>
      <c r="AU1016" s="93"/>
      <c r="AV1016" s="93"/>
      <c r="AW1016" s="83"/>
      <c r="AX1016" s="83"/>
      <c r="AY1016" s="83"/>
      <c r="AZ1016" s="83"/>
      <c r="BA1016" s="83"/>
      <c r="BB1016" s="83"/>
      <c r="BC1016" s="54"/>
      <c r="BD1016" s="54" t="str">
        <f t="shared" si="1"/>
        <v/>
      </c>
      <c r="BE1016" s="67"/>
      <c r="BF1016" s="67"/>
      <c r="BG1016" s="67"/>
      <c r="BH1016" s="67"/>
      <c r="BI1016" s="67"/>
      <c r="BJ1016" s="67"/>
      <c r="BK1016" s="67"/>
      <c r="BL1016" s="67"/>
      <c r="BM1016" s="67"/>
      <c r="BN1016" s="100"/>
      <c r="BO1016" s="102"/>
      <c r="BP1016" s="67"/>
      <c r="BQ1016" s="79"/>
      <c r="BR1016" s="67"/>
      <c r="BS1016" s="102"/>
      <c r="BT1016" s="106"/>
      <c r="BU1016" s="107"/>
      <c r="BV1016" s="108" t="str">
        <f t="shared" si="17"/>
        <v/>
      </c>
      <c r="BW1016" s="108" t="str">
        <f t="shared" si="16"/>
        <v/>
      </c>
      <c r="BX1016" s="102" t="str">
        <f t="shared" si="15"/>
        <v/>
      </c>
      <c r="BY1016" s="107" t="str">
        <f t="shared" si="5"/>
        <v/>
      </c>
      <c r="BZ1016" s="107" t="str">
        <f t="array" ref="BZ1016">IF($A1016&lt;&gt;"",INDEX(LISTA!$M$2:$N$27,MATCH($BC1016,LISTA!$N$2:$N$27,0),1),"")</f>
        <v/>
      </c>
      <c r="CA1016" s="67" t="str">
        <f t="shared" si="6"/>
        <v/>
      </c>
      <c r="CB1016" s="114" t="str">
        <f t="shared" si="7"/>
        <v/>
      </c>
      <c r="CC1016" s="114"/>
    </row>
    <row r="1017" ht="22.5" customHeight="1">
      <c r="A1017" s="59"/>
      <c r="B1017" s="115"/>
      <c r="C1017" s="54"/>
      <c r="D1017" s="56"/>
      <c r="E1017" s="69"/>
      <c r="F1017" s="73"/>
      <c r="G1017" s="79"/>
      <c r="H1017" s="79"/>
      <c r="I1017" s="67"/>
      <c r="J1017" s="79"/>
      <c r="K1017" s="67"/>
      <c r="L1017" s="79"/>
      <c r="M1017" s="83"/>
      <c r="N1017" s="78"/>
      <c r="O1017" s="80"/>
      <c r="P1017" s="70"/>
      <c r="Q1017" s="54"/>
      <c r="R1017" s="67"/>
      <c r="S1017" s="67"/>
      <c r="T1017" s="54"/>
      <c r="U1017" s="86"/>
      <c r="V1017" s="54"/>
      <c r="W1017" s="86"/>
      <c r="X1017" s="54"/>
      <c r="Y1017" s="78"/>
      <c r="Z1017" s="54"/>
      <c r="AA1017" s="70"/>
      <c r="AB1017" s="83"/>
      <c r="AC1017" s="83"/>
      <c r="AD1017" s="83"/>
      <c r="AE1017" s="83"/>
      <c r="AF1017" s="83"/>
      <c r="AG1017" s="83"/>
      <c r="AH1017" s="83"/>
      <c r="AI1017" s="83"/>
      <c r="AJ1017" s="83"/>
      <c r="AK1017" s="83"/>
      <c r="AL1017" s="83"/>
      <c r="AM1017" s="83"/>
      <c r="AN1017" s="83"/>
      <c r="AO1017" s="83"/>
      <c r="AP1017" s="83"/>
      <c r="AQ1017" s="54"/>
      <c r="AR1017" s="83"/>
      <c r="AS1017" s="83"/>
      <c r="AT1017" s="93"/>
      <c r="AU1017" s="93"/>
      <c r="AV1017" s="93"/>
      <c r="AW1017" s="83"/>
      <c r="AX1017" s="83"/>
      <c r="AY1017" s="83"/>
      <c r="AZ1017" s="83"/>
      <c r="BA1017" s="83"/>
      <c r="BB1017" s="83"/>
      <c r="BC1017" s="54"/>
      <c r="BD1017" s="54" t="str">
        <f t="shared" si="1"/>
        <v/>
      </c>
      <c r="BE1017" s="67"/>
      <c r="BF1017" s="67"/>
      <c r="BG1017" s="67"/>
      <c r="BH1017" s="67"/>
      <c r="BI1017" s="67"/>
      <c r="BJ1017" s="67"/>
      <c r="BK1017" s="67"/>
      <c r="BL1017" s="67"/>
      <c r="BM1017" s="67"/>
      <c r="BN1017" s="100"/>
      <c r="BO1017" s="102"/>
      <c r="BP1017" s="67"/>
      <c r="BQ1017" s="79"/>
      <c r="BR1017" s="67"/>
      <c r="BS1017" s="102"/>
      <c r="BT1017" s="106"/>
      <c r="BU1017" s="107"/>
      <c r="BV1017" s="108" t="str">
        <f t="shared" si="17"/>
        <v/>
      </c>
      <c r="BW1017" s="108" t="str">
        <f t="shared" si="16"/>
        <v/>
      </c>
      <c r="BX1017" s="102" t="str">
        <f t="shared" si="15"/>
        <v/>
      </c>
      <c r="BY1017" s="107" t="str">
        <f t="shared" si="5"/>
        <v/>
      </c>
      <c r="BZ1017" s="107" t="str">
        <f t="array" ref="BZ1017">IF($A1017&lt;&gt;"",INDEX(LISTA!$M$2:$N$27,MATCH($BC1017,LISTA!$N$2:$N$27,0),1),"")</f>
        <v/>
      </c>
      <c r="CA1017" s="67" t="str">
        <f t="shared" si="6"/>
        <v/>
      </c>
      <c r="CB1017" s="114" t="str">
        <f t="shared" si="7"/>
        <v/>
      </c>
      <c r="CC1017" s="114"/>
    </row>
    <row r="1018" ht="22.5" customHeight="1">
      <c r="A1018" s="59"/>
      <c r="B1018" s="115"/>
      <c r="C1018" s="54"/>
      <c r="D1018" s="56"/>
      <c r="E1018" s="69"/>
      <c r="F1018" s="73"/>
      <c r="G1018" s="79"/>
      <c r="H1018" s="79"/>
      <c r="I1018" s="67"/>
      <c r="J1018" s="79"/>
      <c r="K1018" s="67"/>
      <c r="L1018" s="79"/>
      <c r="M1018" s="83"/>
      <c r="N1018" s="78"/>
      <c r="O1018" s="80"/>
      <c r="P1018" s="70"/>
      <c r="Q1018" s="54"/>
      <c r="R1018" s="67"/>
      <c r="S1018" s="67"/>
      <c r="T1018" s="54"/>
      <c r="U1018" s="86"/>
      <c r="V1018" s="54"/>
      <c r="W1018" s="86"/>
      <c r="X1018" s="54"/>
      <c r="Y1018" s="78"/>
      <c r="Z1018" s="54"/>
      <c r="AA1018" s="70"/>
      <c r="AB1018" s="83"/>
      <c r="AC1018" s="83"/>
      <c r="AD1018" s="83"/>
      <c r="AE1018" s="83"/>
      <c r="AF1018" s="83"/>
      <c r="AG1018" s="83"/>
      <c r="AH1018" s="83"/>
      <c r="AI1018" s="83"/>
      <c r="AJ1018" s="83"/>
      <c r="AK1018" s="83"/>
      <c r="AL1018" s="83"/>
      <c r="AM1018" s="83"/>
      <c r="AN1018" s="83"/>
      <c r="AO1018" s="83"/>
      <c r="AP1018" s="83"/>
      <c r="AQ1018" s="54"/>
      <c r="AR1018" s="83"/>
      <c r="AS1018" s="83"/>
      <c r="AT1018" s="93"/>
      <c r="AU1018" s="93"/>
      <c r="AV1018" s="93"/>
      <c r="AW1018" s="83"/>
      <c r="AX1018" s="83"/>
      <c r="AY1018" s="83"/>
      <c r="AZ1018" s="83"/>
      <c r="BA1018" s="83"/>
      <c r="BB1018" s="83"/>
      <c r="BC1018" s="54"/>
      <c r="BD1018" s="54" t="str">
        <f t="shared" si="1"/>
        <v/>
      </c>
      <c r="BE1018" s="67"/>
      <c r="BF1018" s="67"/>
      <c r="BG1018" s="67"/>
      <c r="BH1018" s="67"/>
      <c r="BI1018" s="67"/>
      <c r="BJ1018" s="67"/>
      <c r="BK1018" s="67"/>
      <c r="BL1018" s="67"/>
      <c r="BM1018" s="67"/>
      <c r="BN1018" s="100"/>
      <c r="BO1018" s="102"/>
      <c r="BP1018" s="67"/>
      <c r="BQ1018" s="79"/>
      <c r="BR1018" s="67"/>
      <c r="BS1018" s="102"/>
      <c r="BT1018" s="106"/>
      <c r="BU1018" s="107"/>
      <c r="BV1018" s="108" t="str">
        <f t="shared" si="17"/>
        <v/>
      </c>
      <c r="BW1018" s="108" t="str">
        <f t="shared" si="16"/>
        <v/>
      </c>
      <c r="BX1018" s="102" t="str">
        <f t="shared" si="15"/>
        <v/>
      </c>
      <c r="BY1018" s="107" t="str">
        <f t="shared" si="5"/>
        <v/>
      </c>
      <c r="BZ1018" s="107" t="str">
        <f t="array" ref="BZ1018">IF($A1018&lt;&gt;"",INDEX(LISTA!$M$2:$N$27,MATCH($BC1018,LISTA!$N$2:$N$27,0),1),"")</f>
        <v/>
      </c>
      <c r="CA1018" s="67" t="str">
        <f t="shared" si="6"/>
        <v/>
      </c>
      <c r="CB1018" s="114" t="str">
        <f t="shared" si="7"/>
        <v/>
      </c>
      <c r="CC1018" s="114"/>
    </row>
    <row r="1019" ht="22.5" customHeight="1">
      <c r="A1019" s="59"/>
      <c r="B1019" s="115"/>
      <c r="C1019" s="54"/>
      <c r="D1019" s="56"/>
      <c r="E1019" s="69"/>
      <c r="F1019" s="73"/>
      <c r="G1019" s="79"/>
      <c r="H1019" s="79"/>
      <c r="I1019" s="67"/>
      <c r="J1019" s="79"/>
      <c r="K1019" s="67"/>
      <c r="L1019" s="79"/>
      <c r="M1019" s="83"/>
      <c r="N1019" s="78"/>
      <c r="O1019" s="80"/>
      <c r="P1019" s="70"/>
      <c r="Q1019" s="54"/>
      <c r="R1019" s="67"/>
      <c r="S1019" s="67"/>
      <c r="T1019" s="54"/>
      <c r="U1019" s="86"/>
      <c r="V1019" s="54"/>
      <c r="W1019" s="86"/>
      <c r="X1019" s="54"/>
      <c r="Y1019" s="78"/>
      <c r="Z1019" s="54"/>
      <c r="AA1019" s="70"/>
      <c r="AB1019" s="83"/>
      <c r="AC1019" s="83"/>
      <c r="AD1019" s="83"/>
      <c r="AE1019" s="83"/>
      <c r="AF1019" s="83"/>
      <c r="AG1019" s="83"/>
      <c r="AH1019" s="83"/>
      <c r="AI1019" s="83"/>
      <c r="AJ1019" s="83"/>
      <c r="AK1019" s="83"/>
      <c r="AL1019" s="83"/>
      <c r="AM1019" s="83"/>
      <c r="AN1019" s="83"/>
      <c r="AO1019" s="83"/>
      <c r="AP1019" s="83"/>
      <c r="AQ1019" s="54"/>
      <c r="AR1019" s="83"/>
      <c r="AS1019" s="83"/>
      <c r="AT1019" s="93"/>
      <c r="AU1019" s="93"/>
      <c r="AV1019" s="93"/>
      <c r="AW1019" s="83"/>
      <c r="AX1019" s="83"/>
      <c r="AY1019" s="83"/>
      <c r="AZ1019" s="83"/>
      <c r="BA1019" s="83"/>
      <c r="BB1019" s="83"/>
      <c r="BC1019" s="54"/>
      <c r="BD1019" s="54" t="str">
        <f t="shared" si="1"/>
        <v/>
      </c>
      <c r="BE1019" s="67"/>
      <c r="BF1019" s="67"/>
      <c r="BG1019" s="67"/>
      <c r="BH1019" s="67"/>
      <c r="BI1019" s="67"/>
      <c r="BJ1019" s="67"/>
      <c r="BK1019" s="67"/>
      <c r="BL1019" s="67"/>
      <c r="BM1019" s="67"/>
      <c r="BN1019" s="100"/>
      <c r="BO1019" s="102"/>
      <c r="BP1019" s="67"/>
      <c r="BQ1019" s="79"/>
      <c r="BR1019" s="67"/>
      <c r="BS1019" s="102"/>
      <c r="BT1019" s="106"/>
      <c r="BU1019" s="107"/>
      <c r="BV1019" s="108" t="str">
        <f t="shared" si="17"/>
        <v/>
      </c>
      <c r="BW1019" s="108" t="str">
        <f t="shared" si="16"/>
        <v/>
      </c>
      <c r="BX1019" s="102" t="str">
        <f t="shared" si="15"/>
        <v/>
      </c>
      <c r="BY1019" s="107" t="str">
        <f t="shared" si="5"/>
        <v/>
      </c>
      <c r="BZ1019" s="107" t="str">
        <f t="array" ref="BZ1019">IF($A1019&lt;&gt;"",INDEX(LISTA!$M$2:$N$27,MATCH($BC1019,LISTA!$N$2:$N$27,0),1),"")</f>
        <v/>
      </c>
      <c r="CA1019" s="67" t="str">
        <f t="shared" si="6"/>
        <v/>
      </c>
      <c r="CB1019" s="114" t="str">
        <f t="shared" si="7"/>
        <v/>
      </c>
      <c r="CC1019" s="114"/>
    </row>
    <row r="1020" ht="22.5" customHeight="1">
      <c r="A1020" s="59"/>
      <c r="B1020" s="115"/>
      <c r="C1020" s="54"/>
      <c r="D1020" s="56"/>
      <c r="E1020" s="69"/>
      <c r="F1020" s="73"/>
      <c r="G1020" s="79"/>
      <c r="H1020" s="79"/>
      <c r="I1020" s="67"/>
      <c r="J1020" s="79"/>
      <c r="K1020" s="67"/>
      <c r="L1020" s="79"/>
      <c r="M1020" s="83"/>
      <c r="N1020" s="78"/>
      <c r="O1020" s="80"/>
      <c r="P1020" s="70"/>
      <c r="Q1020" s="54"/>
      <c r="R1020" s="67"/>
      <c r="S1020" s="67"/>
      <c r="T1020" s="54"/>
      <c r="U1020" s="86"/>
      <c r="V1020" s="54"/>
      <c r="W1020" s="86"/>
      <c r="X1020" s="54"/>
      <c r="Y1020" s="78"/>
      <c r="Z1020" s="54"/>
      <c r="AA1020" s="70"/>
      <c r="AB1020" s="83"/>
      <c r="AC1020" s="83"/>
      <c r="AD1020" s="83"/>
      <c r="AE1020" s="83"/>
      <c r="AF1020" s="83"/>
      <c r="AG1020" s="83"/>
      <c r="AH1020" s="83"/>
      <c r="AI1020" s="83"/>
      <c r="AJ1020" s="83"/>
      <c r="AK1020" s="83"/>
      <c r="AL1020" s="83"/>
      <c r="AM1020" s="83"/>
      <c r="AN1020" s="83"/>
      <c r="AO1020" s="83"/>
      <c r="AP1020" s="83"/>
      <c r="AQ1020" s="54"/>
      <c r="AR1020" s="83"/>
      <c r="AS1020" s="83"/>
      <c r="AT1020" s="93"/>
      <c r="AU1020" s="93"/>
      <c r="AV1020" s="93"/>
      <c r="AW1020" s="83"/>
      <c r="AX1020" s="83"/>
      <c r="AY1020" s="83"/>
      <c r="AZ1020" s="83"/>
      <c r="BA1020" s="83"/>
      <c r="BB1020" s="83"/>
      <c r="BC1020" s="54"/>
      <c r="BD1020" s="54" t="str">
        <f t="shared" si="1"/>
        <v/>
      </c>
      <c r="BE1020" s="67"/>
      <c r="BF1020" s="67"/>
      <c r="BG1020" s="67"/>
      <c r="BH1020" s="67"/>
      <c r="BI1020" s="67"/>
      <c r="BJ1020" s="67"/>
      <c r="BK1020" s="67"/>
      <c r="BL1020" s="67"/>
      <c r="BM1020" s="67"/>
      <c r="BN1020" s="100"/>
      <c r="BO1020" s="102"/>
      <c r="BP1020" s="67"/>
      <c r="BQ1020" s="79"/>
      <c r="BR1020" s="67"/>
      <c r="BS1020" s="102"/>
      <c r="BT1020" s="106"/>
      <c r="BU1020" s="107"/>
      <c r="BV1020" s="108" t="str">
        <f t="shared" si="17"/>
        <v/>
      </c>
      <c r="BW1020" s="108" t="str">
        <f t="shared" si="16"/>
        <v/>
      </c>
      <c r="BX1020" s="102" t="str">
        <f t="shared" si="15"/>
        <v/>
      </c>
      <c r="BY1020" s="107" t="str">
        <f t="shared" si="5"/>
        <v/>
      </c>
      <c r="BZ1020" s="107" t="str">
        <f t="array" ref="BZ1020">IF($A1020&lt;&gt;"",INDEX(LISTA!$M$2:$N$27,MATCH($BC1020,LISTA!$N$2:$N$27,0),1),"")</f>
        <v/>
      </c>
      <c r="CA1020" s="67" t="str">
        <f t="shared" si="6"/>
        <v/>
      </c>
      <c r="CB1020" s="114" t="str">
        <f t="shared" si="7"/>
        <v/>
      </c>
      <c r="CC1020" s="114"/>
    </row>
    <row r="1021" ht="22.5" customHeight="1">
      <c r="A1021" s="59"/>
      <c r="B1021" s="115"/>
      <c r="C1021" s="54"/>
      <c r="D1021" s="56"/>
      <c r="E1021" s="69"/>
      <c r="F1021" s="73"/>
      <c r="G1021" s="79"/>
      <c r="H1021" s="79"/>
      <c r="I1021" s="67"/>
      <c r="J1021" s="79"/>
      <c r="K1021" s="67"/>
      <c r="L1021" s="79"/>
      <c r="M1021" s="83"/>
      <c r="N1021" s="78"/>
      <c r="O1021" s="80"/>
      <c r="P1021" s="70"/>
      <c r="Q1021" s="54"/>
      <c r="R1021" s="67"/>
      <c r="S1021" s="67"/>
      <c r="T1021" s="54"/>
      <c r="U1021" s="86"/>
      <c r="V1021" s="54"/>
      <c r="W1021" s="86"/>
      <c r="X1021" s="54"/>
      <c r="Y1021" s="78"/>
      <c r="Z1021" s="54"/>
      <c r="AA1021" s="70"/>
      <c r="AB1021" s="83"/>
      <c r="AC1021" s="83"/>
      <c r="AD1021" s="83"/>
      <c r="AE1021" s="83"/>
      <c r="AF1021" s="83"/>
      <c r="AG1021" s="83"/>
      <c r="AH1021" s="83"/>
      <c r="AI1021" s="83"/>
      <c r="AJ1021" s="83"/>
      <c r="AK1021" s="83"/>
      <c r="AL1021" s="83"/>
      <c r="AM1021" s="83"/>
      <c r="AN1021" s="83"/>
      <c r="AO1021" s="83"/>
      <c r="AP1021" s="83"/>
      <c r="AQ1021" s="54"/>
      <c r="AR1021" s="83"/>
      <c r="AS1021" s="83"/>
      <c r="AT1021" s="93"/>
      <c r="AU1021" s="93"/>
      <c r="AV1021" s="93"/>
      <c r="AW1021" s="83"/>
      <c r="AX1021" s="83"/>
      <c r="AY1021" s="83"/>
      <c r="AZ1021" s="83"/>
      <c r="BA1021" s="83"/>
      <c r="BB1021" s="83"/>
      <c r="BC1021" s="54"/>
      <c r="BD1021" s="54" t="str">
        <f t="shared" si="1"/>
        <v/>
      </c>
      <c r="BE1021" s="67"/>
      <c r="BF1021" s="67"/>
      <c r="BG1021" s="67"/>
      <c r="BH1021" s="67"/>
      <c r="BI1021" s="67"/>
      <c r="BJ1021" s="67"/>
      <c r="BK1021" s="67"/>
      <c r="BL1021" s="67"/>
      <c r="BM1021" s="67"/>
      <c r="BN1021" s="100"/>
      <c r="BO1021" s="102"/>
      <c r="BP1021" s="67"/>
      <c r="BQ1021" s="79"/>
      <c r="BR1021" s="67"/>
      <c r="BS1021" s="102"/>
      <c r="BT1021" s="106"/>
      <c r="BU1021" s="107"/>
      <c r="BV1021" s="108" t="str">
        <f t="shared" si="17"/>
        <v/>
      </c>
      <c r="BW1021" s="108" t="str">
        <f t="shared" si="16"/>
        <v/>
      </c>
      <c r="BX1021" s="102" t="str">
        <f t="shared" si="15"/>
        <v/>
      </c>
      <c r="BY1021" s="107" t="str">
        <f t="shared" si="5"/>
        <v/>
      </c>
      <c r="BZ1021" s="107" t="str">
        <f t="array" ref="BZ1021">IF($A1021&lt;&gt;"",INDEX(LISTA!$M$2:$N$27,MATCH($BC1021,LISTA!$N$2:$N$27,0),1),"")</f>
        <v/>
      </c>
      <c r="CA1021" s="67" t="str">
        <f t="shared" si="6"/>
        <v/>
      </c>
      <c r="CB1021" s="114" t="str">
        <f t="shared" si="7"/>
        <v/>
      </c>
      <c r="CC1021" s="114"/>
    </row>
    <row r="1022" ht="22.5" customHeight="1">
      <c r="A1022" s="59"/>
      <c r="B1022" s="115"/>
      <c r="C1022" s="54"/>
      <c r="D1022" s="56"/>
      <c r="E1022" s="69"/>
      <c r="F1022" s="73"/>
      <c r="G1022" s="79"/>
      <c r="H1022" s="79"/>
      <c r="I1022" s="67"/>
      <c r="J1022" s="79"/>
      <c r="K1022" s="67"/>
      <c r="L1022" s="79"/>
      <c r="M1022" s="83"/>
      <c r="N1022" s="78"/>
      <c r="O1022" s="80"/>
      <c r="P1022" s="70"/>
      <c r="Q1022" s="54"/>
      <c r="R1022" s="67"/>
      <c r="S1022" s="67"/>
      <c r="T1022" s="54"/>
      <c r="U1022" s="86"/>
      <c r="V1022" s="54"/>
      <c r="W1022" s="86"/>
      <c r="X1022" s="54"/>
      <c r="Y1022" s="78"/>
      <c r="Z1022" s="54"/>
      <c r="AA1022" s="70"/>
      <c r="AB1022" s="83"/>
      <c r="AC1022" s="83"/>
      <c r="AD1022" s="83"/>
      <c r="AE1022" s="83"/>
      <c r="AF1022" s="83"/>
      <c r="AG1022" s="83"/>
      <c r="AH1022" s="83"/>
      <c r="AI1022" s="83"/>
      <c r="AJ1022" s="83"/>
      <c r="AK1022" s="83"/>
      <c r="AL1022" s="83"/>
      <c r="AM1022" s="83"/>
      <c r="AN1022" s="83"/>
      <c r="AO1022" s="83"/>
      <c r="AP1022" s="83"/>
      <c r="AQ1022" s="54"/>
      <c r="AR1022" s="83"/>
      <c r="AS1022" s="83"/>
      <c r="AT1022" s="93"/>
      <c r="AU1022" s="93"/>
      <c r="AV1022" s="93"/>
      <c r="AW1022" s="83"/>
      <c r="AX1022" s="83"/>
      <c r="AY1022" s="83"/>
      <c r="AZ1022" s="83"/>
      <c r="BA1022" s="83"/>
      <c r="BB1022" s="83"/>
      <c r="BC1022" s="54"/>
      <c r="BD1022" s="54" t="str">
        <f t="shared" si="1"/>
        <v/>
      </c>
      <c r="BE1022" s="67"/>
      <c r="BF1022" s="67"/>
      <c r="BG1022" s="67"/>
      <c r="BH1022" s="67"/>
      <c r="BI1022" s="67"/>
      <c r="BJ1022" s="67"/>
      <c r="BK1022" s="67"/>
      <c r="BL1022" s="67"/>
      <c r="BM1022" s="67"/>
      <c r="BN1022" s="100"/>
      <c r="BO1022" s="102"/>
      <c r="BP1022" s="67"/>
      <c r="BQ1022" s="79"/>
      <c r="BR1022" s="67"/>
      <c r="BS1022" s="102"/>
      <c r="BT1022" s="106"/>
      <c r="BU1022" s="107"/>
      <c r="BV1022" s="108" t="str">
        <f t="shared" si="17"/>
        <v/>
      </c>
      <c r="BW1022" s="108" t="str">
        <f t="shared" si="16"/>
        <v/>
      </c>
      <c r="BX1022" s="102" t="str">
        <f t="shared" si="15"/>
        <v/>
      </c>
      <c r="BY1022" s="107" t="str">
        <f t="shared" si="5"/>
        <v/>
      </c>
      <c r="BZ1022" s="107" t="str">
        <f t="array" ref="BZ1022">IF($A1022&lt;&gt;"",INDEX(LISTA!$M$2:$N$27,MATCH($BC1022,LISTA!$N$2:$N$27,0),1),"")</f>
        <v/>
      </c>
      <c r="CA1022" s="67" t="str">
        <f t="shared" si="6"/>
        <v/>
      </c>
      <c r="CB1022" s="114" t="str">
        <f t="shared" si="7"/>
        <v/>
      </c>
      <c r="CC1022" s="114"/>
    </row>
    <row r="1023" ht="22.5" customHeight="1">
      <c r="A1023" s="59"/>
      <c r="B1023" s="115"/>
      <c r="C1023" s="54"/>
      <c r="D1023" s="56"/>
      <c r="E1023" s="69"/>
      <c r="F1023" s="73"/>
      <c r="G1023" s="79"/>
      <c r="H1023" s="79"/>
      <c r="I1023" s="67"/>
      <c r="J1023" s="79"/>
      <c r="K1023" s="67"/>
      <c r="L1023" s="79"/>
      <c r="M1023" s="83"/>
      <c r="N1023" s="78"/>
      <c r="O1023" s="80"/>
      <c r="P1023" s="70"/>
      <c r="Q1023" s="54"/>
      <c r="R1023" s="67"/>
      <c r="S1023" s="67"/>
      <c r="T1023" s="54"/>
      <c r="U1023" s="86"/>
      <c r="V1023" s="54"/>
      <c r="W1023" s="86"/>
      <c r="X1023" s="54"/>
      <c r="Y1023" s="78"/>
      <c r="Z1023" s="54"/>
      <c r="AA1023" s="70"/>
      <c r="AB1023" s="83"/>
      <c r="AC1023" s="83"/>
      <c r="AD1023" s="83"/>
      <c r="AE1023" s="83"/>
      <c r="AF1023" s="83"/>
      <c r="AG1023" s="83"/>
      <c r="AH1023" s="83"/>
      <c r="AI1023" s="83"/>
      <c r="AJ1023" s="83"/>
      <c r="AK1023" s="83"/>
      <c r="AL1023" s="83"/>
      <c r="AM1023" s="83"/>
      <c r="AN1023" s="83"/>
      <c r="AO1023" s="83"/>
      <c r="AP1023" s="83"/>
      <c r="AQ1023" s="54"/>
      <c r="AR1023" s="83"/>
      <c r="AS1023" s="83"/>
      <c r="AT1023" s="93"/>
      <c r="AU1023" s="93"/>
      <c r="AV1023" s="93"/>
      <c r="AW1023" s="83"/>
      <c r="AX1023" s="83"/>
      <c r="AY1023" s="83"/>
      <c r="AZ1023" s="83"/>
      <c r="BA1023" s="83"/>
      <c r="BB1023" s="83"/>
      <c r="BC1023" s="54"/>
      <c r="BD1023" s="54" t="str">
        <f t="shared" si="1"/>
        <v/>
      </c>
      <c r="BE1023" s="67"/>
      <c r="BF1023" s="67"/>
      <c r="BG1023" s="67"/>
      <c r="BH1023" s="67"/>
      <c r="BI1023" s="67"/>
      <c r="BJ1023" s="67"/>
      <c r="BK1023" s="67"/>
      <c r="BL1023" s="67"/>
      <c r="BM1023" s="67"/>
      <c r="BN1023" s="100"/>
      <c r="BO1023" s="102"/>
      <c r="BP1023" s="67"/>
      <c r="BQ1023" s="79"/>
      <c r="BR1023" s="67"/>
      <c r="BS1023" s="102"/>
      <c r="BT1023" s="106"/>
      <c r="BU1023" s="107"/>
      <c r="BV1023" s="108" t="str">
        <f t="shared" si="17"/>
        <v/>
      </c>
      <c r="BW1023" s="108" t="str">
        <f t="shared" si="16"/>
        <v/>
      </c>
      <c r="BX1023" s="102" t="str">
        <f t="shared" si="15"/>
        <v/>
      </c>
      <c r="BY1023" s="107" t="str">
        <f t="shared" si="5"/>
        <v/>
      </c>
      <c r="BZ1023" s="107" t="str">
        <f t="array" ref="BZ1023">IF($A1023&lt;&gt;"",INDEX(LISTA!$M$2:$N$27,MATCH($BC1023,LISTA!$N$2:$N$27,0),1),"")</f>
        <v/>
      </c>
      <c r="CA1023" s="67" t="str">
        <f t="shared" si="6"/>
        <v/>
      </c>
      <c r="CB1023" s="114" t="str">
        <f t="shared" si="7"/>
        <v/>
      </c>
      <c r="CC1023" s="114"/>
    </row>
    <row r="1024" ht="22.5" customHeight="1">
      <c r="A1024" s="59"/>
      <c r="B1024" s="115"/>
      <c r="C1024" s="54"/>
      <c r="D1024" s="56"/>
      <c r="E1024" s="69"/>
      <c r="F1024" s="73"/>
      <c r="G1024" s="79"/>
      <c r="H1024" s="79"/>
      <c r="I1024" s="67"/>
      <c r="J1024" s="79"/>
      <c r="K1024" s="67"/>
      <c r="L1024" s="79"/>
      <c r="M1024" s="83"/>
      <c r="N1024" s="78"/>
      <c r="O1024" s="80"/>
      <c r="P1024" s="70"/>
      <c r="Q1024" s="54"/>
      <c r="R1024" s="67"/>
      <c r="S1024" s="67"/>
      <c r="T1024" s="54"/>
      <c r="U1024" s="86"/>
      <c r="V1024" s="54"/>
      <c r="W1024" s="86"/>
      <c r="X1024" s="54"/>
      <c r="Y1024" s="78"/>
      <c r="Z1024" s="54"/>
      <c r="AA1024" s="70"/>
      <c r="AB1024" s="83"/>
      <c r="AC1024" s="83"/>
      <c r="AD1024" s="83"/>
      <c r="AE1024" s="83"/>
      <c r="AF1024" s="83"/>
      <c r="AG1024" s="83"/>
      <c r="AH1024" s="83"/>
      <c r="AI1024" s="83"/>
      <c r="AJ1024" s="83"/>
      <c r="AK1024" s="83"/>
      <c r="AL1024" s="83"/>
      <c r="AM1024" s="83"/>
      <c r="AN1024" s="83"/>
      <c r="AO1024" s="83"/>
      <c r="AP1024" s="83"/>
      <c r="AQ1024" s="54"/>
      <c r="AR1024" s="83"/>
      <c r="AS1024" s="83"/>
      <c r="AT1024" s="93"/>
      <c r="AU1024" s="93"/>
      <c r="AV1024" s="93"/>
      <c r="AW1024" s="83"/>
      <c r="AX1024" s="83"/>
      <c r="AY1024" s="83"/>
      <c r="AZ1024" s="83"/>
      <c r="BA1024" s="83"/>
      <c r="BB1024" s="83"/>
      <c r="BC1024" s="54"/>
      <c r="BD1024" s="54" t="str">
        <f t="shared" si="1"/>
        <v/>
      </c>
      <c r="BE1024" s="67"/>
      <c r="BF1024" s="67"/>
      <c r="BG1024" s="67"/>
      <c r="BH1024" s="67"/>
      <c r="BI1024" s="67"/>
      <c r="BJ1024" s="67"/>
      <c r="BK1024" s="67"/>
      <c r="BL1024" s="67"/>
      <c r="BM1024" s="67"/>
      <c r="BN1024" s="100"/>
      <c r="BO1024" s="102"/>
      <c r="BP1024" s="67"/>
      <c r="BQ1024" s="79"/>
      <c r="BR1024" s="67"/>
      <c r="BS1024" s="102"/>
      <c r="BT1024" s="106"/>
      <c r="BU1024" s="107"/>
      <c r="BV1024" s="108" t="str">
        <f t="shared" si="17"/>
        <v/>
      </c>
      <c r="BW1024" s="108" t="str">
        <f t="shared" si="16"/>
        <v/>
      </c>
      <c r="BX1024" s="102" t="str">
        <f t="shared" si="15"/>
        <v/>
      </c>
      <c r="BY1024" s="107" t="str">
        <f t="shared" si="5"/>
        <v/>
      </c>
      <c r="BZ1024" s="107" t="str">
        <f t="array" ref="BZ1024">IF($A1024&lt;&gt;"",INDEX(LISTA!$M$2:$N$27,MATCH($BC1024,LISTA!$N$2:$N$27,0),1),"")</f>
        <v/>
      </c>
      <c r="CA1024" s="67" t="str">
        <f t="shared" si="6"/>
        <v/>
      </c>
      <c r="CB1024" s="114" t="str">
        <f t="shared" si="7"/>
        <v/>
      </c>
      <c r="CC1024" s="114"/>
    </row>
    <row r="1025" ht="22.5" customHeight="1">
      <c r="A1025" s="59"/>
      <c r="B1025" s="115"/>
      <c r="C1025" s="54"/>
      <c r="D1025" s="56"/>
      <c r="E1025" s="69"/>
      <c r="F1025" s="73"/>
      <c r="G1025" s="79"/>
      <c r="H1025" s="79"/>
      <c r="I1025" s="67"/>
      <c r="J1025" s="79"/>
      <c r="K1025" s="67"/>
      <c r="L1025" s="79"/>
      <c r="M1025" s="83"/>
      <c r="N1025" s="78"/>
      <c r="O1025" s="80"/>
      <c r="P1025" s="70"/>
      <c r="Q1025" s="54"/>
      <c r="R1025" s="67"/>
      <c r="S1025" s="67"/>
      <c r="T1025" s="54"/>
      <c r="U1025" s="86"/>
      <c r="V1025" s="54"/>
      <c r="W1025" s="86"/>
      <c r="X1025" s="54"/>
      <c r="Y1025" s="78"/>
      <c r="Z1025" s="54"/>
      <c r="AA1025" s="70"/>
      <c r="AB1025" s="83"/>
      <c r="AC1025" s="83"/>
      <c r="AD1025" s="83"/>
      <c r="AE1025" s="83"/>
      <c r="AF1025" s="83"/>
      <c r="AG1025" s="83"/>
      <c r="AH1025" s="83"/>
      <c r="AI1025" s="83"/>
      <c r="AJ1025" s="83"/>
      <c r="AK1025" s="83"/>
      <c r="AL1025" s="83"/>
      <c r="AM1025" s="83"/>
      <c r="AN1025" s="83"/>
      <c r="AO1025" s="83"/>
      <c r="AP1025" s="83"/>
      <c r="AQ1025" s="54"/>
      <c r="AR1025" s="83"/>
      <c r="AS1025" s="83"/>
      <c r="AT1025" s="93"/>
      <c r="AU1025" s="93"/>
      <c r="AV1025" s="93"/>
      <c r="AW1025" s="83"/>
      <c r="AX1025" s="83"/>
      <c r="AY1025" s="83"/>
      <c r="AZ1025" s="83"/>
      <c r="BA1025" s="83"/>
      <c r="BB1025" s="83"/>
      <c r="BC1025" s="54"/>
      <c r="BD1025" s="54" t="str">
        <f t="shared" si="1"/>
        <v/>
      </c>
      <c r="BE1025" s="67"/>
      <c r="BF1025" s="67"/>
      <c r="BG1025" s="67"/>
      <c r="BH1025" s="67"/>
      <c r="BI1025" s="67"/>
      <c r="BJ1025" s="67"/>
      <c r="BK1025" s="67"/>
      <c r="BL1025" s="67"/>
      <c r="BM1025" s="67"/>
      <c r="BN1025" s="100"/>
      <c r="BO1025" s="102"/>
      <c r="BP1025" s="67"/>
      <c r="BQ1025" s="79"/>
      <c r="BR1025" s="67"/>
      <c r="BS1025" s="102"/>
      <c r="BT1025" s="106"/>
      <c r="BU1025" s="107"/>
      <c r="BV1025" s="108" t="str">
        <f t="shared" si="17"/>
        <v/>
      </c>
      <c r="BW1025" s="108" t="str">
        <f t="shared" si="16"/>
        <v/>
      </c>
      <c r="BX1025" s="102" t="str">
        <f t="shared" si="15"/>
        <v/>
      </c>
      <c r="BY1025" s="107" t="str">
        <f t="shared" si="5"/>
        <v/>
      </c>
      <c r="BZ1025" s="107" t="str">
        <f t="array" ref="BZ1025">IF($A1025&lt;&gt;"",INDEX(LISTA!$M$2:$N$27,MATCH($BC1025,LISTA!$N$2:$N$27,0),1),"")</f>
        <v/>
      </c>
      <c r="CA1025" s="67" t="str">
        <f t="shared" si="6"/>
        <v/>
      </c>
      <c r="CB1025" s="114" t="str">
        <f t="shared" si="7"/>
        <v/>
      </c>
      <c r="CC1025" s="114"/>
    </row>
    <row r="1026" ht="22.5" customHeight="1">
      <c r="A1026" s="59"/>
      <c r="B1026" s="115"/>
      <c r="C1026" s="54"/>
      <c r="D1026" s="56"/>
      <c r="E1026" s="69"/>
      <c r="F1026" s="73"/>
      <c r="G1026" s="79"/>
      <c r="H1026" s="79"/>
      <c r="I1026" s="67"/>
      <c r="J1026" s="79"/>
      <c r="K1026" s="67"/>
      <c r="L1026" s="79"/>
      <c r="M1026" s="83"/>
      <c r="N1026" s="78"/>
      <c r="O1026" s="80"/>
      <c r="P1026" s="70"/>
      <c r="Q1026" s="54"/>
      <c r="R1026" s="67"/>
      <c r="S1026" s="67"/>
      <c r="T1026" s="54"/>
      <c r="U1026" s="86"/>
      <c r="V1026" s="54"/>
      <c r="W1026" s="86"/>
      <c r="X1026" s="54"/>
      <c r="Y1026" s="78"/>
      <c r="Z1026" s="54"/>
      <c r="AA1026" s="70"/>
      <c r="AB1026" s="83"/>
      <c r="AC1026" s="83"/>
      <c r="AD1026" s="83"/>
      <c r="AE1026" s="83"/>
      <c r="AF1026" s="83"/>
      <c r="AG1026" s="83"/>
      <c r="AH1026" s="83"/>
      <c r="AI1026" s="83"/>
      <c r="AJ1026" s="83"/>
      <c r="AK1026" s="83"/>
      <c r="AL1026" s="83"/>
      <c r="AM1026" s="83"/>
      <c r="AN1026" s="83"/>
      <c r="AO1026" s="83"/>
      <c r="AP1026" s="83"/>
      <c r="AQ1026" s="54"/>
      <c r="AR1026" s="83"/>
      <c r="AS1026" s="83"/>
      <c r="AT1026" s="93"/>
      <c r="AU1026" s="93"/>
      <c r="AV1026" s="93"/>
      <c r="AW1026" s="83"/>
      <c r="AX1026" s="83"/>
      <c r="AY1026" s="83"/>
      <c r="AZ1026" s="83"/>
      <c r="BA1026" s="83"/>
      <c r="BB1026" s="83"/>
      <c r="BC1026" s="54"/>
      <c r="BD1026" s="54" t="str">
        <f t="shared" si="1"/>
        <v/>
      </c>
      <c r="BE1026" s="67"/>
      <c r="BF1026" s="67"/>
      <c r="BG1026" s="67"/>
      <c r="BH1026" s="67"/>
      <c r="BI1026" s="67"/>
      <c r="BJ1026" s="67"/>
      <c r="BK1026" s="67"/>
      <c r="BL1026" s="67"/>
      <c r="BM1026" s="67"/>
      <c r="BN1026" s="100"/>
      <c r="BO1026" s="102"/>
      <c r="BP1026" s="67"/>
      <c r="BQ1026" s="79"/>
      <c r="BR1026" s="67"/>
      <c r="BS1026" s="102"/>
      <c r="BT1026" s="106"/>
      <c r="BU1026" s="107"/>
      <c r="BV1026" s="108" t="str">
        <f t="shared" si="17"/>
        <v/>
      </c>
      <c r="BW1026" s="108" t="str">
        <f t="shared" si="16"/>
        <v/>
      </c>
      <c r="BX1026" s="102" t="str">
        <f t="shared" si="15"/>
        <v/>
      </c>
      <c r="BY1026" s="107" t="str">
        <f t="shared" si="5"/>
        <v/>
      </c>
      <c r="BZ1026" s="107" t="str">
        <f t="array" ref="BZ1026">IF($A1026&lt;&gt;"",INDEX(LISTA!$M$2:$N$27,MATCH($BC1026,LISTA!$N$2:$N$27,0),1),"")</f>
        <v/>
      </c>
      <c r="CA1026" s="67" t="str">
        <f t="shared" si="6"/>
        <v/>
      </c>
      <c r="CB1026" s="114" t="str">
        <f t="shared" si="7"/>
        <v/>
      </c>
      <c r="CC1026" s="114"/>
    </row>
    <row r="1027" ht="22.5" customHeight="1">
      <c r="A1027" s="59"/>
      <c r="B1027" s="115"/>
      <c r="C1027" s="54"/>
      <c r="D1027" s="56"/>
      <c r="E1027" s="69"/>
      <c r="F1027" s="73"/>
      <c r="G1027" s="79"/>
      <c r="H1027" s="79"/>
      <c r="I1027" s="67"/>
      <c r="J1027" s="79"/>
      <c r="K1027" s="67"/>
      <c r="L1027" s="79"/>
      <c r="M1027" s="83"/>
      <c r="N1027" s="78"/>
      <c r="O1027" s="80"/>
      <c r="P1027" s="70"/>
      <c r="Q1027" s="54"/>
      <c r="R1027" s="67"/>
      <c r="S1027" s="67"/>
      <c r="T1027" s="54"/>
      <c r="U1027" s="86"/>
      <c r="V1027" s="54"/>
      <c r="W1027" s="86"/>
      <c r="X1027" s="54"/>
      <c r="Y1027" s="78"/>
      <c r="Z1027" s="54"/>
      <c r="AA1027" s="70"/>
      <c r="AB1027" s="83"/>
      <c r="AC1027" s="83"/>
      <c r="AD1027" s="83"/>
      <c r="AE1027" s="83"/>
      <c r="AF1027" s="83"/>
      <c r="AG1027" s="83"/>
      <c r="AH1027" s="83"/>
      <c r="AI1027" s="83"/>
      <c r="AJ1027" s="83"/>
      <c r="AK1027" s="83"/>
      <c r="AL1027" s="83"/>
      <c r="AM1027" s="83"/>
      <c r="AN1027" s="83"/>
      <c r="AO1027" s="83"/>
      <c r="AP1027" s="83"/>
      <c r="AQ1027" s="54"/>
      <c r="AR1027" s="83"/>
      <c r="AS1027" s="83"/>
      <c r="AT1027" s="93"/>
      <c r="AU1027" s="93"/>
      <c r="AV1027" s="93"/>
      <c r="AW1027" s="83"/>
      <c r="AX1027" s="83"/>
      <c r="AY1027" s="83"/>
      <c r="AZ1027" s="83"/>
      <c r="BA1027" s="83"/>
      <c r="BB1027" s="83"/>
      <c r="BC1027" s="54"/>
      <c r="BD1027" s="54" t="str">
        <f t="shared" si="1"/>
        <v/>
      </c>
      <c r="BE1027" s="67"/>
      <c r="BF1027" s="67"/>
      <c r="BG1027" s="67"/>
      <c r="BH1027" s="67"/>
      <c r="BI1027" s="67"/>
      <c r="BJ1027" s="67"/>
      <c r="BK1027" s="67"/>
      <c r="BL1027" s="67"/>
      <c r="BM1027" s="67"/>
      <c r="BN1027" s="100"/>
      <c r="BO1027" s="102"/>
      <c r="BP1027" s="67"/>
      <c r="BQ1027" s="79"/>
      <c r="BR1027" s="67"/>
      <c r="BS1027" s="102"/>
      <c r="BT1027" s="106"/>
      <c r="BU1027" s="107"/>
      <c r="BV1027" s="108" t="str">
        <f t="shared" si="17"/>
        <v/>
      </c>
      <c r="BW1027" s="108" t="str">
        <f t="shared" si="16"/>
        <v/>
      </c>
      <c r="BX1027" s="102" t="str">
        <f t="shared" si="15"/>
        <v/>
      </c>
      <c r="BY1027" s="107" t="str">
        <f t="shared" si="5"/>
        <v/>
      </c>
      <c r="BZ1027" s="107" t="str">
        <f t="array" ref="BZ1027">IF($A1027&lt;&gt;"",INDEX(LISTA!$M$2:$N$27,MATCH($BC1027,LISTA!$N$2:$N$27,0),1),"")</f>
        <v/>
      </c>
      <c r="CA1027" s="67" t="str">
        <f t="shared" si="6"/>
        <v/>
      </c>
      <c r="CB1027" s="114" t="str">
        <f t="shared" si="7"/>
        <v/>
      </c>
      <c r="CC1027" s="114"/>
    </row>
    <row r="1028" ht="22.5" customHeight="1">
      <c r="A1028" s="59"/>
      <c r="B1028" s="115"/>
      <c r="C1028" s="54"/>
      <c r="D1028" s="56"/>
      <c r="E1028" s="69"/>
      <c r="F1028" s="73"/>
      <c r="G1028" s="79"/>
      <c r="H1028" s="79"/>
      <c r="I1028" s="67"/>
      <c r="J1028" s="79"/>
      <c r="K1028" s="67"/>
      <c r="L1028" s="79"/>
      <c r="M1028" s="83"/>
      <c r="N1028" s="78"/>
      <c r="O1028" s="80"/>
      <c r="P1028" s="70"/>
      <c r="Q1028" s="54"/>
      <c r="R1028" s="67"/>
      <c r="S1028" s="67"/>
      <c r="T1028" s="54"/>
      <c r="U1028" s="86"/>
      <c r="V1028" s="54"/>
      <c r="W1028" s="86"/>
      <c r="X1028" s="54"/>
      <c r="Y1028" s="78"/>
      <c r="Z1028" s="54"/>
      <c r="AA1028" s="70"/>
      <c r="AB1028" s="83"/>
      <c r="AC1028" s="83"/>
      <c r="AD1028" s="83"/>
      <c r="AE1028" s="83"/>
      <c r="AF1028" s="83"/>
      <c r="AG1028" s="83"/>
      <c r="AH1028" s="83"/>
      <c r="AI1028" s="83"/>
      <c r="AJ1028" s="83"/>
      <c r="AK1028" s="83"/>
      <c r="AL1028" s="83"/>
      <c r="AM1028" s="83"/>
      <c r="AN1028" s="83"/>
      <c r="AO1028" s="83"/>
      <c r="AP1028" s="83"/>
      <c r="AQ1028" s="54"/>
      <c r="AR1028" s="83"/>
      <c r="AS1028" s="83"/>
      <c r="AT1028" s="93"/>
      <c r="AU1028" s="93"/>
      <c r="AV1028" s="93"/>
      <c r="AW1028" s="83"/>
      <c r="AX1028" s="83"/>
      <c r="AY1028" s="83"/>
      <c r="AZ1028" s="83"/>
      <c r="BA1028" s="83"/>
      <c r="BB1028" s="83"/>
      <c r="BC1028" s="54"/>
      <c r="BD1028" s="54" t="str">
        <f t="shared" si="1"/>
        <v/>
      </c>
      <c r="BE1028" s="67"/>
      <c r="BF1028" s="67"/>
      <c r="BG1028" s="67"/>
      <c r="BH1028" s="67"/>
      <c r="BI1028" s="67"/>
      <c r="BJ1028" s="67"/>
      <c r="BK1028" s="67"/>
      <c r="BL1028" s="67"/>
      <c r="BM1028" s="67"/>
      <c r="BN1028" s="100"/>
      <c r="BO1028" s="102"/>
      <c r="BP1028" s="67"/>
      <c r="BQ1028" s="79"/>
      <c r="BR1028" s="67"/>
      <c r="BS1028" s="102"/>
      <c r="BT1028" s="106"/>
      <c r="BU1028" s="107"/>
      <c r="BV1028" s="108" t="str">
        <f t="shared" si="17"/>
        <v/>
      </c>
      <c r="BW1028" s="108" t="str">
        <f t="shared" si="16"/>
        <v/>
      </c>
      <c r="BX1028" s="102" t="str">
        <f t="shared" si="15"/>
        <v/>
      </c>
      <c r="BY1028" s="107" t="str">
        <f t="shared" si="5"/>
        <v/>
      </c>
      <c r="BZ1028" s="107" t="str">
        <f t="array" ref="BZ1028">IF($A1028&lt;&gt;"",INDEX(LISTA!$M$2:$N$27,MATCH($BC1028,LISTA!$N$2:$N$27,0),1),"")</f>
        <v/>
      </c>
      <c r="CA1028" s="67" t="str">
        <f t="shared" si="6"/>
        <v/>
      </c>
      <c r="CB1028" s="114" t="str">
        <f t="shared" si="7"/>
        <v/>
      </c>
      <c r="CC1028" s="114"/>
    </row>
    <row r="1029" ht="22.5" customHeight="1">
      <c r="A1029" s="59"/>
      <c r="B1029" s="115"/>
      <c r="C1029" s="54"/>
      <c r="D1029" s="56"/>
      <c r="E1029" s="69"/>
      <c r="F1029" s="73"/>
      <c r="G1029" s="79"/>
      <c r="H1029" s="79"/>
      <c r="I1029" s="67"/>
      <c r="J1029" s="79"/>
      <c r="K1029" s="67"/>
      <c r="L1029" s="79"/>
      <c r="M1029" s="83"/>
      <c r="N1029" s="78"/>
      <c r="O1029" s="80"/>
      <c r="P1029" s="70"/>
      <c r="Q1029" s="54"/>
      <c r="R1029" s="67"/>
      <c r="S1029" s="67"/>
      <c r="T1029" s="54"/>
      <c r="U1029" s="86"/>
      <c r="V1029" s="54"/>
      <c r="W1029" s="86"/>
      <c r="X1029" s="54"/>
      <c r="Y1029" s="78"/>
      <c r="Z1029" s="54"/>
      <c r="AA1029" s="70"/>
      <c r="AB1029" s="83"/>
      <c r="AC1029" s="83"/>
      <c r="AD1029" s="83"/>
      <c r="AE1029" s="83"/>
      <c r="AF1029" s="83"/>
      <c r="AG1029" s="83"/>
      <c r="AH1029" s="83"/>
      <c r="AI1029" s="83"/>
      <c r="AJ1029" s="83"/>
      <c r="AK1029" s="83"/>
      <c r="AL1029" s="83"/>
      <c r="AM1029" s="83"/>
      <c r="AN1029" s="83"/>
      <c r="AO1029" s="83"/>
      <c r="AP1029" s="83"/>
      <c r="AQ1029" s="54"/>
      <c r="AR1029" s="83"/>
      <c r="AS1029" s="83"/>
      <c r="AT1029" s="93"/>
      <c r="AU1029" s="93"/>
      <c r="AV1029" s="93"/>
      <c r="AW1029" s="83"/>
      <c r="AX1029" s="83"/>
      <c r="AY1029" s="83"/>
      <c r="AZ1029" s="83"/>
      <c r="BA1029" s="83"/>
      <c r="BB1029" s="83"/>
      <c r="BC1029" s="54"/>
      <c r="BD1029" s="54" t="str">
        <f t="shared" si="1"/>
        <v/>
      </c>
      <c r="BE1029" s="67"/>
      <c r="BF1029" s="67"/>
      <c r="BG1029" s="67"/>
      <c r="BH1029" s="67"/>
      <c r="BI1029" s="67"/>
      <c r="BJ1029" s="67"/>
      <c r="BK1029" s="67"/>
      <c r="BL1029" s="67"/>
      <c r="BM1029" s="67"/>
      <c r="BN1029" s="100"/>
      <c r="BO1029" s="102"/>
      <c r="BP1029" s="67"/>
      <c r="BQ1029" s="79"/>
      <c r="BR1029" s="67"/>
      <c r="BS1029" s="102"/>
      <c r="BT1029" s="106"/>
      <c r="BU1029" s="107"/>
      <c r="BV1029" s="108" t="str">
        <f t="shared" si="17"/>
        <v/>
      </c>
      <c r="BW1029" s="108" t="str">
        <f t="shared" si="16"/>
        <v/>
      </c>
      <c r="BX1029" s="102" t="str">
        <f t="shared" si="15"/>
        <v/>
      </c>
      <c r="BY1029" s="107" t="str">
        <f t="shared" si="5"/>
        <v/>
      </c>
      <c r="BZ1029" s="107" t="str">
        <f t="array" ref="BZ1029">IF($A1029&lt;&gt;"",INDEX(LISTA!$M$2:$N$27,MATCH($BC1029,LISTA!$N$2:$N$27,0),1),"")</f>
        <v/>
      </c>
      <c r="CA1029" s="67" t="str">
        <f t="shared" si="6"/>
        <v/>
      </c>
      <c r="CB1029" s="114" t="str">
        <f t="shared" si="7"/>
        <v/>
      </c>
      <c r="CC1029" s="114"/>
    </row>
    <row r="1030" ht="22.5" customHeight="1">
      <c r="A1030" s="59"/>
      <c r="B1030" s="115"/>
      <c r="C1030" s="54"/>
      <c r="D1030" s="56"/>
      <c r="E1030" s="69"/>
      <c r="F1030" s="73"/>
      <c r="G1030" s="79"/>
      <c r="H1030" s="79"/>
      <c r="I1030" s="67"/>
      <c r="J1030" s="79"/>
      <c r="K1030" s="67"/>
      <c r="L1030" s="79"/>
      <c r="M1030" s="83"/>
      <c r="N1030" s="78"/>
      <c r="O1030" s="80"/>
      <c r="P1030" s="70"/>
      <c r="Q1030" s="54"/>
      <c r="R1030" s="67"/>
      <c r="S1030" s="67"/>
      <c r="T1030" s="54"/>
      <c r="U1030" s="86"/>
      <c r="V1030" s="54"/>
      <c r="W1030" s="86"/>
      <c r="X1030" s="54"/>
      <c r="Y1030" s="78"/>
      <c r="Z1030" s="54"/>
      <c r="AA1030" s="70"/>
      <c r="AB1030" s="83"/>
      <c r="AC1030" s="83"/>
      <c r="AD1030" s="83"/>
      <c r="AE1030" s="83"/>
      <c r="AF1030" s="83"/>
      <c r="AG1030" s="83"/>
      <c r="AH1030" s="83"/>
      <c r="AI1030" s="83"/>
      <c r="AJ1030" s="83"/>
      <c r="AK1030" s="83"/>
      <c r="AL1030" s="83"/>
      <c r="AM1030" s="83"/>
      <c r="AN1030" s="83"/>
      <c r="AO1030" s="83"/>
      <c r="AP1030" s="83"/>
      <c r="AQ1030" s="54"/>
      <c r="AR1030" s="83"/>
      <c r="AS1030" s="83"/>
      <c r="AT1030" s="93"/>
      <c r="AU1030" s="93"/>
      <c r="AV1030" s="93"/>
      <c r="AW1030" s="83"/>
      <c r="AX1030" s="83"/>
      <c r="AY1030" s="83"/>
      <c r="AZ1030" s="83"/>
      <c r="BA1030" s="83"/>
      <c r="BB1030" s="83"/>
      <c r="BC1030" s="54"/>
      <c r="BD1030" s="54" t="str">
        <f t="shared" si="1"/>
        <v/>
      </c>
      <c r="BE1030" s="67"/>
      <c r="BF1030" s="67"/>
      <c r="BG1030" s="67"/>
      <c r="BH1030" s="67"/>
      <c r="BI1030" s="67"/>
      <c r="BJ1030" s="67"/>
      <c r="BK1030" s="67"/>
      <c r="BL1030" s="67"/>
      <c r="BM1030" s="67"/>
      <c r="BN1030" s="100"/>
      <c r="BO1030" s="102"/>
      <c r="BP1030" s="67"/>
      <c r="BQ1030" s="79"/>
      <c r="BR1030" s="67"/>
      <c r="BS1030" s="102"/>
      <c r="BT1030" s="106"/>
      <c r="BU1030" s="107"/>
      <c r="BV1030" s="108" t="str">
        <f t="shared" si="17"/>
        <v/>
      </c>
      <c r="BW1030" s="108" t="str">
        <f t="shared" si="16"/>
        <v/>
      </c>
      <c r="BX1030" s="102" t="str">
        <f t="shared" si="15"/>
        <v/>
      </c>
      <c r="BY1030" s="107" t="str">
        <f t="shared" si="5"/>
        <v/>
      </c>
      <c r="BZ1030" s="107" t="str">
        <f t="array" ref="BZ1030">IF($A1030&lt;&gt;"",INDEX(LISTA!$M$2:$N$27,MATCH($BC1030,LISTA!$N$2:$N$27,0),1),"")</f>
        <v/>
      </c>
      <c r="CA1030" s="67" t="str">
        <f t="shared" si="6"/>
        <v/>
      </c>
      <c r="CB1030" s="114" t="str">
        <f t="shared" si="7"/>
        <v/>
      </c>
      <c r="CC1030" s="114"/>
    </row>
    <row r="1031" ht="22.5" customHeight="1">
      <c r="A1031" s="59"/>
      <c r="B1031" s="115"/>
      <c r="C1031" s="54"/>
      <c r="D1031" s="56"/>
      <c r="E1031" s="69"/>
      <c r="F1031" s="73"/>
      <c r="G1031" s="79"/>
      <c r="H1031" s="79"/>
      <c r="I1031" s="67"/>
      <c r="J1031" s="79"/>
      <c r="K1031" s="67"/>
      <c r="L1031" s="79"/>
      <c r="M1031" s="83"/>
      <c r="N1031" s="78"/>
      <c r="O1031" s="80"/>
      <c r="P1031" s="70"/>
      <c r="Q1031" s="54"/>
      <c r="R1031" s="67"/>
      <c r="S1031" s="67"/>
      <c r="T1031" s="54"/>
      <c r="U1031" s="86"/>
      <c r="V1031" s="54"/>
      <c r="W1031" s="86"/>
      <c r="X1031" s="54"/>
      <c r="Y1031" s="78"/>
      <c r="Z1031" s="54"/>
      <c r="AA1031" s="70"/>
      <c r="AB1031" s="83"/>
      <c r="AC1031" s="83"/>
      <c r="AD1031" s="83"/>
      <c r="AE1031" s="83"/>
      <c r="AF1031" s="83"/>
      <c r="AG1031" s="83"/>
      <c r="AH1031" s="83"/>
      <c r="AI1031" s="83"/>
      <c r="AJ1031" s="83"/>
      <c r="AK1031" s="83"/>
      <c r="AL1031" s="83"/>
      <c r="AM1031" s="83"/>
      <c r="AN1031" s="83"/>
      <c r="AO1031" s="83"/>
      <c r="AP1031" s="83"/>
      <c r="AQ1031" s="54"/>
      <c r="AR1031" s="83"/>
      <c r="AS1031" s="83"/>
      <c r="AT1031" s="93"/>
      <c r="AU1031" s="93"/>
      <c r="AV1031" s="93"/>
      <c r="AW1031" s="83"/>
      <c r="AX1031" s="83"/>
      <c r="AY1031" s="83"/>
      <c r="AZ1031" s="83"/>
      <c r="BA1031" s="83"/>
      <c r="BB1031" s="83"/>
      <c r="BC1031" s="54"/>
      <c r="BD1031" s="54" t="str">
        <f t="shared" si="1"/>
        <v/>
      </c>
      <c r="BE1031" s="67"/>
      <c r="BF1031" s="67"/>
      <c r="BG1031" s="67"/>
      <c r="BH1031" s="67"/>
      <c r="BI1031" s="67"/>
      <c r="BJ1031" s="67"/>
      <c r="BK1031" s="67"/>
      <c r="BL1031" s="67"/>
      <c r="BM1031" s="67"/>
      <c r="BN1031" s="100"/>
      <c r="BO1031" s="102"/>
      <c r="BP1031" s="67"/>
      <c r="BQ1031" s="79"/>
      <c r="BR1031" s="67"/>
      <c r="BS1031" s="102"/>
      <c r="BT1031" s="106"/>
      <c r="BU1031" s="107"/>
      <c r="BV1031" s="108" t="str">
        <f t="shared" si="17"/>
        <v/>
      </c>
      <c r="BW1031" s="108" t="str">
        <f t="shared" si="16"/>
        <v/>
      </c>
      <c r="BX1031" s="102" t="str">
        <f t="shared" si="15"/>
        <v/>
      </c>
      <c r="BY1031" s="107" t="str">
        <f t="shared" si="5"/>
        <v/>
      </c>
      <c r="BZ1031" s="107" t="str">
        <f t="array" ref="BZ1031">IF($A1031&lt;&gt;"",INDEX(LISTA!$M$2:$N$27,MATCH($BC1031,LISTA!$N$2:$N$27,0),1),"")</f>
        <v/>
      </c>
      <c r="CA1031" s="67" t="str">
        <f t="shared" si="6"/>
        <v/>
      </c>
      <c r="CB1031" s="114" t="str">
        <f t="shared" si="7"/>
        <v/>
      </c>
      <c r="CC1031" s="114"/>
    </row>
    <row r="1032" ht="22.5" customHeight="1">
      <c r="A1032" s="59"/>
      <c r="B1032" s="115"/>
      <c r="C1032" s="54"/>
      <c r="D1032" s="56"/>
      <c r="E1032" s="69"/>
      <c r="F1032" s="73"/>
      <c r="G1032" s="79"/>
      <c r="H1032" s="79"/>
      <c r="I1032" s="67"/>
      <c r="J1032" s="79"/>
      <c r="K1032" s="67"/>
      <c r="L1032" s="79"/>
      <c r="M1032" s="83"/>
      <c r="N1032" s="78"/>
      <c r="O1032" s="80"/>
      <c r="P1032" s="70"/>
      <c r="Q1032" s="54"/>
      <c r="R1032" s="67"/>
      <c r="S1032" s="67"/>
      <c r="T1032" s="54"/>
      <c r="U1032" s="86"/>
      <c r="V1032" s="54"/>
      <c r="W1032" s="86"/>
      <c r="X1032" s="54"/>
      <c r="Y1032" s="78"/>
      <c r="Z1032" s="54"/>
      <c r="AA1032" s="70"/>
      <c r="AB1032" s="83"/>
      <c r="AC1032" s="83"/>
      <c r="AD1032" s="83"/>
      <c r="AE1032" s="83"/>
      <c r="AF1032" s="83"/>
      <c r="AG1032" s="83"/>
      <c r="AH1032" s="83"/>
      <c r="AI1032" s="83"/>
      <c r="AJ1032" s="83"/>
      <c r="AK1032" s="83"/>
      <c r="AL1032" s="83"/>
      <c r="AM1032" s="83"/>
      <c r="AN1032" s="83"/>
      <c r="AO1032" s="83"/>
      <c r="AP1032" s="83"/>
      <c r="AQ1032" s="54"/>
      <c r="AR1032" s="83"/>
      <c r="AS1032" s="83"/>
      <c r="AT1032" s="93"/>
      <c r="AU1032" s="93"/>
      <c r="AV1032" s="93"/>
      <c r="AW1032" s="83"/>
      <c r="AX1032" s="83"/>
      <c r="AY1032" s="83"/>
      <c r="AZ1032" s="83"/>
      <c r="BA1032" s="83"/>
      <c r="BB1032" s="83"/>
      <c r="BC1032" s="54"/>
      <c r="BD1032" s="54" t="str">
        <f t="shared" si="1"/>
        <v/>
      </c>
      <c r="BE1032" s="67"/>
      <c r="BF1032" s="67"/>
      <c r="BG1032" s="67"/>
      <c r="BH1032" s="67"/>
      <c r="BI1032" s="67"/>
      <c r="BJ1032" s="67"/>
      <c r="BK1032" s="67"/>
      <c r="BL1032" s="67"/>
      <c r="BM1032" s="67"/>
      <c r="BN1032" s="100"/>
      <c r="BO1032" s="102"/>
      <c r="BP1032" s="67"/>
      <c r="BQ1032" s="79"/>
      <c r="BR1032" s="67"/>
      <c r="BS1032" s="102"/>
      <c r="BT1032" s="106"/>
      <c r="BU1032" s="107"/>
      <c r="BV1032" s="108" t="str">
        <f t="shared" si="17"/>
        <v/>
      </c>
      <c r="BW1032" s="108" t="str">
        <f t="shared" si="16"/>
        <v/>
      </c>
      <c r="BX1032" s="102" t="str">
        <f t="shared" si="15"/>
        <v/>
      </c>
      <c r="BY1032" s="107" t="str">
        <f t="shared" si="5"/>
        <v/>
      </c>
      <c r="BZ1032" s="107" t="str">
        <f t="array" ref="BZ1032">IF($A1032&lt;&gt;"",INDEX(LISTA!$M$2:$N$27,MATCH($BC1032,LISTA!$N$2:$N$27,0),1),"")</f>
        <v/>
      </c>
      <c r="CA1032" s="67" t="str">
        <f t="shared" si="6"/>
        <v/>
      </c>
      <c r="CB1032" s="114" t="str">
        <f t="shared" si="7"/>
        <v/>
      </c>
      <c r="CC1032" s="114"/>
    </row>
    <row r="1033" ht="22.5" customHeight="1">
      <c r="A1033" s="59"/>
      <c r="B1033" s="115"/>
      <c r="C1033" s="54"/>
      <c r="D1033" s="56"/>
      <c r="E1033" s="69"/>
      <c r="F1033" s="73"/>
      <c r="G1033" s="79"/>
      <c r="H1033" s="79"/>
      <c r="I1033" s="67"/>
      <c r="J1033" s="79"/>
      <c r="K1033" s="67"/>
      <c r="L1033" s="79"/>
      <c r="M1033" s="83"/>
      <c r="N1033" s="78"/>
      <c r="O1033" s="80"/>
      <c r="P1033" s="70"/>
      <c r="Q1033" s="54"/>
      <c r="R1033" s="67"/>
      <c r="S1033" s="67"/>
      <c r="T1033" s="54"/>
      <c r="U1033" s="86"/>
      <c r="V1033" s="54"/>
      <c r="W1033" s="86"/>
      <c r="X1033" s="54"/>
      <c r="Y1033" s="78"/>
      <c r="Z1033" s="54"/>
      <c r="AA1033" s="70"/>
      <c r="AB1033" s="83"/>
      <c r="AC1033" s="83"/>
      <c r="AD1033" s="83"/>
      <c r="AE1033" s="83"/>
      <c r="AF1033" s="83"/>
      <c r="AG1033" s="83"/>
      <c r="AH1033" s="83"/>
      <c r="AI1033" s="83"/>
      <c r="AJ1033" s="83"/>
      <c r="AK1033" s="83"/>
      <c r="AL1033" s="83"/>
      <c r="AM1033" s="83"/>
      <c r="AN1033" s="83"/>
      <c r="AO1033" s="83"/>
      <c r="AP1033" s="83"/>
      <c r="AQ1033" s="54"/>
      <c r="AR1033" s="83"/>
      <c r="AS1033" s="83"/>
      <c r="AT1033" s="93"/>
      <c r="AU1033" s="93"/>
      <c r="AV1033" s="93"/>
      <c r="AW1033" s="83"/>
      <c r="AX1033" s="83"/>
      <c r="AY1033" s="83"/>
      <c r="AZ1033" s="83"/>
      <c r="BA1033" s="83"/>
      <c r="BB1033" s="83"/>
      <c r="BC1033" s="54"/>
      <c r="BD1033" s="54" t="str">
        <f t="shared" si="1"/>
        <v/>
      </c>
      <c r="BE1033" s="67"/>
      <c r="BF1033" s="67"/>
      <c r="BG1033" s="67"/>
      <c r="BH1033" s="67"/>
      <c r="BI1033" s="67"/>
      <c r="BJ1033" s="67"/>
      <c r="BK1033" s="67"/>
      <c r="BL1033" s="67"/>
      <c r="BM1033" s="67"/>
      <c r="BN1033" s="100"/>
      <c r="BO1033" s="102"/>
      <c r="BP1033" s="67"/>
      <c r="BQ1033" s="79"/>
      <c r="BR1033" s="67"/>
      <c r="BS1033" s="102"/>
      <c r="BT1033" s="106"/>
      <c r="BU1033" s="107"/>
      <c r="BV1033" s="108" t="str">
        <f t="shared" si="17"/>
        <v/>
      </c>
      <c r="BW1033" s="108" t="str">
        <f t="shared" si="16"/>
        <v/>
      </c>
      <c r="BX1033" s="102" t="str">
        <f t="shared" si="15"/>
        <v/>
      </c>
      <c r="BY1033" s="107" t="str">
        <f t="shared" si="5"/>
        <v/>
      </c>
      <c r="BZ1033" s="107" t="str">
        <f t="array" ref="BZ1033">IF($A1033&lt;&gt;"",INDEX(LISTA!$M$2:$N$27,MATCH($BC1033,LISTA!$N$2:$N$27,0),1),"")</f>
        <v/>
      </c>
      <c r="CA1033" s="67" t="str">
        <f t="shared" si="6"/>
        <v/>
      </c>
      <c r="CB1033" s="114" t="str">
        <f t="shared" si="7"/>
        <v/>
      </c>
      <c r="CC1033" s="114"/>
    </row>
    <row r="1034" ht="22.5" customHeight="1">
      <c r="A1034" s="59"/>
      <c r="B1034" s="115"/>
      <c r="C1034" s="54"/>
      <c r="D1034" s="56"/>
      <c r="E1034" s="69"/>
      <c r="F1034" s="73"/>
      <c r="G1034" s="79"/>
      <c r="H1034" s="79"/>
      <c r="I1034" s="67"/>
      <c r="J1034" s="79"/>
      <c r="K1034" s="67"/>
      <c r="L1034" s="79"/>
      <c r="M1034" s="83"/>
      <c r="N1034" s="78"/>
      <c r="O1034" s="80"/>
      <c r="P1034" s="70"/>
      <c r="Q1034" s="54"/>
      <c r="R1034" s="67"/>
      <c r="S1034" s="67"/>
      <c r="T1034" s="54"/>
      <c r="U1034" s="86"/>
      <c r="V1034" s="54"/>
      <c r="W1034" s="86"/>
      <c r="X1034" s="54"/>
      <c r="Y1034" s="78"/>
      <c r="Z1034" s="54"/>
      <c r="AA1034" s="70"/>
      <c r="AB1034" s="83"/>
      <c r="AC1034" s="83"/>
      <c r="AD1034" s="83"/>
      <c r="AE1034" s="83"/>
      <c r="AF1034" s="83"/>
      <c r="AG1034" s="83"/>
      <c r="AH1034" s="83"/>
      <c r="AI1034" s="83"/>
      <c r="AJ1034" s="83"/>
      <c r="AK1034" s="83"/>
      <c r="AL1034" s="83"/>
      <c r="AM1034" s="83"/>
      <c r="AN1034" s="83"/>
      <c r="AO1034" s="83"/>
      <c r="AP1034" s="83"/>
      <c r="AQ1034" s="54"/>
      <c r="AR1034" s="83"/>
      <c r="AS1034" s="83"/>
      <c r="AT1034" s="93"/>
      <c r="AU1034" s="93"/>
      <c r="AV1034" s="93"/>
      <c r="AW1034" s="83"/>
      <c r="AX1034" s="83"/>
      <c r="AY1034" s="83"/>
      <c r="AZ1034" s="83"/>
      <c r="BA1034" s="83"/>
      <c r="BB1034" s="83"/>
      <c r="BC1034" s="54"/>
      <c r="BD1034" s="54" t="str">
        <f t="shared" si="1"/>
        <v/>
      </c>
      <c r="BE1034" s="67"/>
      <c r="BF1034" s="67"/>
      <c r="BG1034" s="67"/>
      <c r="BH1034" s="67"/>
      <c r="BI1034" s="67"/>
      <c r="BJ1034" s="67"/>
      <c r="BK1034" s="67"/>
      <c r="BL1034" s="67"/>
      <c r="BM1034" s="67"/>
      <c r="BN1034" s="100"/>
      <c r="BO1034" s="102"/>
      <c r="BP1034" s="67"/>
      <c r="BQ1034" s="79"/>
      <c r="BR1034" s="67"/>
      <c r="BS1034" s="102"/>
      <c r="BT1034" s="106"/>
      <c r="BU1034" s="107"/>
      <c r="BV1034" s="108" t="str">
        <f t="shared" si="17"/>
        <v/>
      </c>
      <c r="BW1034" s="108" t="str">
        <f t="shared" si="16"/>
        <v/>
      </c>
      <c r="BX1034" s="102" t="str">
        <f t="shared" si="15"/>
        <v/>
      </c>
      <c r="BY1034" s="107" t="str">
        <f t="shared" si="5"/>
        <v/>
      </c>
      <c r="BZ1034" s="107" t="str">
        <f t="array" ref="BZ1034">IF($A1034&lt;&gt;"",INDEX(LISTA!$M$2:$N$27,MATCH($BC1034,LISTA!$N$2:$N$27,0),1),"")</f>
        <v/>
      </c>
      <c r="CA1034" s="67" t="str">
        <f t="shared" si="6"/>
        <v/>
      </c>
      <c r="CB1034" s="114" t="str">
        <f t="shared" si="7"/>
        <v/>
      </c>
      <c r="CC1034" s="114"/>
    </row>
    <row r="1035" ht="22.5" customHeight="1">
      <c r="A1035" s="59"/>
      <c r="B1035" s="115"/>
      <c r="C1035" s="54"/>
      <c r="D1035" s="56"/>
      <c r="E1035" s="69"/>
      <c r="F1035" s="73"/>
      <c r="G1035" s="79"/>
      <c r="H1035" s="79"/>
      <c r="I1035" s="67"/>
      <c r="J1035" s="79"/>
      <c r="K1035" s="67"/>
      <c r="L1035" s="79"/>
      <c r="M1035" s="83"/>
      <c r="N1035" s="78"/>
      <c r="O1035" s="80"/>
      <c r="P1035" s="70"/>
      <c r="Q1035" s="54"/>
      <c r="R1035" s="67"/>
      <c r="S1035" s="67"/>
      <c r="T1035" s="54"/>
      <c r="U1035" s="86"/>
      <c r="V1035" s="54"/>
      <c r="W1035" s="86"/>
      <c r="X1035" s="54"/>
      <c r="Y1035" s="78"/>
      <c r="Z1035" s="54"/>
      <c r="AA1035" s="70"/>
      <c r="AB1035" s="83"/>
      <c r="AC1035" s="83"/>
      <c r="AD1035" s="83"/>
      <c r="AE1035" s="83"/>
      <c r="AF1035" s="83"/>
      <c r="AG1035" s="83"/>
      <c r="AH1035" s="83"/>
      <c r="AI1035" s="83"/>
      <c r="AJ1035" s="83"/>
      <c r="AK1035" s="83"/>
      <c r="AL1035" s="83"/>
      <c r="AM1035" s="83"/>
      <c r="AN1035" s="83"/>
      <c r="AO1035" s="83"/>
      <c r="AP1035" s="83"/>
      <c r="AQ1035" s="54"/>
      <c r="AR1035" s="83"/>
      <c r="AS1035" s="83"/>
      <c r="AT1035" s="93"/>
      <c r="AU1035" s="93"/>
      <c r="AV1035" s="93"/>
      <c r="AW1035" s="83"/>
      <c r="AX1035" s="83"/>
      <c r="AY1035" s="83"/>
      <c r="AZ1035" s="83"/>
      <c r="BA1035" s="83"/>
      <c r="BB1035" s="83"/>
      <c r="BC1035" s="54"/>
      <c r="BD1035" s="54" t="str">
        <f t="shared" si="1"/>
        <v/>
      </c>
      <c r="BE1035" s="67"/>
      <c r="BF1035" s="67"/>
      <c r="BG1035" s="67"/>
      <c r="BH1035" s="67"/>
      <c r="BI1035" s="67"/>
      <c r="BJ1035" s="67"/>
      <c r="BK1035" s="67"/>
      <c r="BL1035" s="67"/>
      <c r="BM1035" s="67"/>
      <c r="BN1035" s="100"/>
      <c r="BO1035" s="102"/>
      <c r="BP1035" s="67"/>
      <c r="BQ1035" s="79"/>
      <c r="BR1035" s="67"/>
      <c r="BS1035" s="102"/>
      <c r="BT1035" s="106"/>
      <c r="BU1035" s="107"/>
      <c r="BV1035" s="108" t="str">
        <f t="shared" si="17"/>
        <v/>
      </c>
      <c r="BW1035" s="108" t="str">
        <f t="shared" si="16"/>
        <v/>
      </c>
      <c r="BX1035" s="102" t="str">
        <f t="shared" si="15"/>
        <v/>
      </c>
      <c r="BY1035" s="107" t="str">
        <f t="shared" si="5"/>
        <v/>
      </c>
      <c r="BZ1035" s="107" t="str">
        <f t="array" ref="BZ1035">IF($A1035&lt;&gt;"",INDEX(LISTA!$M$2:$N$27,MATCH($BC1035,LISTA!$N$2:$N$27,0),1),"")</f>
        <v/>
      </c>
      <c r="CA1035" s="67" t="str">
        <f t="shared" si="6"/>
        <v/>
      </c>
      <c r="CB1035" s="114" t="str">
        <f t="shared" si="7"/>
        <v/>
      </c>
      <c r="CC1035" s="114"/>
    </row>
    <row r="1036" ht="22.5" customHeight="1">
      <c r="A1036" s="59"/>
      <c r="B1036" s="115"/>
      <c r="C1036" s="54"/>
      <c r="D1036" s="56"/>
      <c r="E1036" s="69"/>
      <c r="F1036" s="73"/>
      <c r="G1036" s="79"/>
      <c r="H1036" s="79"/>
      <c r="I1036" s="67"/>
      <c r="J1036" s="79"/>
      <c r="K1036" s="67"/>
      <c r="L1036" s="79"/>
      <c r="M1036" s="83"/>
      <c r="N1036" s="78"/>
      <c r="O1036" s="80"/>
      <c r="P1036" s="70"/>
      <c r="Q1036" s="54"/>
      <c r="R1036" s="67"/>
      <c r="S1036" s="67"/>
      <c r="T1036" s="54"/>
      <c r="U1036" s="86"/>
      <c r="V1036" s="54"/>
      <c r="W1036" s="86"/>
      <c r="X1036" s="54"/>
      <c r="Y1036" s="78"/>
      <c r="Z1036" s="54"/>
      <c r="AA1036" s="70"/>
      <c r="AB1036" s="83"/>
      <c r="AC1036" s="83"/>
      <c r="AD1036" s="83"/>
      <c r="AE1036" s="83"/>
      <c r="AF1036" s="83"/>
      <c r="AG1036" s="83"/>
      <c r="AH1036" s="83"/>
      <c r="AI1036" s="83"/>
      <c r="AJ1036" s="83"/>
      <c r="AK1036" s="83"/>
      <c r="AL1036" s="83"/>
      <c r="AM1036" s="83"/>
      <c r="AN1036" s="83"/>
      <c r="AO1036" s="83"/>
      <c r="AP1036" s="83"/>
      <c r="AQ1036" s="54"/>
      <c r="AR1036" s="83"/>
      <c r="AS1036" s="83"/>
      <c r="AT1036" s="93"/>
      <c r="AU1036" s="93"/>
      <c r="AV1036" s="93"/>
      <c r="AW1036" s="83"/>
      <c r="AX1036" s="83"/>
      <c r="AY1036" s="83"/>
      <c r="AZ1036" s="83"/>
      <c r="BA1036" s="83"/>
      <c r="BB1036" s="83"/>
      <c r="BC1036" s="54"/>
      <c r="BD1036" s="54" t="str">
        <f t="shared" si="1"/>
        <v/>
      </c>
      <c r="BE1036" s="67"/>
      <c r="BF1036" s="67"/>
      <c r="BG1036" s="67"/>
      <c r="BH1036" s="67"/>
      <c r="BI1036" s="67"/>
      <c r="BJ1036" s="67"/>
      <c r="BK1036" s="67"/>
      <c r="BL1036" s="67"/>
      <c r="BM1036" s="67"/>
      <c r="BN1036" s="100"/>
      <c r="BO1036" s="102"/>
      <c r="BP1036" s="67"/>
      <c r="BQ1036" s="79"/>
      <c r="BR1036" s="67"/>
      <c r="BS1036" s="102"/>
      <c r="BT1036" s="106"/>
      <c r="BU1036" s="107"/>
      <c r="BV1036" s="108" t="str">
        <f t="shared" si="17"/>
        <v/>
      </c>
      <c r="BW1036" s="108" t="str">
        <f t="shared" si="16"/>
        <v/>
      </c>
      <c r="BX1036" s="102" t="str">
        <f t="shared" si="15"/>
        <v/>
      </c>
      <c r="BY1036" s="107" t="str">
        <f t="shared" si="5"/>
        <v/>
      </c>
      <c r="BZ1036" s="107" t="str">
        <f t="array" ref="BZ1036">IF($A1036&lt;&gt;"",INDEX(LISTA!$M$2:$N$27,MATCH($BC1036,LISTA!$N$2:$N$27,0),1),"")</f>
        <v/>
      </c>
      <c r="CA1036" s="67" t="str">
        <f t="shared" si="6"/>
        <v/>
      </c>
      <c r="CB1036" s="114" t="str">
        <f t="shared" si="7"/>
        <v/>
      </c>
      <c r="CC1036" s="114"/>
    </row>
    <row r="1037" ht="22.5" customHeight="1">
      <c r="A1037" s="59"/>
      <c r="B1037" s="115"/>
      <c r="C1037" s="54"/>
      <c r="D1037" s="56"/>
      <c r="E1037" s="69"/>
      <c r="F1037" s="73"/>
      <c r="G1037" s="79"/>
      <c r="H1037" s="79"/>
      <c r="I1037" s="67"/>
      <c r="J1037" s="79"/>
      <c r="K1037" s="67"/>
      <c r="L1037" s="79"/>
      <c r="M1037" s="83"/>
      <c r="N1037" s="78"/>
      <c r="O1037" s="80"/>
      <c r="P1037" s="70"/>
      <c r="Q1037" s="54"/>
      <c r="R1037" s="67"/>
      <c r="S1037" s="67"/>
      <c r="T1037" s="54"/>
      <c r="U1037" s="86"/>
      <c r="V1037" s="54"/>
      <c r="W1037" s="86"/>
      <c r="X1037" s="54"/>
      <c r="Y1037" s="78"/>
      <c r="Z1037" s="54"/>
      <c r="AA1037" s="70"/>
      <c r="AB1037" s="83"/>
      <c r="AC1037" s="83"/>
      <c r="AD1037" s="83"/>
      <c r="AE1037" s="83"/>
      <c r="AF1037" s="83"/>
      <c r="AG1037" s="83"/>
      <c r="AH1037" s="83"/>
      <c r="AI1037" s="83"/>
      <c r="AJ1037" s="83"/>
      <c r="AK1037" s="83"/>
      <c r="AL1037" s="83"/>
      <c r="AM1037" s="83"/>
      <c r="AN1037" s="83"/>
      <c r="AO1037" s="83"/>
      <c r="AP1037" s="83"/>
      <c r="AQ1037" s="54"/>
      <c r="AR1037" s="83"/>
      <c r="AS1037" s="83"/>
      <c r="AT1037" s="93"/>
      <c r="AU1037" s="93"/>
      <c r="AV1037" s="93"/>
      <c r="AW1037" s="83"/>
      <c r="AX1037" s="83"/>
      <c r="AY1037" s="83"/>
      <c r="AZ1037" s="83"/>
      <c r="BA1037" s="83"/>
      <c r="BB1037" s="83"/>
      <c r="BC1037" s="54"/>
      <c r="BD1037" s="54" t="str">
        <f t="shared" si="1"/>
        <v/>
      </c>
      <c r="BE1037" s="67"/>
      <c r="BF1037" s="67"/>
      <c r="BG1037" s="67"/>
      <c r="BH1037" s="67"/>
      <c r="BI1037" s="67"/>
      <c r="BJ1037" s="67"/>
      <c r="BK1037" s="67"/>
      <c r="BL1037" s="67"/>
      <c r="BM1037" s="67"/>
      <c r="BN1037" s="100"/>
      <c r="BO1037" s="102"/>
      <c r="BP1037" s="67"/>
      <c r="BQ1037" s="79"/>
      <c r="BR1037" s="67"/>
      <c r="BS1037" s="102"/>
      <c r="BT1037" s="106"/>
      <c r="BU1037" s="107"/>
      <c r="BV1037" s="108" t="str">
        <f t="shared" si="17"/>
        <v/>
      </c>
      <c r="BW1037" s="108" t="str">
        <f t="shared" si="16"/>
        <v/>
      </c>
      <c r="BX1037" s="102" t="str">
        <f t="shared" si="15"/>
        <v/>
      </c>
      <c r="BY1037" s="107" t="str">
        <f t="shared" si="5"/>
        <v/>
      </c>
      <c r="BZ1037" s="107" t="str">
        <f t="array" ref="BZ1037">IF($A1037&lt;&gt;"",INDEX(LISTA!$M$2:$N$27,MATCH($BC1037,LISTA!$N$2:$N$27,0),1),"")</f>
        <v/>
      </c>
      <c r="CA1037" s="67" t="str">
        <f t="shared" si="6"/>
        <v/>
      </c>
      <c r="CB1037" s="114" t="str">
        <f t="shared" si="7"/>
        <v/>
      </c>
      <c r="CC1037" s="114"/>
    </row>
    <row r="1038" ht="22.5" customHeight="1">
      <c r="A1038" s="59"/>
      <c r="B1038" s="115"/>
      <c r="C1038" s="54"/>
      <c r="D1038" s="56"/>
      <c r="E1038" s="69"/>
      <c r="F1038" s="73"/>
      <c r="G1038" s="79"/>
      <c r="H1038" s="79"/>
      <c r="I1038" s="67"/>
      <c r="J1038" s="79"/>
      <c r="K1038" s="67"/>
      <c r="L1038" s="79"/>
      <c r="M1038" s="83"/>
      <c r="N1038" s="78"/>
      <c r="O1038" s="80"/>
      <c r="P1038" s="70"/>
      <c r="Q1038" s="54"/>
      <c r="R1038" s="67"/>
      <c r="S1038" s="67"/>
      <c r="T1038" s="54"/>
      <c r="U1038" s="86"/>
      <c r="V1038" s="54"/>
      <c r="W1038" s="86"/>
      <c r="X1038" s="54"/>
      <c r="Y1038" s="78"/>
      <c r="Z1038" s="54"/>
      <c r="AA1038" s="70"/>
      <c r="AB1038" s="83"/>
      <c r="AC1038" s="83"/>
      <c r="AD1038" s="83"/>
      <c r="AE1038" s="83"/>
      <c r="AF1038" s="83"/>
      <c r="AG1038" s="83"/>
      <c r="AH1038" s="83"/>
      <c r="AI1038" s="83"/>
      <c r="AJ1038" s="83"/>
      <c r="AK1038" s="83"/>
      <c r="AL1038" s="83"/>
      <c r="AM1038" s="83"/>
      <c r="AN1038" s="83"/>
      <c r="AO1038" s="83"/>
      <c r="AP1038" s="83"/>
      <c r="AQ1038" s="54"/>
      <c r="AR1038" s="83"/>
      <c r="AS1038" s="83"/>
      <c r="AT1038" s="93"/>
      <c r="AU1038" s="93"/>
      <c r="AV1038" s="93"/>
      <c r="AW1038" s="83"/>
      <c r="AX1038" s="83"/>
      <c r="AY1038" s="83"/>
      <c r="AZ1038" s="83"/>
      <c r="BA1038" s="83"/>
      <c r="BB1038" s="83"/>
      <c r="BC1038" s="54"/>
      <c r="BD1038" s="54" t="str">
        <f t="shared" si="1"/>
        <v/>
      </c>
      <c r="BE1038" s="67"/>
      <c r="BF1038" s="67"/>
      <c r="BG1038" s="67"/>
      <c r="BH1038" s="67"/>
      <c r="BI1038" s="67"/>
      <c r="BJ1038" s="67"/>
      <c r="BK1038" s="67"/>
      <c r="BL1038" s="67"/>
      <c r="BM1038" s="67"/>
      <c r="BN1038" s="100"/>
      <c r="BO1038" s="102"/>
      <c r="BP1038" s="67"/>
      <c r="BQ1038" s="79"/>
      <c r="BR1038" s="67"/>
      <c r="BS1038" s="102"/>
      <c r="BT1038" s="106"/>
      <c r="BU1038" s="107"/>
      <c r="BV1038" s="108" t="str">
        <f t="shared" si="17"/>
        <v/>
      </c>
      <c r="BW1038" s="108" t="str">
        <f t="shared" si="16"/>
        <v/>
      </c>
      <c r="BX1038" s="102" t="str">
        <f t="shared" si="15"/>
        <v/>
      </c>
      <c r="BY1038" s="107" t="str">
        <f t="shared" si="5"/>
        <v/>
      </c>
      <c r="BZ1038" s="107" t="str">
        <f t="array" ref="BZ1038">IF($A1038&lt;&gt;"",INDEX(LISTA!$M$2:$N$27,MATCH($BC1038,LISTA!$N$2:$N$27,0),1),"")</f>
        <v/>
      </c>
      <c r="CA1038" s="67" t="str">
        <f t="shared" si="6"/>
        <v/>
      </c>
      <c r="CB1038" s="114" t="str">
        <f t="shared" si="7"/>
        <v/>
      </c>
      <c r="CC1038" s="114"/>
    </row>
    <row r="1039" ht="22.5" customHeight="1">
      <c r="A1039" s="59"/>
      <c r="B1039" s="115"/>
      <c r="C1039" s="54"/>
      <c r="D1039" s="56"/>
      <c r="E1039" s="69"/>
      <c r="F1039" s="73"/>
      <c r="G1039" s="79"/>
      <c r="H1039" s="79"/>
      <c r="I1039" s="67"/>
      <c r="J1039" s="79"/>
      <c r="K1039" s="67"/>
      <c r="L1039" s="79"/>
      <c r="M1039" s="83"/>
      <c r="N1039" s="78"/>
      <c r="O1039" s="80"/>
      <c r="P1039" s="70"/>
      <c r="Q1039" s="54"/>
      <c r="R1039" s="67"/>
      <c r="S1039" s="67"/>
      <c r="T1039" s="54"/>
      <c r="U1039" s="86"/>
      <c r="V1039" s="54"/>
      <c r="W1039" s="86"/>
      <c r="X1039" s="54"/>
      <c r="Y1039" s="78"/>
      <c r="Z1039" s="54"/>
      <c r="AA1039" s="70"/>
      <c r="AB1039" s="83"/>
      <c r="AC1039" s="83"/>
      <c r="AD1039" s="83"/>
      <c r="AE1039" s="83"/>
      <c r="AF1039" s="83"/>
      <c r="AG1039" s="83"/>
      <c r="AH1039" s="83"/>
      <c r="AI1039" s="83"/>
      <c r="AJ1039" s="83"/>
      <c r="AK1039" s="83"/>
      <c r="AL1039" s="83"/>
      <c r="AM1039" s="83"/>
      <c r="AN1039" s="83"/>
      <c r="AO1039" s="83"/>
      <c r="AP1039" s="83"/>
      <c r="AQ1039" s="54"/>
      <c r="AR1039" s="83"/>
      <c r="AS1039" s="83"/>
      <c r="AT1039" s="93"/>
      <c r="AU1039" s="93"/>
      <c r="AV1039" s="93"/>
      <c r="AW1039" s="83"/>
      <c r="AX1039" s="83"/>
      <c r="AY1039" s="83"/>
      <c r="AZ1039" s="83"/>
      <c r="BA1039" s="83"/>
      <c r="BB1039" s="83"/>
      <c r="BC1039" s="54"/>
      <c r="BD1039" s="54" t="str">
        <f t="shared" si="1"/>
        <v/>
      </c>
      <c r="BE1039" s="67"/>
      <c r="BF1039" s="67"/>
      <c r="BG1039" s="67"/>
      <c r="BH1039" s="67"/>
      <c r="BI1039" s="67"/>
      <c r="BJ1039" s="67"/>
      <c r="BK1039" s="67"/>
      <c r="BL1039" s="67"/>
      <c r="BM1039" s="67"/>
      <c r="BN1039" s="100"/>
      <c r="BO1039" s="102"/>
      <c r="BP1039" s="67"/>
      <c r="BQ1039" s="79"/>
      <c r="BR1039" s="67"/>
      <c r="BS1039" s="102"/>
      <c r="BT1039" s="106"/>
      <c r="BU1039" s="107"/>
      <c r="BV1039" s="108" t="str">
        <f t="shared" si="17"/>
        <v/>
      </c>
      <c r="BW1039" s="108" t="str">
        <f t="shared" si="16"/>
        <v/>
      </c>
      <c r="BX1039" s="102" t="str">
        <f t="shared" si="15"/>
        <v/>
      </c>
      <c r="BY1039" s="107" t="str">
        <f t="shared" si="5"/>
        <v/>
      </c>
      <c r="BZ1039" s="107" t="str">
        <f t="array" ref="BZ1039">IF($A1039&lt;&gt;"",INDEX(LISTA!$M$2:$N$27,MATCH($BC1039,LISTA!$N$2:$N$27,0),1),"")</f>
        <v/>
      </c>
      <c r="CA1039" s="67" t="str">
        <f t="shared" si="6"/>
        <v/>
      </c>
      <c r="CB1039" s="114" t="str">
        <f t="shared" si="7"/>
        <v/>
      </c>
      <c r="CC1039" s="114"/>
    </row>
    <row r="1040" ht="22.5" customHeight="1">
      <c r="A1040" s="59"/>
      <c r="B1040" s="115"/>
      <c r="C1040" s="54"/>
      <c r="D1040" s="56"/>
      <c r="E1040" s="69"/>
      <c r="F1040" s="73"/>
      <c r="G1040" s="79"/>
      <c r="H1040" s="79"/>
      <c r="I1040" s="67"/>
      <c r="J1040" s="79"/>
      <c r="K1040" s="67"/>
      <c r="L1040" s="79"/>
      <c r="M1040" s="83"/>
      <c r="N1040" s="78"/>
      <c r="O1040" s="80"/>
      <c r="P1040" s="70"/>
      <c r="Q1040" s="54"/>
      <c r="R1040" s="67"/>
      <c r="S1040" s="67"/>
      <c r="T1040" s="54"/>
      <c r="U1040" s="86"/>
      <c r="V1040" s="54"/>
      <c r="W1040" s="86"/>
      <c r="X1040" s="54"/>
      <c r="Y1040" s="78"/>
      <c r="Z1040" s="54"/>
      <c r="AA1040" s="70"/>
      <c r="AB1040" s="83"/>
      <c r="AC1040" s="83"/>
      <c r="AD1040" s="83"/>
      <c r="AE1040" s="83"/>
      <c r="AF1040" s="83"/>
      <c r="AG1040" s="83"/>
      <c r="AH1040" s="83"/>
      <c r="AI1040" s="83"/>
      <c r="AJ1040" s="83"/>
      <c r="AK1040" s="83"/>
      <c r="AL1040" s="83"/>
      <c r="AM1040" s="83"/>
      <c r="AN1040" s="83"/>
      <c r="AO1040" s="83"/>
      <c r="AP1040" s="83"/>
      <c r="AQ1040" s="54"/>
      <c r="AR1040" s="83"/>
      <c r="AS1040" s="83"/>
      <c r="AT1040" s="93"/>
      <c r="AU1040" s="93"/>
      <c r="AV1040" s="93"/>
      <c r="AW1040" s="83"/>
      <c r="AX1040" s="83"/>
      <c r="AY1040" s="83"/>
      <c r="AZ1040" s="83"/>
      <c r="BA1040" s="83"/>
      <c r="BB1040" s="83"/>
      <c r="BC1040" s="54"/>
      <c r="BD1040" s="54" t="str">
        <f t="shared" si="1"/>
        <v/>
      </c>
      <c r="BE1040" s="67"/>
      <c r="BF1040" s="67"/>
      <c r="BG1040" s="67"/>
      <c r="BH1040" s="67"/>
      <c r="BI1040" s="67"/>
      <c r="BJ1040" s="67"/>
      <c r="BK1040" s="67"/>
      <c r="BL1040" s="67"/>
      <c r="BM1040" s="67"/>
      <c r="BN1040" s="100"/>
      <c r="BO1040" s="102"/>
      <c r="BP1040" s="67"/>
      <c r="BQ1040" s="79"/>
      <c r="BR1040" s="67"/>
      <c r="BS1040" s="102"/>
      <c r="BT1040" s="106"/>
      <c r="BU1040" s="107"/>
      <c r="BV1040" s="108" t="str">
        <f t="shared" si="17"/>
        <v/>
      </c>
      <c r="BW1040" s="108" t="str">
        <f t="shared" si="16"/>
        <v/>
      </c>
      <c r="BX1040" s="102" t="str">
        <f t="shared" si="15"/>
        <v/>
      </c>
      <c r="BY1040" s="107" t="str">
        <f t="shared" si="5"/>
        <v/>
      </c>
      <c r="BZ1040" s="107" t="str">
        <f t="array" ref="BZ1040">IF($A1040&lt;&gt;"",INDEX(LISTA!$M$2:$N$27,MATCH($BC1040,LISTA!$N$2:$N$27,0),1),"")</f>
        <v/>
      </c>
      <c r="CA1040" s="67" t="str">
        <f t="shared" si="6"/>
        <v/>
      </c>
      <c r="CB1040" s="114" t="str">
        <f t="shared" si="7"/>
        <v/>
      </c>
      <c r="CC1040" s="114"/>
    </row>
    <row r="1041" ht="22.5" customHeight="1">
      <c r="A1041" s="59"/>
      <c r="B1041" s="115"/>
      <c r="C1041" s="54"/>
      <c r="D1041" s="56"/>
      <c r="E1041" s="69"/>
      <c r="F1041" s="73"/>
      <c r="G1041" s="79"/>
      <c r="H1041" s="79"/>
      <c r="I1041" s="67"/>
      <c r="J1041" s="79"/>
      <c r="K1041" s="67"/>
      <c r="L1041" s="79"/>
      <c r="M1041" s="83"/>
      <c r="N1041" s="78"/>
      <c r="O1041" s="80"/>
      <c r="P1041" s="70"/>
      <c r="Q1041" s="54"/>
      <c r="R1041" s="67"/>
      <c r="S1041" s="67"/>
      <c r="T1041" s="54"/>
      <c r="U1041" s="86"/>
      <c r="V1041" s="54"/>
      <c r="W1041" s="86"/>
      <c r="X1041" s="54"/>
      <c r="Y1041" s="78"/>
      <c r="Z1041" s="54"/>
      <c r="AA1041" s="70"/>
      <c r="AB1041" s="83"/>
      <c r="AC1041" s="83"/>
      <c r="AD1041" s="83"/>
      <c r="AE1041" s="83"/>
      <c r="AF1041" s="83"/>
      <c r="AG1041" s="83"/>
      <c r="AH1041" s="83"/>
      <c r="AI1041" s="83"/>
      <c r="AJ1041" s="83"/>
      <c r="AK1041" s="83"/>
      <c r="AL1041" s="83"/>
      <c r="AM1041" s="83"/>
      <c r="AN1041" s="83"/>
      <c r="AO1041" s="83"/>
      <c r="AP1041" s="83"/>
      <c r="AQ1041" s="54"/>
      <c r="AR1041" s="83"/>
      <c r="AS1041" s="83"/>
      <c r="AT1041" s="93"/>
      <c r="AU1041" s="93"/>
      <c r="AV1041" s="93"/>
      <c r="AW1041" s="83"/>
      <c r="AX1041" s="83"/>
      <c r="AY1041" s="83"/>
      <c r="AZ1041" s="83"/>
      <c r="BA1041" s="83"/>
      <c r="BB1041" s="83"/>
      <c r="BC1041" s="54"/>
      <c r="BD1041" s="54" t="str">
        <f t="shared" si="1"/>
        <v/>
      </c>
      <c r="BE1041" s="67"/>
      <c r="BF1041" s="67"/>
      <c r="BG1041" s="67"/>
      <c r="BH1041" s="67"/>
      <c r="BI1041" s="67"/>
      <c r="BJ1041" s="67"/>
      <c r="BK1041" s="67"/>
      <c r="BL1041" s="67"/>
      <c r="BM1041" s="67"/>
      <c r="BN1041" s="100"/>
      <c r="BO1041" s="102"/>
      <c r="BP1041" s="67"/>
      <c r="BQ1041" s="79"/>
      <c r="BR1041" s="67"/>
      <c r="BS1041" s="102"/>
      <c r="BT1041" s="106"/>
      <c r="BU1041" s="107"/>
      <c r="BV1041" s="108" t="str">
        <f t="shared" si="17"/>
        <v/>
      </c>
      <c r="BW1041" s="108" t="str">
        <f t="shared" si="16"/>
        <v/>
      </c>
      <c r="BX1041" s="102" t="str">
        <f t="shared" si="15"/>
        <v/>
      </c>
      <c r="BY1041" s="107" t="str">
        <f t="shared" si="5"/>
        <v/>
      </c>
      <c r="BZ1041" s="107" t="str">
        <f t="array" ref="BZ1041">IF($A1041&lt;&gt;"",INDEX(LISTA!$M$2:$N$27,MATCH($BC1041,LISTA!$N$2:$N$27,0),1),"")</f>
        <v/>
      </c>
      <c r="CA1041" s="67" t="str">
        <f t="shared" si="6"/>
        <v/>
      </c>
      <c r="CB1041" s="114" t="str">
        <f t="shared" si="7"/>
        <v/>
      </c>
      <c r="CC1041" s="114"/>
    </row>
    <row r="1042" ht="22.5" customHeight="1">
      <c r="A1042" s="59"/>
      <c r="B1042" s="115"/>
      <c r="C1042" s="54"/>
      <c r="D1042" s="56"/>
      <c r="E1042" s="69"/>
      <c r="F1042" s="73"/>
      <c r="G1042" s="79"/>
      <c r="H1042" s="79"/>
      <c r="I1042" s="67"/>
      <c r="J1042" s="79"/>
      <c r="K1042" s="67"/>
      <c r="L1042" s="79"/>
      <c r="M1042" s="83"/>
      <c r="N1042" s="78"/>
      <c r="O1042" s="80"/>
      <c r="P1042" s="70"/>
      <c r="Q1042" s="54"/>
      <c r="R1042" s="67"/>
      <c r="S1042" s="67"/>
      <c r="T1042" s="54"/>
      <c r="U1042" s="86"/>
      <c r="V1042" s="54"/>
      <c r="W1042" s="86"/>
      <c r="X1042" s="54"/>
      <c r="Y1042" s="78"/>
      <c r="Z1042" s="54"/>
      <c r="AA1042" s="70"/>
      <c r="AB1042" s="83"/>
      <c r="AC1042" s="83"/>
      <c r="AD1042" s="83"/>
      <c r="AE1042" s="83"/>
      <c r="AF1042" s="83"/>
      <c r="AG1042" s="83"/>
      <c r="AH1042" s="83"/>
      <c r="AI1042" s="83"/>
      <c r="AJ1042" s="83"/>
      <c r="AK1042" s="83"/>
      <c r="AL1042" s="83"/>
      <c r="AM1042" s="83"/>
      <c r="AN1042" s="83"/>
      <c r="AO1042" s="83"/>
      <c r="AP1042" s="83"/>
      <c r="AQ1042" s="54"/>
      <c r="AR1042" s="83"/>
      <c r="AS1042" s="83"/>
      <c r="AT1042" s="93"/>
      <c r="AU1042" s="93"/>
      <c r="AV1042" s="93"/>
      <c r="AW1042" s="83"/>
      <c r="AX1042" s="83"/>
      <c r="AY1042" s="83"/>
      <c r="AZ1042" s="83"/>
      <c r="BA1042" s="83"/>
      <c r="BB1042" s="83"/>
      <c r="BC1042" s="54"/>
      <c r="BD1042" s="54" t="str">
        <f t="shared" si="1"/>
        <v/>
      </c>
      <c r="BE1042" s="67"/>
      <c r="BF1042" s="67"/>
      <c r="BG1042" s="67"/>
      <c r="BH1042" s="67"/>
      <c r="BI1042" s="67"/>
      <c r="BJ1042" s="67"/>
      <c r="BK1042" s="67"/>
      <c r="BL1042" s="67"/>
      <c r="BM1042" s="67"/>
      <c r="BN1042" s="100"/>
      <c r="BO1042" s="102"/>
      <c r="BP1042" s="67"/>
      <c r="BQ1042" s="79"/>
      <c r="BR1042" s="67"/>
      <c r="BS1042" s="102"/>
      <c r="BT1042" s="106"/>
      <c r="BU1042" s="107"/>
      <c r="BV1042" s="108" t="str">
        <f t="shared" si="17"/>
        <v/>
      </c>
      <c r="BW1042" s="108" t="str">
        <f t="shared" si="16"/>
        <v/>
      </c>
      <c r="BX1042" s="102" t="str">
        <f t="shared" si="15"/>
        <v/>
      </c>
      <c r="BY1042" s="107" t="str">
        <f t="shared" si="5"/>
        <v/>
      </c>
      <c r="BZ1042" s="107" t="str">
        <f t="array" ref="BZ1042">IF($A1042&lt;&gt;"",INDEX(LISTA!$M$2:$N$27,MATCH($BC1042,LISTA!$N$2:$N$27,0),1),"")</f>
        <v/>
      </c>
      <c r="CA1042" s="67" t="str">
        <f t="shared" si="6"/>
        <v/>
      </c>
      <c r="CB1042" s="114" t="str">
        <f t="shared" si="7"/>
        <v/>
      </c>
      <c r="CC1042" s="114"/>
    </row>
    <row r="1043" ht="22.5" customHeight="1">
      <c r="A1043" s="59"/>
      <c r="B1043" s="115"/>
      <c r="C1043" s="54"/>
      <c r="D1043" s="56"/>
      <c r="E1043" s="69"/>
      <c r="F1043" s="73"/>
      <c r="G1043" s="79"/>
      <c r="H1043" s="79"/>
      <c r="I1043" s="67"/>
      <c r="J1043" s="79"/>
      <c r="K1043" s="67"/>
      <c r="L1043" s="79"/>
      <c r="M1043" s="83"/>
      <c r="N1043" s="78"/>
      <c r="O1043" s="80"/>
      <c r="P1043" s="70"/>
      <c r="Q1043" s="54"/>
      <c r="R1043" s="67"/>
      <c r="S1043" s="67"/>
      <c r="T1043" s="54"/>
      <c r="U1043" s="86"/>
      <c r="V1043" s="54"/>
      <c r="W1043" s="86"/>
      <c r="X1043" s="54"/>
      <c r="Y1043" s="78"/>
      <c r="Z1043" s="54"/>
      <c r="AA1043" s="70"/>
      <c r="AB1043" s="83"/>
      <c r="AC1043" s="83"/>
      <c r="AD1043" s="83"/>
      <c r="AE1043" s="83"/>
      <c r="AF1043" s="83"/>
      <c r="AG1043" s="83"/>
      <c r="AH1043" s="83"/>
      <c r="AI1043" s="83"/>
      <c r="AJ1043" s="83"/>
      <c r="AK1043" s="83"/>
      <c r="AL1043" s="83"/>
      <c r="AM1043" s="83"/>
      <c r="AN1043" s="83"/>
      <c r="AO1043" s="83"/>
      <c r="AP1043" s="83"/>
      <c r="AQ1043" s="54"/>
      <c r="AR1043" s="83"/>
      <c r="AS1043" s="83"/>
      <c r="AT1043" s="93"/>
      <c r="AU1043" s="93"/>
      <c r="AV1043" s="93"/>
      <c r="AW1043" s="83"/>
      <c r="AX1043" s="83"/>
      <c r="AY1043" s="83"/>
      <c r="AZ1043" s="83"/>
      <c r="BA1043" s="83"/>
      <c r="BB1043" s="83"/>
      <c r="BC1043" s="54"/>
      <c r="BD1043" s="54" t="str">
        <f t="shared" si="1"/>
        <v/>
      </c>
      <c r="BE1043" s="67"/>
      <c r="BF1043" s="67"/>
      <c r="BG1043" s="67"/>
      <c r="BH1043" s="67"/>
      <c r="BI1043" s="67"/>
      <c r="BJ1043" s="67"/>
      <c r="BK1043" s="67"/>
      <c r="BL1043" s="67"/>
      <c r="BM1043" s="67"/>
      <c r="BN1043" s="100"/>
      <c r="BO1043" s="102"/>
      <c r="BP1043" s="67"/>
      <c r="BQ1043" s="79"/>
      <c r="BR1043" s="67"/>
      <c r="BS1043" s="102"/>
      <c r="BT1043" s="106"/>
      <c r="BU1043" s="107"/>
      <c r="BV1043" s="108" t="str">
        <f t="shared" si="17"/>
        <v/>
      </c>
      <c r="BW1043" s="108" t="str">
        <f t="shared" si="16"/>
        <v/>
      </c>
      <c r="BX1043" s="102" t="str">
        <f t="shared" si="15"/>
        <v/>
      </c>
      <c r="BY1043" s="107" t="str">
        <f t="shared" si="5"/>
        <v/>
      </c>
      <c r="BZ1043" s="107" t="str">
        <f t="array" ref="BZ1043">IF($A1043&lt;&gt;"",INDEX(LISTA!$M$2:$N$27,MATCH($BC1043,LISTA!$N$2:$N$27,0),1),"")</f>
        <v/>
      </c>
      <c r="CA1043" s="67" t="str">
        <f t="shared" si="6"/>
        <v/>
      </c>
      <c r="CB1043" s="114" t="str">
        <f t="shared" si="7"/>
        <v/>
      </c>
      <c r="CC1043" s="114"/>
    </row>
    <row r="1044" ht="22.5" customHeight="1">
      <c r="A1044" s="59"/>
      <c r="B1044" s="115"/>
      <c r="C1044" s="54"/>
      <c r="D1044" s="56"/>
      <c r="E1044" s="69"/>
      <c r="F1044" s="73"/>
      <c r="G1044" s="79"/>
      <c r="H1044" s="79"/>
      <c r="I1044" s="67"/>
      <c r="J1044" s="79"/>
      <c r="K1044" s="67"/>
      <c r="L1044" s="79"/>
      <c r="M1044" s="83"/>
      <c r="N1044" s="78"/>
      <c r="O1044" s="80"/>
      <c r="P1044" s="70"/>
      <c r="Q1044" s="54"/>
      <c r="R1044" s="67"/>
      <c r="S1044" s="67"/>
      <c r="T1044" s="54"/>
      <c r="U1044" s="86"/>
      <c r="V1044" s="54"/>
      <c r="W1044" s="86"/>
      <c r="X1044" s="54"/>
      <c r="Y1044" s="78"/>
      <c r="Z1044" s="54"/>
      <c r="AA1044" s="70"/>
      <c r="AB1044" s="83"/>
      <c r="AC1044" s="83"/>
      <c r="AD1044" s="83"/>
      <c r="AE1044" s="83"/>
      <c r="AF1044" s="83"/>
      <c r="AG1044" s="83"/>
      <c r="AH1044" s="83"/>
      <c r="AI1044" s="83"/>
      <c r="AJ1044" s="83"/>
      <c r="AK1044" s="83"/>
      <c r="AL1044" s="83"/>
      <c r="AM1044" s="83"/>
      <c r="AN1044" s="83"/>
      <c r="AO1044" s="83"/>
      <c r="AP1044" s="83"/>
      <c r="AQ1044" s="54"/>
      <c r="AR1044" s="83"/>
      <c r="AS1044" s="83"/>
      <c r="AT1044" s="93"/>
      <c r="AU1044" s="93"/>
      <c r="AV1044" s="93"/>
      <c r="AW1044" s="83"/>
      <c r="AX1044" s="83"/>
      <c r="AY1044" s="83"/>
      <c r="AZ1044" s="83"/>
      <c r="BA1044" s="83"/>
      <c r="BB1044" s="83"/>
      <c r="BC1044" s="54"/>
      <c r="BD1044" s="54" t="str">
        <f t="shared" si="1"/>
        <v/>
      </c>
      <c r="BE1044" s="67"/>
      <c r="BF1044" s="67"/>
      <c r="BG1044" s="67"/>
      <c r="BH1044" s="67"/>
      <c r="BI1044" s="67"/>
      <c r="BJ1044" s="67"/>
      <c r="BK1044" s="67"/>
      <c r="BL1044" s="67"/>
      <c r="BM1044" s="67"/>
      <c r="BN1044" s="100"/>
      <c r="BO1044" s="102"/>
      <c r="BP1044" s="67"/>
      <c r="BQ1044" s="79"/>
      <c r="BR1044" s="67"/>
      <c r="BS1044" s="102"/>
      <c r="BT1044" s="106"/>
      <c r="BU1044" s="107"/>
      <c r="BV1044" s="108" t="str">
        <f t="shared" si="17"/>
        <v/>
      </c>
      <c r="BW1044" s="108" t="str">
        <f t="shared" si="16"/>
        <v/>
      </c>
      <c r="BX1044" s="102" t="str">
        <f t="shared" si="15"/>
        <v/>
      </c>
      <c r="BY1044" s="107" t="str">
        <f t="shared" si="5"/>
        <v/>
      </c>
      <c r="BZ1044" s="107" t="str">
        <f t="array" ref="BZ1044">IF($A1044&lt;&gt;"",INDEX(LISTA!$M$2:$N$27,MATCH($BC1044,LISTA!$N$2:$N$27,0),1),"")</f>
        <v/>
      </c>
      <c r="CA1044" s="67" t="str">
        <f t="shared" si="6"/>
        <v/>
      </c>
      <c r="CB1044" s="114" t="str">
        <f t="shared" si="7"/>
        <v/>
      </c>
      <c r="CC1044" s="114"/>
    </row>
    <row r="1045" ht="22.5" customHeight="1">
      <c r="A1045" s="59"/>
      <c r="B1045" s="115"/>
      <c r="C1045" s="54"/>
      <c r="D1045" s="56"/>
      <c r="E1045" s="69"/>
      <c r="F1045" s="73"/>
      <c r="G1045" s="79"/>
      <c r="H1045" s="79"/>
      <c r="I1045" s="67"/>
      <c r="J1045" s="79"/>
      <c r="K1045" s="67"/>
      <c r="L1045" s="79"/>
      <c r="M1045" s="83"/>
      <c r="N1045" s="78"/>
      <c r="O1045" s="80"/>
      <c r="P1045" s="70"/>
      <c r="Q1045" s="54"/>
      <c r="R1045" s="67"/>
      <c r="S1045" s="67"/>
      <c r="T1045" s="54"/>
      <c r="U1045" s="86"/>
      <c r="V1045" s="54"/>
      <c r="W1045" s="86"/>
      <c r="X1045" s="54"/>
      <c r="Y1045" s="78"/>
      <c r="Z1045" s="54"/>
      <c r="AA1045" s="70"/>
      <c r="AB1045" s="83"/>
      <c r="AC1045" s="83"/>
      <c r="AD1045" s="83"/>
      <c r="AE1045" s="83"/>
      <c r="AF1045" s="83"/>
      <c r="AG1045" s="83"/>
      <c r="AH1045" s="83"/>
      <c r="AI1045" s="83"/>
      <c r="AJ1045" s="83"/>
      <c r="AK1045" s="83"/>
      <c r="AL1045" s="83"/>
      <c r="AM1045" s="83"/>
      <c r="AN1045" s="83"/>
      <c r="AO1045" s="83"/>
      <c r="AP1045" s="83"/>
      <c r="AQ1045" s="54"/>
      <c r="AR1045" s="83"/>
      <c r="AS1045" s="83"/>
      <c r="AT1045" s="93"/>
      <c r="AU1045" s="93"/>
      <c r="AV1045" s="93"/>
      <c r="AW1045" s="83"/>
      <c r="AX1045" s="83"/>
      <c r="AY1045" s="83"/>
      <c r="AZ1045" s="83"/>
      <c r="BA1045" s="83"/>
      <c r="BB1045" s="83"/>
      <c r="BC1045" s="54"/>
      <c r="BD1045" s="54" t="str">
        <f t="shared" si="1"/>
        <v/>
      </c>
      <c r="BE1045" s="67"/>
      <c r="BF1045" s="67"/>
      <c r="BG1045" s="67"/>
      <c r="BH1045" s="67"/>
      <c r="BI1045" s="67"/>
      <c r="BJ1045" s="67"/>
      <c r="BK1045" s="67"/>
      <c r="BL1045" s="67"/>
      <c r="BM1045" s="67"/>
      <c r="BN1045" s="100"/>
      <c r="BO1045" s="102"/>
      <c r="BP1045" s="67"/>
      <c r="BQ1045" s="79"/>
      <c r="BR1045" s="67"/>
      <c r="BS1045" s="102"/>
      <c r="BT1045" s="106"/>
      <c r="BU1045" s="107"/>
      <c r="BV1045" s="108" t="str">
        <f t="shared" si="17"/>
        <v/>
      </c>
      <c r="BW1045" s="108" t="str">
        <f t="shared" si="16"/>
        <v/>
      </c>
      <c r="BX1045" s="102" t="str">
        <f t="shared" si="15"/>
        <v/>
      </c>
      <c r="BY1045" s="107" t="str">
        <f t="shared" si="5"/>
        <v/>
      </c>
      <c r="BZ1045" s="107" t="str">
        <f t="array" ref="BZ1045">IF($A1045&lt;&gt;"",INDEX(LISTA!$M$2:$N$27,MATCH($BC1045,LISTA!$N$2:$N$27,0),1),"")</f>
        <v/>
      </c>
      <c r="CA1045" s="67" t="str">
        <f t="shared" si="6"/>
        <v/>
      </c>
      <c r="CB1045" s="114" t="str">
        <f t="shared" si="7"/>
        <v/>
      </c>
      <c r="CC1045" s="114"/>
    </row>
    <row r="1046" ht="22.5" customHeight="1">
      <c r="A1046" s="59"/>
      <c r="B1046" s="115"/>
      <c r="C1046" s="54"/>
      <c r="D1046" s="56"/>
      <c r="E1046" s="69"/>
      <c r="F1046" s="73"/>
      <c r="G1046" s="79"/>
      <c r="H1046" s="79"/>
      <c r="I1046" s="67"/>
      <c r="J1046" s="79"/>
      <c r="K1046" s="67"/>
      <c r="L1046" s="79"/>
      <c r="M1046" s="83"/>
      <c r="N1046" s="78"/>
      <c r="O1046" s="80"/>
      <c r="P1046" s="70"/>
      <c r="Q1046" s="54"/>
      <c r="R1046" s="67"/>
      <c r="S1046" s="67"/>
      <c r="T1046" s="54"/>
      <c r="U1046" s="86"/>
      <c r="V1046" s="54"/>
      <c r="W1046" s="86"/>
      <c r="X1046" s="54"/>
      <c r="Y1046" s="78"/>
      <c r="Z1046" s="54"/>
      <c r="AA1046" s="70"/>
      <c r="AB1046" s="83"/>
      <c r="AC1046" s="83"/>
      <c r="AD1046" s="83"/>
      <c r="AE1046" s="83"/>
      <c r="AF1046" s="83"/>
      <c r="AG1046" s="83"/>
      <c r="AH1046" s="83"/>
      <c r="AI1046" s="83"/>
      <c r="AJ1046" s="83"/>
      <c r="AK1046" s="83"/>
      <c r="AL1046" s="83"/>
      <c r="AM1046" s="83"/>
      <c r="AN1046" s="83"/>
      <c r="AO1046" s="83"/>
      <c r="AP1046" s="83"/>
      <c r="AQ1046" s="54"/>
      <c r="AR1046" s="83"/>
      <c r="AS1046" s="83"/>
      <c r="AT1046" s="93"/>
      <c r="AU1046" s="93"/>
      <c r="AV1046" s="93"/>
      <c r="AW1046" s="83"/>
      <c r="AX1046" s="83"/>
      <c r="AY1046" s="83"/>
      <c r="AZ1046" s="83"/>
      <c r="BA1046" s="83"/>
      <c r="BB1046" s="83"/>
      <c r="BC1046" s="54"/>
      <c r="BD1046" s="54" t="str">
        <f t="shared" si="1"/>
        <v/>
      </c>
      <c r="BE1046" s="67"/>
      <c r="BF1046" s="67"/>
      <c r="BG1046" s="67"/>
      <c r="BH1046" s="67"/>
      <c r="BI1046" s="67"/>
      <c r="BJ1046" s="67"/>
      <c r="BK1046" s="67"/>
      <c r="BL1046" s="67"/>
      <c r="BM1046" s="67"/>
      <c r="BN1046" s="100"/>
      <c r="BO1046" s="102"/>
      <c r="BP1046" s="67"/>
      <c r="BQ1046" s="79"/>
      <c r="BR1046" s="67"/>
      <c r="BS1046" s="102"/>
      <c r="BT1046" s="106"/>
      <c r="BU1046" s="107"/>
      <c r="BV1046" s="108" t="str">
        <f t="shared" si="17"/>
        <v/>
      </c>
      <c r="BW1046" s="108" t="str">
        <f t="shared" si="16"/>
        <v/>
      </c>
      <c r="BX1046" s="102" t="str">
        <f t="shared" si="15"/>
        <v/>
      </c>
      <c r="BY1046" s="107" t="str">
        <f t="shared" si="5"/>
        <v/>
      </c>
      <c r="BZ1046" s="107" t="str">
        <f t="array" ref="BZ1046">IF($A1046&lt;&gt;"",INDEX(LISTA!$M$2:$N$27,MATCH($BC1046,LISTA!$N$2:$N$27,0),1),"")</f>
        <v/>
      </c>
      <c r="CA1046" s="67" t="str">
        <f t="shared" si="6"/>
        <v/>
      </c>
      <c r="CB1046" s="114" t="str">
        <f t="shared" si="7"/>
        <v/>
      </c>
      <c r="CC1046" s="114"/>
    </row>
    <row r="1047" ht="22.5" customHeight="1">
      <c r="A1047" s="59"/>
      <c r="B1047" s="115"/>
      <c r="C1047" s="54"/>
      <c r="D1047" s="56"/>
      <c r="E1047" s="69"/>
      <c r="F1047" s="73"/>
      <c r="G1047" s="79"/>
      <c r="H1047" s="79"/>
      <c r="I1047" s="67"/>
      <c r="J1047" s="79"/>
      <c r="K1047" s="67"/>
      <c r="L1047" s="79"/>
      <c r="M1047" s="83"/>
      <c r="N1047" s="78"/>
      <c r="O1047" s="80"/>
      <c r="P1047" s="70"/>
      <c r="Q1047" s="54"/>
      <c r="R1047" s="67"/>
      <c r="S1047" s="67"/>
      <c r="T1047" s="54"/>
      <c r="U1047" s="86"/>
      <c r="V1047" s="54"/>
      <c r="W1047" s="86"/>
      <c r="X1047" s="54"/>
      <c r="Y1047" s="78"/>
      <c r="Z1047" s="54"/>
      <c r="AA1047" s="70"/>
      <c r="AB1047" s="83"/>
      <c r="AC1047" s="83"/>
      <c r="AD1047" s="83"/>
      <c r="AE1047" s="83"/>
      <c r="AF1047" s="83"/>
      <c r="AG1047" s="83"/>
      <c r="AH1047" s="83"/>
      <c r="AI1047" s="83"/>
      <c r="AJ1047" s="83"/>
      <c r="AK1047" s="83"/>
      <c r="AL1047" s="83"/>
      <c r="AM1047" s="83"/>
      <c r="AN1047" s="83"/>
      <c r="AO1047" s="83"/>
      <c r="AP1047" s="83"/>
      <c r="AQ1047" s="54"/>
      <c r="AR1047" s="83"/>
      <c r="AS1047" s="83"/>
      <c r="AT1047" s="93"/>
      <c r="AU1047" s="93"/>
      <c r="AV1047" s="93"/>
      <c r="AW1047" s="83"/>
      <c r="AX1047" s="83"/>
      <c r="AY1047" s="83"/>
      <c r="AZ1047" s="83"/>
      <c r="BA1047" s="83"/>
      <c r="BB1047" s="83"/>
      <c r="BC1047" s="54"/>
      <c r="BD1047" s="54" t="str">
        <f t="shared" si="1"/>
        <v/>
      </c>
      <c r="BE1047" s="67"/>
      <c r="BF1047" s="67"/>
      <c r="BG1047" s="67"/>
      <c r="BH1047" s="67"/>
      <c r="BI1047" s="67"/>
      <c r="BJ1047" s="67"/>
      <c r="BK1047" s="67"/>
      <c r="BL1047" s="67"/>
      <c r="BM1047" s="67"/>
      <c r="BN1047" s="100"/>
      <c r="BO1047" s="102"/>
      <c r="BP1047" s="67"/>
      <c r="BQ1047" s="79"/>
      <c r="BR1047" s="67"/>
      <c r="BS1047" s="102"/>
      <c r="BT1047" s="106"/>
      <c r="BU1047" s="107"/>
      <c r="BV1047" s="108" t="str">
        <f t="shared" si="17"/>
        <v/>
      </c>
      <c r="BW1047" s="108" t="str">
        <f t="shared" si="16"/>
        <v/>
      </c>
      <c r="BX1047" s="102" t="str">
        <f t="shared" si="15"/>
        <v/>
      </c>
      <c r="BY1047" s="107" t="str">
        <f t="shared" si="5"/>
        <v/>
      </c>
      <c r="BZ1047" s="107" t="str">
        <f t="array" ref="BZ1047">IF($A1047&lt;&gt;"",INDEX(LISTA!$M$2:$N$27,MATCH($BC1047,LISTA!$N$2:$N$27,0),1),"")</f>
        <v/>
      </c>
      <c r="CA1047" s="67" t="str">
        <f t="shared" si="6"/>
        <v/>
      </c>
      <c r="CB1047" s="114" t="str">
        <f t="shared" si="7"/>
        <v/>
      </c>
      <c r="CC1047" s="114"/>
    </row>
    <row r="1048" ht="22.5" customHeight="1">
      <c r="A1048" s="59"/>
      <c r="B1048" s="115"/>
      <c r="C1048" s="54"/>
      <c r="D1048" s="56"/>
      <c r="E1048" s="69"/>
      <c r="F1048" s="73"/>
      <c r="G1048" s="79"/>
      <c r="H1048" s="79"/>
      <c r="I1048" s="67"/>
      <c r="J1048" s="79"/>
      <c r="K1048" s="67"/>
      <c r="L1048" s="79"/>
      <c r="M1048" s="83"/>
      <c r="N1048" s="78"/>
      <c r="O1048" s="80"/>
      <c r="P1048" s="70"/>
      <c r="Q1048" s="54"/>
      <c r="R1048" s="67"/>
      <c r="S1048" s="67"/>
      <c r="T1048" s="54"/>
      <c r="U1048" s="86"/>
      <c r="V1048" s="54"/>
      <c r="W1048" s="86"/>
      <c r="X1048" s="54"/>
      <c r="Y1048" s="78"/>
      <c r="Z1048" s="54"/>
      <c r="AA1048" s="70"/>
      <c r="AB1048" s="83"/>
      <c r="AC1048" s="83"/>
      <c r="AD1048" s="83"/>
      <c r="AE1048" s="83"/>
      <c r="AF1048" s="83"/>
      <c r="AG1048" s="83"/>
      <c r="AH1048" s="83"/>
      <c r="AI1048" s="83"/>
      <c r="AJ1048" s="83"/>
      <c r="AK1048" s="83"/>
      <c r="AL1048" s="83"/>
      <c r="AM1048" s="83"/>
      <c r="AN1048" s="83"/>
      <c r="AO1048" s="83"/>
      <c r="AP1048" s="83"/>
      <c r="AQ1048" s="54"/>
      <c r="AR1048" s="83"/>
      <c r="AS1048" s="83"/>
      <c r="AT1048" s="93"/>
      <c r="AU1048" s="93"/>
      <c r="AV1048" s="93"/>
      <c r="AW1048" s="83"/>
      <c r="AX1048" s="83"/>
      <c r="AY1048" s="83"/>
      <c r="AZ1048" s="83"/>
      <c r="BA1048" s="83"/>
      <c r="BB1048" s="83"/>
      <c r="BC1048" s="54"/>
      <c r="BD1048" s="54" t="str">
        <f t="shared" si="1"/>
        <v/>
      </c>
      <c r="BE1048" s="67"/>
      <c r="BF1048" s="67"/>
      <c r="BG1048" s="67"/>
      <c r="BH1048" s="67"/>
      <c r="BI1048" s="67"/>
      <c r="BJ1048" s="67"/>
      <c r="BK1048" s="67"/>
      <c r="BL1048" s="67"/>
      <c r="BM1048" s="67"/>
      <c r="BN1048" s="100"/>
      <c r="BO1048" s="102"/>
      <c r="BP1048" s="67"/>
      <c r="BQ1048" s="79"/>
      <c r="BR1048" s="67"/>
      <c r="BS1048" s="102"/>
      <c r="BT1048" s="106"/>
      <c r="BU1048" s="107"/>
      <c r="BV1048" s="108" t="str">
        <f t="shared" si="17"/>
        <v/>
      </c>
      <c r="BW1048" s="108" t="str">
        <f t="shared" si="16"/>
        <v/>
      </c>
      <c r="BX1048" s="102" t="str">
        <f t="shared" si="15"/>
        <v/>
      </c>
      <c r="BY1048" s="107" t="str">
        <f t="shared" si="5"/>
        <v/>
      </c>
      <c r="BZ1048" s="107" t="str">
        <f t="array" ref="BZ1048">IF($A1048&lt;&gt;"",INDEX(LISTA!$M$2:$N$27,MATCH($BC1048,LISTA!$N$2:$N$27,0),1),"")</f>
        <v/>
      </c>
      <c r="CA1048" s="67" t="str">
        <f t="shared" si="6"/>
        <v/>
      </c>
      <c r="CB1048" s="114" t="str">
        <f t="shared" si="7"/>
        <v/>
      </c>
      <c r="CC1048" s="114"/>
    </row>
    <row r="1049" ht="22.5" customHeight="1">
      <c r="A1049" s="59"/>
      <c r="B1049" s="115"/>
      <c r="C1049" s="54"/>
      <c r="D1049" s="56"/>
      <c r="E1049" s="69"/>
      <c r="F1049" s="73"/>
      <c r="G1049" s="79"/>
      <c r="H1049" s="79"/>
      <c r="I1049" s="67"/>
      <c r="J1049" s="79"/>
      <c r="K1049" s="67"/>
      <c r="L1049" s="79"/>
      <c r="M1049" s="83"/>
      <c r="N1049" s="78"/>
      <c r="O1049" s="80"/>
      <c r="P1049" s="70"/>
      <c r="Q1049" s="54"/>
      <c r="R1049" s="67"/>
      <c r="S1049" s="67"/>
      <c r="T1049" s="54"/>
      <c r="U1049" s="86"/>
      <c r="V1049" s="54"/>
      <c r="W1049" s="86"/>
      <c r="X1049" s="54"/>
      <c r="Y1049" s="78"/>
      <c r="Z1049" s="54"/>
      <c r="AA1049" s="70"/>
      <c r="AB1049" s="83"/>
      <c r="AC1049" s="83"/>
      <c r="AD1049" s="83"/>
      <c r="AE1049" s="83"/>
      <c r="AF1049" s="83"/>
      <c r="AG1049" s="83"/>
      <c r="AH1049" s="83"/>
      <c r="AI1049" s="83"/>
      <c r="AJ1049" s="83"/>
      <c r="AK1049" s="83"/>
      <c r="AL1049" s="83"/>
      <c r="AM1049" s="83"/>
      <c r="AN1049" s="83"/>
      <c r="AO1049" s="83"/>
      <c r="AP1049" s="83"/>
      <c r="AQ1049" s="54"/>
      <c r="AR1049" s="83"/>
      <c r="AS1049" s="83"/>
      <c r="AT1049" s="93"/>
      <c r="AU1049" s="93"/>
      <c r="AV1049" s="93"/>
      <c r="AW1049" s="83"/>
      <c r="AX1049" s="83"/>
      <c r="AY1049" s="83"/>
      <c r="AZ1049" s="83"/>
      <c r="BA1049" s="83"/>
      <c r="BB1049" s="83"/>
      <c r="BC1049" s="54"/>
      <c r="BD1049" s="54" t="str">
        <f t="shared" si="1"/>
        <v/>
      </c>
      <c r="BE1049" s="67"/>
      <c r="BF1049" s="67"/>
      <c r="BG1049" s="67"/>
      <c r="BH1049" s="67"/>
      <c r="BI1049" s="67"/>
      <c r="BJ1049" s="67"/>
      <c r="BK1049" s="67"/>
      <c r="BL1049" s="67"/>
      <c r="BM1049" s="67"/>
      <c r="BN1049" s="100"/>
      <c r="BO1049" s="102"/>
      <c r="BP1049" s="67"/>
      <c r="BQ1049" s="79"/>
      <c r="BR1049" s="67"/>
      <c r="BS1049" s="102"/>
      <c r="BT1049" s="106"/>
      <c r="BU1049" s="107"/>
      <c r="BV1049" s="108" t="str">
        <f t="shared" si="17"/>
        <v/>
      </c>
      <c r="BW1049" s="108" t="str">
        <f t="shared" si="16"/>
        <v/>
      </c>
      <c r="BX1049" s="102" t="str">
        <f t="shared" si="15"/>
        <v/>
      </c>
      <c r="BY1049" s="107" t="str">
        <f t="shared" si="5"/>
        <v/>
      </c>
      <c r="BZ1049" s="107" t="str">
        <f t="array" ref="BZ1049">IF($A1049&lt;&gt;"",INDEX(LISTA!$M$2:$N$27,MATCH($BC1049,LISTA!$N$2:$N$27,0),1),"")</f>
        <v/>
      </c>
      <c r="CA1049" s="67" t="str">
        <f t="shared" si="6"/>
        <v/>
      </c>
      <c r="CB1049" s="114" t="str">
        <f t="shared" si="7"/>
        <v/>
      </c>
      <c r="CC1049" s="114"/>
    </row>
    <row r="1050" ht="22.5" customHeight="1">
      <c r="A1050" s="59"/>
      <c r="B1050" s="115"/>
      <c r="C1050" s="54"/>
      <c r="D1050" s="56"/>
      <c r="E1050" s="69"/>
      <c r="F1050" s="73"/>
      <c r="G1050" s="79"/>
      <c r="H1050" s="79"/>
      <c r="I1050" s="67"/>
      <c r="J1050" s="79"/>
      <c r="K1050" s="67"/>
      <c r="L1050" s="79"/>
      <c r="M1050" s="83"/>
      <c r="N1050" s="78"/>
      <c r="O1050" s="80"/>
      <c r="P1050" s="70"/>
      <c r="Q1050" s="54"/>
      <c r="R1050" s="67"/>
      <c r="S1050" s="67"/>
      <c r="T1050" s="54"/>
      <c r="U1050" s="86"/>
      <c r="V1050" s="54"/>
      <c r="W1050" s="86"/>
      <c r="X1050" s="54"/>
      <c r="Y1050" s="78"/>
      <c r="Z1050" s="54"/>
      <c r="AA1050" s="70"/>
      <c r="AB1050" s="83"/>
      <c r="AC1050" s="83"/>
      <c r="AD1050" s="83"/>
      <c r="AE1050" s="83"/>
      <c r="AF1050" s="83"/>
      <c r="AG1050" s="83"/>
      <c r="AH1050" s="83"/>
      <c r="AI1050" s="83"/>
      <c r="AJ1050" s="83"/>
      <c r="AK1050" s="83"/>
      <c r="AL1050" s="83"/>
      <c r="AM1050" s="83"/>
      <c r="AN1050" s="83"/>
      <c r="AO1050" s="83"/>
      <c r="AP1050" s="83"/>
      <c r="AQ1050" s="54"/>
      <c r="AR1050" s="83"/>
      <c r="AS1050" s="83"/>
      <c r="AT1050" s="93"/>
      <c r="AU1050" s="93"/>
      <c r="AV1050" s="93"/>
      <c r="AW1050" s="83"/>
      <c r="AX1050" s="83"/>
      <c r="AY1050" s="83"/>
      <c r="AZ1050" s="83"/>
      <c r="BA1050" s="83"/>
      <c r="BB1050" s="83"/>
      <c r="BC1050" s="54"/>
      <c r="BD1050" s="54" t="str">
        <f t="shared" si="1"/>
        <v/>
      </c>
      <c r="BE1050" s="67"/>
      <c r="BF1050" s="67"/>
      <c r="BG1050" s="67"/>
      <c r="BH1050" s="67"/>
      <c r="BI1050" s="67"/>
      <c r="BJ1050" s="67"/>
      <c r="BK1050" s="67"/>
      <c r="BL1050" s="67"/>
      <c r="BM1050" s="67"/>
      <c r="BN1050" s="100"/>
      <c r="BO1050" s="102"/>
      <c r="BP1050" s="67"/>
      <c r="BQ1050" s="79"/>
      <c r="BR1050" s="67"/>
      <c r="BS1050" s="102"/>
      <c r="BT1050" s="106"/>
      <c r="BU1050" s="107"/>
      <c r="BV1050" s="108" t="str">
        <f t="shared" si="17"/>
        <v/>
      </c>
      <c r="BW1050" s="108" t="str">
        <f t="shared" si="16"/>
        <v/>
      </c>
      <c r="BX1050" s="102" t="str">
        <f t="shared" si="15"/>
        <v/>
      </c>
      <c r="BY1050" s="107" t="str">
        <f t="shared" si="5"/>
        <v/>
      </c>
      <c r="BZ1050" s="107" t="str">
        <f t="array" ref="BZ1050">IF($A1050&lt;&gt;"",INDEX(LISTA!$M$2:$N$27,MATCH($BC1050,LISTA!$N$2:$N$27,0),1),"")</f>
        <v/>
      </c>
      <c r="CA1050" s="67" t="str">
        <f t="shared" si="6"/>
        <v/>
      </c>
      <c r="CB1050" s="114" t="str">
        <f t="shared" si="7"/>
        <v/>
      </c>
      <c r="CC1050" s="114"/>
    </row>
    <row r="1051" ht="22.5" customHeight="1">
      <c r="A1051" s="59"/>
      <c r="B1051" s="115"/>
      <c r="C1051" s="54"/>
      <c r="D1051" s="56"/>
      <c r="E1051" s="69"/>
      <c r="F1051" s="73"/>
      <c r="G1051" s="79"/>
      <c r="H1051" s="79"/>
      <c r="I1051" s="67"/>
      <c r="J1051" s="79"/>
      <c r="K1051" s="67"/>
      <c r="L1051" s="79"/>
      <c r="M1051" s="83"/>
      <c r="N1051" s="78"/>
      <c r="O1051" s="80"/>
      <c r="P1051" s="70"/>
      <c r="Q1051" s="54"/>
      <c r="R1051" s="67"/>
      <c r="S1051" s="67"/>
      <c r="T1051" s="54"/>
      <c r="U1051" s="86"/>
      <c r="V1051" s="54"/>
      <c r="W1051" s="86"/>
      <c r="X1051" s="54"/>
      <c r="Y1051" s="78"/>
      <c r="Z1051" s="54"/>
      <c r="AA1051" s="70"/>
      <c r="AB1051" s="83"/>
      <c r="AC1051" s="83"/>
      <c r="AD1051" s="83"/>
      <c r="AE1051" s="83"/>
      <c r="AF1051" s="83"/>
      <c r="AG1051" s="83"/>
      <c r="AH1051" s="83"/>
      <c r="AI1051" s="83"/>
      <c r="AJ1051" s="83"/>
      <c r="AK1051" s="83"/>
      <c r="AL1051" s="83"/>
      <c r="AM1051" s="83"/>
      <c r="AN1051" s="83"/>
      <c r="AO1051" s="83"/>
      <c r="AP1051" s="83"/>
      <c r="AQ1051" s="54"/>
      <c r="AR1051" s="83"/>
      <c r="AS1051" s="83"/>
      <c r="AT1051" s="93"/>
      <c r="AU1051" s="93"/>
      <c r="AV1051" s="93"/>
      <c r="AW1051" s="83"/>
      <c r="AX1051" s="83"/>
      <c r="AY1051" s="83"/>
      <c r="AZ1051" s="83"/>
      <c r="BA1051" s="83"/>
      <c r="BB1051" s="83"/>
      <c r="BC1051" s="54"/>
      <c r="BD1051" s="54" t="str">
        <f t="shared" si="1"/>
        <v/>
      </c>
      <c r="BE1051" s="67"/>
      <c r="BF1051" s="67"/>
      <c r="BG1051" s="67"/>
      <c r="BH1051" s="67"/>
      <c r="BI1051" s="67"/>
      <c r="BJ1051" s="67"/>
      <c r="BK1051" s="67"/>
      <c r="BL1051" s="67"/>
      <c r="BM1051" s="67"/>
      <c r="BN1051" s="100"/>
      <c r="BO1051" s="102"/>
      <c r="BP1051" s="67"/>
      <c r="BQ1051" s="79"/>
      <c r="BR1051" s="67"/>
      <c r="BS1051" s="102"/>
      <c r="BT1051" s="106"/>
      <c r="BU1051" s="107"/>
      <c r="BV1051" s="108" t="str">
        <f t="shared" si="17"/>
        <v/>
      </c>
      <c r="BW1051" s="108" t="str">
        <f t="shared" si="16"/>
        <v/>
      </c>
      <c r="BX1051" s="102" t="str">
        <f t="shared" si="15"/>
        <v/>
      </c>
      <c r="BY1051" s="107" t="str">
        <f t="shared" si="5"/>
        <v/>
      </c>
      <c r="BZ1051" s="107" t="str">
        <f t="array" ref="BZ1051">IF($A1051&lt;&gt;"",INDEX(LISTA!$M$2:$N$27,MATCH($BC1051,LISTA!$N$2:$N$27,0),1),"")</f>
        <v/>
      </c>
      <c r="CA1051" s="67" t="str">
        <f t="shared" si="6"/>
        <v/>
      </c>
      <c r="CB1051" s="114" t="str">
        <f t="shared" si="7"/>
        <v/>
      </c>
      <c r="CC1051" s="114"/>
    </row>
    <row r="1052" ht="22.5" customHeight="1">
      <c r="A1052" s="59"/>
      <c r="B1052" s="115"/>
      <c r="C1052" s="54"/>
      <c r="D1052" s="56"/>
      <c r="E1052" s="69"/>
      <c r="F1052" s="73"/>
      <c r="G1052" s="79"/>
      <c r="H1052" s="79"/>
      <c r="I1052" s="67"/>
      <c r="J1052" s="79"/>
      <c r="K1052" s="67"/>
      <c r="L1052" s="79"/>
      <c r="M1052" s="83"/>
      <c r="N1052" s="78"/>
      <c r="O1052" s="80"/>
      <c r="P1052" s="70"/>
      <c r="Q1052" s="54"/>
      <c r="R1052" s="67"/>
      <c r="S1052" s="67"/>
      <c r="T1052" s="54"/>
      <c r="U1052" s="86"/>
      <c r="V1052" s="54"/>
      <c r="W1052" s="86"/>
      <c r="X1052" s="54"/>
      <c r="Y1052" s="78"/>
      <c r="Z1052" s="54"/>
      <c r="AA1052" s="70"/>
      <c r="AB1052" s="83"/>
      <c r="AC1052" s="83"/>
      <c r="AD1052" s="83"/>
      <c r="AE1052" s="83"/>
      <c r="AF1052" s="83"/>
      <c r="AG1052" s="83"/>
      <c r="AH1052" s="83"/>
      <c r="AI1052" s="83"/>
      <c r="AJ1052" s="83"/>
      <c r="AK1052" s="83"/>
      <c r="AL1052" s="83"/>
      <c r="AM1052" s="83"/>
      <c r="AN1052" s="83"/>
      <c r="AO1052" s="83"/>
      <c r="AP1052" s="83"/>
      <c r="AQ1052" s="54"/>
      <c r="AR1052" s="83"/>
      <c r="AS1052" s="83"/>
      <c r="AT1052" s="93"/>
      <c r="AU1052" s="93"/>
      <c r="AV1052" s="93"/>
      <c r="AW1052" s="83"/>
      <c r="AX1052" s="83"/>
      <c r="AY1052" s="83"/>
      <c r="AZ1052" s="83"/>
      <c r="BA1052" s="83"/>
      <c r="BB1052" s="83"/>
      <c r="BC1052" s="54"/>
      <c r="BD1052" s="54" t="str">
        <f t="shared" si="1"/>
        <v/>
      </c>
      <c r="BE1052" s="67"/>
      <c r="BF1052" s="67"/>
      <c r="BG1052" s="67"/>
      <c r="BH1052" s="67"/>
      <c r="BI1052" s="67"/>
      <c r="BJ1052" s="67"/>
      <c r="BK1052" s="67"/>
      <c r="BL1052" s="67"/>
      <c r="BM1052" s="67"/>
      <c r="BN1052" s="100"/>
      <c r="BO1052" s="102"/>
      <c r="BP1052" s="67"/>
      <c r="BQ1052" s="79"/>
      <c r="BR1052" s="67"/>
      <c r="BS1052" s="102"/>
      <c r="BT1052" s="106"/>
      <c r="BU1052" s="107"/>
      <c r="BV1052" s="108" t="str">
        <f t="shared" si="17"/>
        <v/>
      </c>
      <c r="BW1052" s="108" t="str">
        <f t="shared" si="16"/>
        <v/>
      </c>
      <c r="BX1052" s="102" t="str">
        <f t="shared" si="15"/>
        <v/>
      </c>
      <c r="BY1052" s="107" t="str">
        <f t="shared" si="5"/>
        <v/>
      </c>
      <c r="BZ1052" s="107" t="str">
        <f t="array" ref="BZ1052">IF($A1052&lt;&gt;"",INDEX(LISTA!$M$2:$N$27,MATCH($BC1052,LISTA!$N$2:$N$27,0),1),"")</f>
        <v/>
      </c>
      <c r="CA1052" s="67" t="str">
        <f t="shared" si="6"/>
        <v/>
      </c>
      <c r="CB1052" s="114" t="str">
        <f t="shared" si="7"/>
        <v/>
      </c>
      <c r="CC1052" s="114"/>
    </row>
    <row r="1053" ht="22.5" customHeight="1">
      <c r="A1053" s="59"/>
      <c r="B1053" s="115"/>
      <c r="C1053" s="54"/>
      <c r="D1053" s="56"/>
      <c r="E1053" s="69"/>
      <c r="F1053" s="73"/>
      <c r="G1053" s="79"/>
      <c r="H1053" s="79"/>
      <c r="I1053" s="67"/>
      <c r="J1053" s="79"/>
      <c r="K1053" s="67"/>
      <c r="L1053" s="79"/>
      <c r="M1053" s="83"/>
      <c r="N1053" s="78"/>
      <c r="O1053" s="80"/>
      <c r="P1053" s="70"/>
      <c r="Q1053" s="54"/>
      <c r="R1053" s="67"/>
      <c r="S1053" s="67"/>
      <c r="T1053" s="54"/>
      <c r="U1053" s="86"/>
      <c r="V1053" s="54"/>
      <c r="W1053" s="86"/>
      <c r="X1053" s="54"/>
      <c r="Y1053" s="78"/>
      <c r="Z1053" s="54"/>
      <c r="AA1053" s="70"/>
      <c r="AB1053" s="83"/>
      <c r="AC1053" s="83"/>
      <c r="AD1053" s="83"/>
      <c r="AE1053" s="83"/>
      <c r="AF1053" s="83"/>
      <c r="AG1053" s="83"/>
      <c r="AH1053" s="83"/>
      <c r="AI1053" s="83"/>
      <c r="AJ1053" s="83"/>
      <c r="AK1053" s="83"/>
      <c r="AL1053" s="83"/>
      <c r="AM1053" s="83"/>
      <c r="AN1053" s="83"/>
      <c r="AO1053" s="83"/>
      <c r="AP1053" s="83"/>
      <c r="AQ1053" s="54"/>
      <c r="AR1053" s="83"/>
      <c r="AS1053" s="83"/>
      <c r="AT1053" s="93"/>
      <c r="AU1053" s="93"/>
      <c r="AV1053" s="93"/>
      <c r="AW1053" s="83"/>
      <c r="AX1053" s="83"/>
      <c r="AY1053" s="83"/>
      <c r="AZ1053" s="83"/>
      <c r="BA1053" s="83"/>
      <c r="BB1053" s="83"/>
      <c r="BC1053" s="54"/>
      <c r="BD1053" s="54" t="str">
        <f t="shared" si="1"/>
        <v/>
      </c>
      <c r="BE1053" s="67"/>
      <c r="BF1053" s="67"/>
      <c r="BG1053" s="67"/>
      <c r="BH1053" s="67"/>
      <c r="BI1053" s="67"/>
      <c r="BJ1053" s="67"/>
      <c r="BK1053" s="67"/>
      <c r="BL1053" s="67"/>
      <c r="BM1053" s="67"/>
      <c r="BN1053" s="100"/>
      <c r="BO1053" s="102"/>
      <c r="BP1053" s="67"/>
      <c r="BQ1053" s="79"/>
      <c r="BR1053" s="67"/>
      <c r="BS1053" s="102"/>
      <c r="BT1053" s="106"/>
      <c r="BU1053" s="107"/>
      <c r="BV1053" s="108" t="str">
        <f t="shared" si="17"/>
        <v/>
      </c>
      <c r="BW1053" s="108" t="str">
        <f t="shared" si="16"/>
        <v/>
      </c>
      <c r="BX1053" s="102" t="str">
        <f t="shared" si="15"/>
        <v/>
      </c>
      <c r="BY1053" s="107" t="str">
        <f t="shared" si="5"/>
        <v/>
      </c>
      <c r="BZ1053" s="107" t="str">
        <f t="array" ref="BZ1053">IF($A1053&lt;&gt;"",INDEX(LISTA!$M$2:$N$27,MATCH($BC1053,LISTA!$N$2:$N$27,0),1),"")</f>
        <v/>
      </c>
      <c r="CA1053" s="67" t="str">
        <f t="shared" si="6"/>
        <v/>
      </c>
      <c r="CB1053" s="114" t="str">
        <f t="shared" si="7"/>
        <v/>
      </c>
      <c r="CC1053" s="114"/>
    </row>
    <row r="1054" ht="22.5" customHeight="1">
      <c r="A1054" s="59"/>
      <c r="B1054" s="115"/>
      <c r="C1054" s="54"/>
      <c r="D1054" s="56"/>
      <c r="E1054" s="69"/>
      <c r="F1054" s="73"/>
      <c r="G1054" s="79"/>
      <c r="H1054" s="79"/>
      <c r="I1054" s="67"/>
      <c r="J1054" s="79"/>
      <c r="K1054" s="67"/>
      <c r="L1054" s="79"/>
      <c r="M1054" s="83"/>
      <c r="N1054" s="78"/>
      <c r="O1054" s="80"/>
      <c r="P1054" s="70"/>
      <c r="Q1054" s="54"/>
      <c r="R1054" s="67"/>
      <c r="S1054" s="67"/>
      <c r="T1054" s="54"/>
      <c r="U1054" s="86"/>
      <c r="V1054" s="54"/>
      <c r="W1054" s="86"/>
      <c r="X1054" s="54"/>
      <c r="Y1054" s="78"/>
      <c r="Z1054" s="54"/>
      <c r="AA1054" s="70"/>
      <c r="AB1054" s="83"/>
      <c r="AC1054" s="83"/>
      <c r="AD1054" s="83"/>
      <c r="AE1054" s="83"/>
      <c r="AF1054" s="83"/>
      <c r="AG1054" s="83"/>
      <c r="AH1054" s="83"/>
      <c r="AI1054" s="83"/>
      <c r="AJ1054" s="83"/>
      <c r="AK1054" s="83"/>
      <c r="AL1054" s="83"/>
      <c r="AM1054" s="83"/>
      <c r="AN1054" s="83"/>
      <c r="AO1054" s="83"/>
      <c r="AP1054" s="83"/>
      <c r="AQ1054" s="54"/>
      <c r="AR1054" s="83"/>
      <c r="AS1054" s="83"/>
      <c r="AT1054" s="93"/>
      <c r="AU1054" s="93"/>
      <c r="AV1054" s="93"/>
      <c r="AW1054" s="83"/>
      <c r="AX1054" s="83"/>
      <c r="AY1054" s="83"/>
      <c r="AZ1054" s="83"/>
      <c r="BA1054" s="83"/>
      <c r="BB1054" s="83"/>
      <c r="BC1054" s="54"/>
      <c r="BD1054" s="54" t="str">
        <f t="shared" si="1"/>
        <v/>
      </c>
      <c r="BE1054" s="67"/>
      <c r="BF1054" s="67"/>
      <c r="BG1054" s="67"/>
      <c r="BH1054" s="67"/>
      <c r="BI1054" s="67"/>
      <c r="BJ1054" s="67"/>
      <c r="BK1054" s="67"/>
      <c r="BL1054" s="67"/>
      <c r="BM1054" s="67"/>
      <c r="BN1054" s="100"/>
      <c r="BO1054" s="102"/>
      <c r="BP1054" s="67"/>
      <c r="BQ1054" s="79"/>
      <c r="BR1054" s="67"/>
      <c r="BS1054" s="102"/>
      <c r="BT1054" s="106"/>
      <c r="BU1054" s="107"/>
      <c r="BV1054" s="108" t="str">
        <f t="shared" si="17"/>
        <v/>
      </c>
      <c r="BW1054" s="108" t="str">
        <f t="shared" si="16"/>
        <v/>
      </c>
      <c r="BX1054" s="102" t="str">
        <f t="shared" si="15"/>
        <v/>
      </c>
      <c r="BY1054" s="107" t="str">
        <f t="shared" si="5"/>
        <v/>
      </c>
      <c r="BZ1054" s="107" t="str">
        <f t="array" ref="BZ1054">IF($A1054&lt;&gt;"",INDEX(LISTA!$M$2:$N$27,MATCH($BC1054,LISTA!$N$2:$N$27,0),1),"")</f>
        <v/>
      </c>
      <c r="CA1054" s="67" t="str">
        <f t="shared" si="6"/>
        <v/>
      </c>
      <c r="CB1054" s="114" t="str">
        <f t="shared" si="7"/>
        <v/>
      </c>
      <c r="CC1054" s="114"/>
    </row>
    <row r="1055" ht="22.5" customHeight="1">
      <c r="A1055" s="59"/>
      <c r="B1055" s="115"/>
      <c r="C1055" s="54"/>
      <c r="D1055" s="56"/>
      <c r="E1055" s="69"/>
      <c r="F1055" s="73"/>
      <c r="G1055" s="79"/>
      <c r="H1055" s="79"/>
      <c r="I1055" s="67"/>
      <c r="J1055" s="79"/>
      <c r="K1055" s="67"/>
      <c r="L1055" s="79"/>
      <c r="M1055" s="83"/>
      <c r="N1055" s="78"/>
      <c r="O1055" s="80"/>
      <c r="P1055" s="70"/>
      <c r="Q1055" s="54"/>
      <c r="R1055" s="67"/>
      <c r="S1055" s="67"/>
      <c r="T1055" s="54"/>
      <c r="U1055" s="86"/>
      <c r="V1055" s="54"/>
      <c r="W1055" s="86"/>
      <c r="X1055" s="54"/>
      <c r="Y1055" s="78"/>
      <c r="Z1055" s="54"/>
      <c r="AA1055" s="70"/>
      <c r="AB1055" s="83"/>
      <c r="AC1055" s="83"/>
      <c r="AD1055" s="83"/>
      <c r="AE1055" s="83"/>
      <c r="AF1055" s="83"/>
      <c r="AG1055" s="83"/>
      <c r="AH1055" s="83"/>
      <c r="AI1055" s="83"/>
      <c r="AJ1055" s="83"/>
      <c r="AK1055" s="83"/>
      <c r="AL1055" s="83"/>
      <c r="AM1055" s="83"/>
      <c r="AN1055" s="83"/>
      <c r="AO1055" s="83"/>
      <c r="AP1055" s="83"/>
      <c r="AQ1055" s="54"/>
      <c r="AR1055" s="83"/>
      <c r="AS1055" s="83"/>
      <c r="AT1055" s="93"/>
      <c r="AU1055" s="93"/>
      <c r="AV1055" s="93"/>
      <c r="AW1055" s="83"/>
      <c r="AX1055" s="83"/>
      <c r="AY1055" s="83"/>
      <c r="AZ1055" s="83"/>
      <c r="BA1055" s="83"/>
      <c r="BB1055" s="83"/>
      <c r="BC1055" s="54"/>
      <c r="BD1055" s="54" t="str">
        <f t="shared" si="1"/>
        <v/>
      </c>
      <c r="BE1055" s="67"/>
      <c r="BF1055" s="67"/>
      <c r="BG1055" s="67"/>
      <c r="BH1055" s="67"/>
      <c r="BI1055" s="67"/>
      <c r="BJ1055" s="67"/>
      <c r="BK1055" s="67"/>
      <c r="BL1055" s="67"/>
      <c r="BM1055" s="67"/>
      <c r="BN1055" s="100"/>
      <c r="BO1055" s="102"/>
      <c r="BP1055" s="67"/>
      <c r="BQ1055" s="79"/>
      <c r="BR1055" s="67"/>
      <c r="BS1055" s="102"/>
      <c r="BT1055" s="106"/>
      <c r="BU1055" s="107"/>
      <c r="BV1055" s="108" t="str">
        <f t="shared" si="17"/>
        <v/>
      </c>
      <c r="BW1055" s="108" t="str">
        <f t="shared" si="16"/>
        <v/>
      </c>
      <c r="BX1055" s="102" t="str">
        <f t="shared" si="15"/>
        <v/>
      </c>
      <c r="BY1055" s="107" t="str">
        <f t="shared" si="5"/>
        <v/>
      </c>
      <c r="BZ1055" s="107" t="str">
        <f t="array" ref="BZ1055">IF($A1055&lt;&gt;"",INDEX(LISTA!$M$2:$N$27,MATCH($BC1055,LISTA!$N$2:$N$27,0),1),"")</f>
        <v/>
      </c>
      <c r="CA1055" s="67" t="str">
        <f t="shared" si="6"/>
        <v/>
      </c>
      <c r="CB1055" s="114" t="str">
        <f t="shared" si="7"/>
        <v/>
      </c>
      <c r="CC1055" s="114"/>
    </row>
    <row r="1056" ht="22.5" customHeight="1">
      <c r="A1056" s="59"/>
      <c r="B1056" s="115"/>
      <c r="C1056" s="54"/>
      <c r="D1056" s="56"/>
      <c r="E1056" s="69"/>
      <c r="F1056" s="73"/>
      <c r="G1056" s="79"/>
      <c r="H1056" s="79"/>
      <c r="I1056" s="67"/>
      <c r="J1056" s="79"/>
      <c r="K1056" s="67"/>
      <c r="L1056" s="79"/>
      <c r="M1056" s="83"/>
      <c r="N1056" s="78"/>
      <c r="O1056" s="80"/>
      <c r="P1056" s="70"/>
      <c r="Q1056" s="54"/>
      <c r="R1056" s="67"/>
      <c r="S1056" s="67"/>
      <c r="T1056" s="54"/>
      <c r="U1056" s="86"/>
      <c r="V1056" s="54"/>
      <c r="W1056" s="86"/>
      <c r="X1056" s="54"/>
      <c r="Y1056" s="78"/>
      <c r="Z1056" s="54"/>
      <c r="AA1056" s="70"/>
      <c r="AB1056" s="83"/>
      <c r="AC1056" s="83"/>
      <c r="AD1056" s="83"/>
      <c r="AE1056" s="83"/>
      <c r="AF1056" s="83"/>
      <c r="AG1056" s="83"/>
      <c r="AH1056" s="83"/>
      <c r="AI1056" s="83"/>
      <c r="AJ1056" s="83"/>
      <c r="AK1056" s="83"/>
      <c r="AL1056" s="83"/>
      <c r="AM1056" s="83"/>
      <c r="AN1056" s="83"/>
      <c r="AO1056" s="83"/>
      <c r="AP1056" s="83"/>
      <c r="AQ1056" s="54"/>
      <c r="AR1056" s="83"/>
      <c r="AS1056" s="83"/>
      <c r="AT1056" s="93"/>
      <c r="AU1056" s="93"/>
      <c r="AV1056" s="93"/>
      <c r="AW1056" s="83"/>
      <c r="AX1056" s="83"/>
      <c r="AY1056" s="83"/>
      <c r="AZ1056" s="83"/>
      <c r="BA1056" s="83"/>
      <c r="BB1056" s="83"/>
      <c r="BC1056" s="54"/>
      <c r="BD1056" s="54" t="str">
        <f t="shared" si="1"/>
        <v/>
      </c>
      <c r="BE1056" s="67"/>
      <c r="BF1056" s="67"/>
      <c r="BG1056" s="67"/>
      <c r="BH1056" s="67"/>
      <c r="BI1056" s="67"/>
      <c r="BJ1056" s="67"/>
      <c r="BK1056" s="67"/>
      <c r="BL1056" s="67"/>
      <c r="BM1056" s="67"/>
      <c r="BN1056" s="100"/>
      <c r="BO1056" s="102"/>
      <c r="BP1056" s="67"/>
      <c r="BQ1056" s="79"/>
      <c r="BR1056" s="67"/>
      <c r="BS1056" s="102"/>
      <c r="BT1056" s="106"/>
      <c r="BU1056" s="107"/>
      <c r="BV1056" s="108" t="str">
        <f t="shared" si="17"/>
        <v/>
      </c>
      <c r="BW1056" s="108" t="str">
        <f t="shared" si="16"/>
        <v/>
      </c>
      <c r="BX1056" s="102" t="str">
        <f t="shared" si="15"/>
        <v/>
      </c>
      <c r="BY1056" s="107" t="str">
        <f t="shared" si="5"/>
        <v/>
      </c>
      <c r="BZ1056" s="107" t="str">
        <f t="array" ref="BZ1056">IF($A1056&lt;&gt;"",INDEX(LISTA!$M$2:$N$27,MATCH($BC1056,LISTA!$N$2:$N$27,0),1),"")</f>
        <v/>
      </c>
      <c r="CA1056" s="67" t="str">
        <f t="shared" si="6"/>
        <v/>
      </c>
      <c r="CB1056" s="114" t="str">
        <f t="shared" si="7"/>
        <v/>
      </c>
      <c r="CC1056" s="114"/>
    </row>
    <row r="1057" ht="22.5" customHeight="1">
      <c r="A1057" s="59"/>
      <c r="B1057" s="115"/>
      <c r="C1057" s="54"/>
      <c r="D1057" s="56"/>
      <c r="E1057" s="69"/>
      <c r="F1057" s="73"/>
      <c r="G1057" s="79"/>
      <c r="H1057" s="79"/>
      <c r="I1057" s="67"/>
      <c r="J1057" s="79"/>
      <c r="K1057" s="67"/>
      <c r="L1057" s="79"/>
      <c r="M1057" s="83"/>
      <c r="N1057" s="78"/>
      <c r="O1057" s="80"/>
      <c r="P1057" s="70"/>
      <c r="Q1057" s="54"/>
      <c r="R1057" s="67"/>
      <c r="S1057" s="67"/>
      <c r="T1057" s="54"/>
      <c r="U1057" s="86"/>
      <c r="V1057" s="54"/>
      <c r="W1057" s="86"/>
      <c r="X1057" s="54"/>
      <c r="Y1057" s="78"/>
      <c r="Z1057" s="54"/>
      <c r="AA1057" s="70"/>
      <c r="AB1057" s="83"/>
      <c r="AC1057" s="83"/>
      <c r="AD1057" s="83"/>
      <c r="AE1057" s="83"/>
      <c r="AF1057" s="83"/>
      <c r="AG1057" s="83"/>
      <c r="AH1057" s="83"/>
      <c r="AI1057" s="83"/>
      <c r="AJ1057" s="83"/>
      <c r="AK1057" s="83"/>
      <c r="AL1057" s="83"/>
      <c r="AM1057" s="83"/>
      <c r="AN1057" s="83"/>
      <c r="AO1057" s="83"/>
      <c r="AP1057" s="83"/>
      <c r="AQ1057" s="54"/>
      <c r="AR1057" s="83"/>
      <c r="AS1057" s="83"/>
      <c r="AT1057" s="93"/>
      <c r="AU1057" s="93"/>
      <c r="AV1057" s="93"/>
      <c r="AW1057" s="83"/>
      <c r="AX1057" s="83"/>
      <c r="AY1057" s="83"/>
      <c r="AZ1057" s="83"/>
      <c r="BA1057" s="83"/>
      <c r="BB1057" s="83"/>
      <c r="BC1057" s="54"/>
      <c r="BD1057" s="54" t="str">
        <f t="shared" si="1"/>
        <v/>
      </c>
      <c r="BE1057" s="67"/>
      <c r="BF1057" s="67"/>
      <c r="BG1057" s="67"/>
      <c r="BH1057" s="67"/>
      <c r="BI1057" s="67"/>
      <c r="BJ1057" s="67"/>
      <c r="BK1057" s="67"/>
      <c r="BL1057" s="67"/>
      <c r="BM1057" s="67"/>
      <c r="BN1057" s="100"/>
      <c r="BO1057" s="102"/>
      <c r="BP1057" s="67"/>
      <c r="BQ1057" s="79"/>
      <c r="BR1057" s="67"/>
      <c r="BS1057" s="102"/>
      <c r="BT1057" s="106"/>
      <c r="BU1057" s="107"/>
      <c r="BV1057" s="108" t="str">
        <f t="shared" si="17"/>
        <v/>
      </c>
      <c r="BW1057" s="108" t="str">
        <f t="shared" si="16"/>
        <v/>
      </c>
      <c r="BX1057" s="102" t="str">
        <f t="shared" si="15"/>
        <v/>
      </c>
      <c r="BY1057" s="107" t="str">
        <f t="shared" si="5"/>
        <v/>
      </c>
      <c r="BZ1057" s="107" t="str">
        <f t="array" ref="BZ1057">IF($A1057&lt;&gt;"",INDEX(LISTA!$M$2:$N$27,MATCH($BC1057,LISTA!$N$2:$N$27,0),1),"")</f>
        <v/>
      </c>
      <c r="CA1057" s="67" t="str">
        <f t="shared" si="6"/>
        <v/>
      </c>
      <c r="CB1057" s="114" t="str">
        <f t="shared" si="7"/>
        <v/>
      </c>
      <c r="CC1057" s="114"/>
    </row>
    <row r="1058" ht="22.5" customHeight="1">
      <c r="A1058" s="59"/>
      <c r="B1058" s="115"/>
      <c r="C1058" s="54"/>
      <c r="D1058" s="56"/>
      <c r="E1058" s="69"/>
      <c r="F1058" s="73"/>
      <c r="G1058" s="79"/>
      <c r="H1058" s="79"/>
      <c r="I1058" s="67"/>
      <c r="J1058" s="79"/>
      <c r="K1058" s="67"/>
      <c r="L1058" s="79"/>
      <c r="M1058" s="83"/>
      <c r="N1058" s="78"/>
      <c r="O1058" s="80"/>
      <c r="P1058" s="70"/>
      <c r="Q1058" s="54"/>
      <c r="R1058" s="67"/>
      <c r="S1058" s="67"/>
      <c r="T1058" s="54"/>
      <c r="U1058" s="86"/>
      <c r="V1058" s="54"/>
      <c r="W1058" s="86"/>
      <c r="X1058" s="54"/>
      <c r="Y1058" s="78"/>
      <c r="Z1058" s="54"/>
      <c r="AA1058" s="70"/>
      <c r="AB1058" s="83"/>
      <c r="AC1058" s="83"/>
      <c r="AD1058" s="83"/>
      <c r="AE1058" s="83"/>
      <c r="AF1058" s="83"/>
      <c r="AG1058" s="83"/>
      <c r="AH1058" s="83"/>
      <c r="AI1058" s="83"/>
      <c r="AJ1058" s="83"/>
      <c r="AK1058" s="83"/>
      <c r="AL1058" s="83"/>
      <c r="AM1058" s="83"/>
      <c r="AN1058" s="83"/>
      <c r="AO1058" s="83"/>
      <c r="AP1058" s="83"/>
      <c r="AQ1058" s="54"/>
      <c r="AR1058" s="83"/>
      <c r="AS1058" s="83"/>
      <c r="AT1058" s="93"/>
      <c r="AU1058" s="93"/>
      <c r="AV1058" s="93"/>
      <c r="AW1058" s="83"/>
      <c r="AX1058" s="83"/>
      <c r="AY1058" s="83"/>
      <c r="AZ1058" s="83"/>
      <c r="BA1058" s="83"/>
      <c r="BB1058" s="83"/>
      <c r="BC1058" s="54"/>
      <c r="BD1058" s="54" t="str">
        <f t="shared" si="1"/>
        <v/>
      </c>
      <c r="BE1058" s="67"/>
      <c r="BF1058" s="67"/>
      <c r="BG1058" s="67"/>
      <c r="BH1058" s="67"/>
      <c r="BI1058" s="67"/>
      <c r="BJ1058" s="67"/>
      <c r="BK1058" s="67"/>
      <c r="BL1058" s="67"/>
      <c r="BM1058" s="67"/>
      <c r="BN1058" s="100"/>
      <c r="BO1058" s="102"/>
      <c r="BP1058" s="67"/>
      <c r="BQ1058" s="79"/>
      <c r="BR1058" s="67"/>
      <c r="BS1058" s="102"/>
      <c r="BT1058" s="106"/>
      <c r="BU1058" s="107"/>
      <c r="BV1058" s="108" t="str">
        <f t="shared" si="17"/>
        <v/>
      </c>
      <c r="BW1058" s="108" t="str">
        <f t="shared" si="16"/>
        <v/>
      </c>
      <c r="BX1058" s="102" t="str">
        <f t="shared" si="15"/>
        <v/>
      </c>
      <c r="BY1058" s="107" t="str">
        <f t="shared" si="5"/>
        <v/>
      </c>
      <c r="BZ1058" s="107" t="str">
        <f t="array" ref="BZ1058">IF($A1058&lt;&gt;"",INDEX(LISTA!$M$2:$N$27,MATCH($BC1058,LISTA!$N$2:$N$27,0),1),"")</f>
        <v/>
      </c>
      <c r="CA1058" s="67" t="str">
        <f t="shared" si="6"/>
        <v/>
      </c>
      <c r="CB1058" s="114" t="str">
        <f t="shared" si="7"/>
        <v/>
      </c>
      <c r="CC1058" s="114"/>
    </row>
    <row r="1059" ht="22.5" customHeight="1">
      <c r="A1059" s="59"/>
      <c r="B1059" s="115"/>
      <c r="C1059" s="54"/>
      <c r="D1059" s="56"/>
      <c r="E1059" s="69"/>
      <c r="F1059" s="73"/>
      <c r="G1059" s="79"/>
      <c r="H1059" s="79"/>
      <c r="I1059" s="67"/>
      <c r="J1059" s="79"/>
      <c r="K1059" s="67"/>
      <c r="L1059" s="79"/>
      <c r="M1059" s="83"/>
      <c r="N1059" s="78"/>
      <c r="O1059" s="80"/>
      <c r="P1059" s="70"/>
      <c r="Q1059" s="54"/>
      <c r="R1059" s="67"/>
      <c r="S1059" s="67"/>
      <c r="T1059" s="54"/>
      <c r="U1059" s="86"/>
      <c r="V1059" s="54"/>
      <c r="W1059" s="86"/>
      <c r="X1059" s="54"/>
      <c r="Y1059" s="78"/>
      <c r="Z1059" s="54"/>
      <c r="AA1059" s="70"/>
      <c r="AB1059" s="83"/>
      <c r="AC1059" s="83"/>
      <c r="AD1059" s="83"/>
      <c r="AE1059" s="83"/>
      <c r="AF1059" s="83"/>
      <c r="AG1059" s="83"/>
      <c r="AH1059" s="83"/>
      <c r="AI1059" s="83"/>
      <c r="AJ1059" s="83"/>
      <c r="AK1059" s="83"/>
      <c r="AL1059" s="83"/>
      <c r="AM1059" s="83"/>
      <c r="AN1059" s="83"/>
      <c r="AO1059" s="83"/>
      <c r="AP1059" s="83"/>
      <c r="AQ1059" s="54"/>
      <c r="AR1059" s="83"/>
      <c r="AS1059" s="83"/>
      <c r="AT1059" s="93"/>
      <c r="AU1059" s="93"/>
      <c r="AV1059" s="93"/>
      <c r="AW1059" s="83"/>
      <c r="AX1059" s="83"/>
      <c r="AY1059" s="83"/>
      <c r="AZ1059" s="83"/>
      <c r="BA1059" s="83"/>
      <c r="BB1059" s="83"/>
      <c r="BC1059" s="54"/>
      <c r="BD1059" s="54" t="str">
        <f t="shared" si="1"/>
        <v/>
      </c>
      <c r="BE1059" s="67"/>
      <c r="BF1059" s="67"/>
      <c r="BG1059" s="67"/>
      <c r="BH1059" s="67"/>
      <c r="BI1059" s="67"/>
      <c r="BJ1059" s="67"/>
      <c r="BK1059" s="67"/>
      <c r="BL1059" s="67"/>
      <c r="BM1059" s="67"/>
      <c r="BN1059" s="100"/>
      <c r="BO1059" s="102"/>
      <c r="BP1059" s="67"/>
      <c r="BQ1059" s="79"/>
      <c r="BR1059" s="67"/>
      <c r="BS1059" s="102"/>
      <c r="BT1059" s="106"/>
      <c r="BU1059" s="107"/>
      <c r="BV1059" s="108" t="str">
        <f t="shared" si="17"/>
        <v/>
      </c>
      <c r="BW1059" s="108" t="str">
        <f t="shared" si="16"/>
        <v/>
      </c>
      <c r="BX1059" s="102" t="str">
        <f t="shared" si="15"/>
        <v/>
      </c>
      <c r="BY1059" s="107" t="str">
        <f t="shared" si="5"/>
        <v/>
      </c>
      <c r="BZ1059" s="107" t="str">
        <f t="array" ref="BZ1059">IF($A1059&lt;&gt;"",INDEX(LISTA!$M$2:$N$27,MATCH($BC1059,LISTA!$N$2:$N$27,0),1),"")</f>
        <v/>
      </c>
      <c r="CA1059" s="67" t="str">
        <f t="shared" si="6"/>
        <v/>
      </c>
      <c r="CB1059" s="114" t="str">
        <f t="shared" si="7"/>
        <v/>
      </c>
      <c r="CC1059" s="114"/>
    </row>
    <row r="1060" ht="22.5" customHeight="1">
      <c r="A1060" s="59"/>
      <c r="B1060" s="115"/>
      <c r="C1060" s="54"/>
      <c r="D1060" s="56"/>
      <c r="E1060" s="69"/>
      <c r="F1060" s="73"/>
      <c r="G1060" s="79"/>
      <c r="H1060" s="79"/>
      <c r="I1060" s="67"/>
      <c r="J1060" s="79"/>
      <c r="K1060" s="67"/>
      <c r="L1060" s="79"/>
      <c r="M1060" s="83"/>
      <c r="N1060" s="78"/>
      <c r="O1060" s="80"/>
      <c r="P1060" s="70"/>
      <c r="Q1060" s="54"/>
      <c r="R1060" s="67"/>
      <c r="S1060" s="67"/>
      <c r="T1060" s="54"/>
      <c r="U1060" s="86"/>
      <c r="V1060" s="54"/>
      <c r="W1060" s="86"/>
      <c r="X1060" s="54"/>
      <c r="Y1060" s="78"/>
      <c r="Z1060" s="54"/>
      <c r="AA1060" s="70"/>
      <c r="AB1060" s="83"/>
      <c r="AC1060" s="83"/>
      <c r="AD1060" s="83"/>
      <c r="AE1060" s="83"/>
      <c r="AF1060" s="83"/>
      <c r="AG1060" s="83"/>
      <c r="AH1060" s="83"/>
      <c r="AI1060" s="83"/>
      <c r="AJ1060" s="83"/>
      <c r="AK1060" s="83"/>
      <c r="AL1060" s="83"/>
      <c r="AM1060" s="83"/>
      <c r="AN1060" s="83"/>
      <c r="AO1060" s="83"/>
      <c r="AP1060" s="83"/>
      <c r="AQ1060" s="54"/>
      <c r="AR1060" s="83"/>
      <c r="AS1060" s="83"/>
      <c r="AT1060" s="93"/>
      <c r="AU1060" s="93"/>
      <c r="AV1060" s="93"/>
      <c r="AW1060" s="83"/>
      <c r="AX1060" s="83"/>
      <c r="AY1060" s="83"/>
      <c r="AZ1060" s="83"/>
      <c r="BA1060" s="83"/>
      <c r="BB1060" s="83"/>
      <c r="BC1060" s="54"/>
      <c r="BD1060" s="54" t="str">
        <f t="shared" si="1"/>
        <v/>
      </c>
      <c r="BE1060" s="67"/>
      <c r="BF1060" s="67"/>
      <c r="BG1060" s="67"/>
      <c r="BH1060" s="67"/>
      <c r="BI1060" s="67"/>
      <c r="BJ1060" s="67"/>
      <c r="BK1060" s="67"/>
      <c r="BL1060" s="67"/>
      <c r="BM1060" s="67"/>
      <c r="BN1060" s="100"/>
      <c r="BO1060" s="102"/>
      <c r="BP1060" s="67"/>
      <c r="BQ1060" s="79"/>
      <c r="BR1060" s="67"/>
      <c r="BS1060" s="102"/>
      <c r="BT1060" s="106"/>
      <c r="BU1060" s="107"/>
      <c r="BV1060" s="108" t="str">
        <f t="shared" si="17"/>
        <v/>
      </c>
      <c r="BW1060" s="108" t="str">
        <f t="shared" si="16"/>
        <v/>
      </c>
      <c r="BX1060" s="102" t="str">
        <f t="shared" si="15"/>
        <v/>
      </c>
      <c r="BY1060" s="107" t="str">
        <f t="shared" si="5"/>
        <v/>
      </c>
      <c r="BZ1060" s="107" t="str">
        <f t="array" ref="BZ1060">IF($A1060&lt;&gt;"",INDEX(LISTA!$M$2:$N$27,MATCH($BC1060,LISTA!$N$2:$N$27,0),1),"")</f>
        <v/>
      </c>
      <c r="CA1060" s="67" t="str">
        <f t="shared" si="6"/>
        <v/>
      </c>
      <c r="CB1060" s="114" t="str">
        <f t="shared" si="7"/>
        <v/>
      </c>
      <c r="CC1060" s="114"/>
    </row>
    <row r="1061" ht="22.5" customHeight="1">
      <c r="A1061" s="59"/>
      <c r="B1061" s="115"/>
      <c r="C1061" s="54"/>
      <c r="D1061" s="56"/>
      <c r="E1061" s="69"/>
      <c r="F1061" s="73"/>
      <c r="G1061" s="79"/>
      <c r="H1061" s="79"/>
      <c r="I1061" s="67"/>
      <c r="J1061" s="79"/>
      <c r="K1061" s="67"/>
      <c r="L1061" s="79"/>
      <c r="M1061" s="83"/>
      <c r="N1061" s="78"/>
      <c r="O1061" s="80"/>
      <c r="P1061" s="70"/>
      <c r="Q1061" s="54"/>
      <c r="R1061" s="67"/>
      <c r="S1061" s="67"/>
      <c r="T1061" s="54"/>
      <c r="U1061" s="86"/>
      <c r="V1061" s="54"/>
      <c r="W1061" s="86"/>
      <c r="X1061" s="54"/>
      <c r="Y1061" s="78"/>
      <c r="Z1061" s="54"/>
      <c r="AA1061" s="70"/>
      <c r="AB1061" s="83"/>
      <c r="AC1061" s="83"/>
      <c r="AD1061" s="83"/>
      <c r="AE1061" s="83"/>
      <c r="AF1061" s="83"/>
      <c r="AG1061" s="83"/>
      <c r="AH1061" s="83"/>
      <c r="AI1061" s="83"/>
      <c r="AJ1061" s="83"/>
      <c r="AK1061" s="83"/>
      <c r="AL1061" s="83"/>
      <c r="AM1061" s="83"/>
      <c r="AN1061" s="83"/>
      <c r="AO1061" s="83"/>
      <c r="AP1061" s="83"/>
      <c r="AQ1061" s="54"/>
      <c r="AR1061" s="83"/>
      <c r="AS1061" s="83"/>
      <c r="AT1061" s="93"/>
      <c r="AU1061" s="93"/>
      <c r="AV1061" s="93"/>
      <c r="AW1061" s="83"/>
      <c r="AX1061" s="83"/>
      <c r="AY1061" s="83"/>
      <c r="AZ1061" s="83"/>
      <c r="BA1061" s="83"/>
      <c r="BB1061" s="83"/>
      <c r="BC1061" s="54"/>
      <c r="BD1061" s="54" t="str">
        <f t="shared" si="1"/>
        <v/>
      </c>
      <c r="BE1061" s="67"/>
      <c r="BF1061" s="67"/>
      <c r="BG1061" s="67"/>
      <c r="BH1061" s="67"/>
      <c r="BI1061" s="67"/>
      <c r="BJ1061" s="67"/>
      <c r="BK1061" s="67"/>
      <c r="BL1061" s="67"/>
      <c r="BM1061" s="67"/>
      <c r="BN1061" s="100"/>
      <c r="BO1061" s="102"/>
      <c r="BP1061" s="67"/>
      <c r="BQ1061" s="79"/>
      <c r="BR1061" s="67"/>
      <c r="BS1061" s="102"/>
      <c r="BT1061" s="106"/>
      <c r="BU1061" s="107"/>
      <c r="BV1061" s="108" t="str">
        <f t="shared" si="17"/>
        <v/>
      </c>
      <c r="BW1061" s="108" t="str">
        <f t="shared" si="16"/>
        <v/>
      </c>
      <c r="BX1061" s="102" t="str">
        <f t="shared" si="15"/>
        <v/>
      </c>
      <c r="BY1061" s="107" t="str">
        <f t="shared" si="5"/>
        <v/>
      </c>
      <c r="BZ1061" s="107" t="str">
        <f t="array" ref="BZ1061">IF($A1061&lt;&gt;"",INDEX(LISTA!$M$2:$N$27,MATCH($BC1061,LISTA!$N$2:$N$27,0),1),"")</f>
        <v/>
      </c>
      <c r="CA1061" s="67" t="str">
        <f t="shared" si="6"/>
        <v/>
      </c>
      <c r="CB1061" s="114" t="str">
        <f t="shared" si="7"/>
        <v/>
      </c>
      <c r="CC1061" s="114"/>
    </row>
    <row r="1062" ht="22.5" customHeight="1">
      <c r="A1062" s="59"/>
      <c r="B1062" s="115"/>
      <c r="C1062" s="54"/>
      <c r="D1062" s="56"/>
      <c r="E1062" s="69"/>
      <c r="F1062" s="73"/>
      <c r="G1062" s="79"/>
      <c r="H1062" s="79"/>
      <c r="I1062" s="67"/>
      <c r="J1062" s="79"/>
      <c r="K1062" s="67"/>
      <c r="L1062" s="79"/>
      <c r="M1062" s="83"/>
      <c r="N1062" s="78"/>
      <c r="O1062" s="80"/>
      <c r="P1062" s="70"/>
      <c r="Q1062" s="54"/>
      <c r="R1062" s="67"/>
      <c r="S1062" s="67"/>
      <c r="T1062" s="54"/>
      <c r="U1062" s="86"/>
      <c r="V1062" s="54"/>
      <c r="W1062" s="86"/>
      <c r="X1062" s="54"/>
      <c r="Y1062" s="78"/>
      <c r="Z1062" s="54"/>
      <c r="AA1062" s="70"/>
      <c r="AB1062" s="83"/>
      <c r="AC1062" s="83"/>
      <c r="AD1062" s="83"/>
      <c r="AE1062" s="83"/>
      <c r="AF1062" s="83"/>
      <c r="AG1062" s="83"/>
      <c r="AH1062" s="83"/>
      <c r="AI1062" s="83"/>
      <c r="AJ1062" s="83"/>
      <c r="AK1062" s="83"/>
      <c r="AL1062" s="83"/>
      <c r="AM1062" s="83"/>
      <c r="AN1062" s="83"/>
      <c r="AO1062" s="83"/>
      <c r="AP1062" s="83"/>
      <c r="AQ1062" s="54"/>
      <c r="AR1062" s="83"/>
      <c r="AS1062" s="83"/>
      <c r="AT1062" s="93"/>
      <c r="AU1062" s="93"/>
      <c r="AV1062" s="93"/>
      <c r="AW1062" s="83"/>
      <c r="AX1062" s="83"/>
      <c r="AY1062" s="83"/>
      <c r="AZ1062" s="83"/>
      <c r="BA1062" s="83"/>
      <c r="BB1062" s="83"/>
      <c r="BC1062" s="54"/>
      <c r="BD1062" s="54" t="str">
        <f t="shared" si="1"/>
        <v/>
      </c>
      <c r="BE1062" s="67"/>
      <c r="BF1062" s="67"/>
      <c r="BG1062" s="67"/>
      <c r="BH1062" s="67"/>
      <c r="BI1062" s="67"/>
      <c r="BJ1062" s="67"/>
      <c r="BK1062" s="67"/>
      <c r="BL1062" s="67"/>
      <c r="BM1062" s="67"/>
      <c r="BN1062" s="100"/>
      <c r="BO1062" s="102"/>
      <c r="BP1062" s="67"/>
      <c r="BQ1062" s="79"/>
      <c r="BR1062" s="67"/>
      <c r="BS1062" s="102"/>
      <c r="BT1062" s="106"/>
      <c r="BU1062" s="107"/>
      <c r="BV1062" s="108" t="str">
        <f t="shared" si="17"/>
        <v/>
      </c>
      <c r="BW1062" s="108" t="str">
        <f t="shared" si="16"/>
        <v/>
      </c>
      <c r="BX1062" s="102" t="str">
        <f t="shared" si="15"/>
        <v/>
      </c>
      <c r="BY1062" s="107" t="str">
        <f t="shared" si="5"/>
        <v/>
      </c>
      <c r="BZ1062" s="107" t="str">
        <f t="array" ref="BZ1062">IF($A1062&lt;&gt;"",INDEX(LISTA!$M$2:$N$27,MATCH($BC1062,LISTA!$N$2:$N$27,0),1),"")</f>
        <v/>
      </c>
      <c r="CA1062" s="67" t="str">
        <f t="shared" si="6"/>
        <v/>
      </c>
      <c r="CB1062" s="114" t="str">
        <f t="shared" si="7"/>
        <v/>
      </c>
      <c r="CC1062" s="114"/>
    </row>
    <row r="1063" ht="22.5" customHeight="1">
      <c r="A1063" s="59"/>
      <c r="B1063" s="115"/>
      <c r="C1063" s="54"/>
      <c r="D1063" s="56"/>
      <c r="E1063" s="69"/>
      <c r="F1063" s="73"/>
      <c r="G1063" s="79"/>
      <c r="H1063" s="79"/>
      <c r="I1063" s="67"/>
      <c r="J1063" s="79"/>
      <c r="K1063" s="67"/>
      <c r="L1063" s="79"/>
      <c r="M1063" s="83"/>
      <c r="N1063" s="78"/>
      <c r="O1063" s="80"/>
      <c r="P1063" s="70"/>
      <c r="Q1063" s="54"/>
      <c r="R1063" s="67"/>
      <c r="S1063" s="67"/>
      <c r="T1063" s="54"/>
      <c r="U1063" s="86"/>
      <c r="V1063" s="54"/>
      <c r="W1063" s="86"/>
      <c r="X1063" s="54"/>
      <c r="Y1063" s="78"/>
      <c r="Z1063" s="54"/>
      <c r="AA1063" s="70"/>
      <c r="AB1063" s="83"/>
      <c r="AC1063" s="83"/>
      <c r="AD1063" s="83"/>
      <c r="AE1063" s="83"/>
      <c r="AF1063" s="83"/>
      <c r="AG1063" s="83"/>
      <c r="AH1063" s="83"/>
      <c r="AI1063" s="83"/>
      <c r="AJ1063" s="83"/>
      <c r="AK1063" s="83"/>
      <c r="AL1063" s="83"/>
      <c r="AM1063" s="83"/>
      <c r="AN1063" s="83"/>
      <c r="AO1063" s="83"/>
      <c r="AP1063" s="83"/>
      <c r="AQ1063" s="54"/>
      <c r="AR1063" s="83"/>
      <c r="AS1063" s="83"/>
      <c r="AT1063" s="93"/>
      <c r="AU1063" s="93"/>
      <c r="AV1063" s="93"/>
      <c r="AW1063" s="83"/>
      <c r="AX1063" s="83"/>
      <c r="AY1063" s="83"/>
      <c r="AZ1063" s="83"/>
      <c r="BA1063" s="83"/>
      <c r="BB1063" s="83"/>
      <c r="BC1063" s="54"/>
      <c r="BD1063" s="54" t="str">
        <f t="shared" si="1"/>
        <v/>
      </c>
      <c r="BE1063" s="67"/>
      <c r="BF1063" s="67"/>
      <c r="BG1063" s="67"/>
      <c r="BH1063" s="67"/>
      <c r="BI1063" s="67"/>
      <c r="BJ1063" s="67"/>
      <c r="BK1063" s="67"/>
      <c r="BL1063" s="67"/>
      <c r="BM1063" s="67"/>
      <c r="BN1063" s="100"/>
      <c r="BO1063" s="102"/>
      <c r="BP1063" s="67"/>
      <c r="BQ1063" s="79"/>
      <c r="BR1063" s="67"/>
      <c r="BS1063" s="102"/>
      <c r="BT1063" s="106"/>
      <c r="BU1063" s="107"/>
      <c r="BV1063" s="108" t="str">
        <f t="shared" si="17"/>
        <v/>
      </c>
      <c r="BW1063" s="108" t="str">
        <f t="shared" si="16"/>
        <v/>
      </c>
      <c r="BX1063" s="102" t="str">
        <f t="shared" si="15"/>
        <v/>
      </c>
      <c r="BY1063" s="107" t="str">
        <f t="shared" si="5"/>
        <v/>
      </c>
      <c r="BZ1063" s="107" t="str">
        <f t="array" ref="BZ1063">IF($A1063&lt;&gt;"",INDEX(LISTA!$M$2:$N$27,MATCH($BC1063,LISTA!$N$2:$N$27,0),1),"")</f>
        <v/>
      </c>
      <c r="CA1063" s="67" t="str">
        <f t="shared" si="6"/>
        <v/>
      </c>
      <c r="CB1063" s="114" t="str">
        <f t="shared" si="7"/>
        <v/>
      </c>
      <c r="CC1063" s="114"/>
    </row>
    <row r="1064" ht="22.5" customHeight="1">
      <c r="A1064" s="59"/>
      <c r="B1064" s="115"/>
      <c r="C1064" s="54"/>
      <c r="D1064" s="56"/>
      <c r="E1064" s="69"/>
      <c r="F1064" s="73"/>
      <c r="G1064" s="79"/>
      <c r="H1064" s="79"/>
      <c r="I1064" s="67"/>
      <c r="J1064" s="79"/>
      <c r="K1064" s="67"/>
      <c r="L1064" s="79"/>
      <c r="M1064" s="83"/>
      <c r="N1064" s="78"/>
      <c r="O1064" s="80"/>
      <c r="P1064" s="70"/>
      <c r="Q1064" s="54"/>
      <c r="R1064" s="67"/>
      <c r="S1064" s="67"/>
      <c r="T1064" s="54"/>
      <c r="U1064" s="86"/>
      <c r="V1064" s="54"/>
      <c r="W1064" s="86"/>
      <c r="X1064" s="54"/>
      <c r="Y1064" s="78"/>
      <c r="Z1064" s="54"/>
      <c r="AA1064" s="70"/>
      <c r="AB1064" s="83"/>
      <c r="AC1064" s="83"/>
      <c r="AD1064" s="83"/>
      <c r="AE1064" s="83"/>
      <c r="AF1064" s="83"/>
      <c r="AG1064" s="83"/>
      <c r="AH1064" s="83"/>
      <c r="AI1064" s="83"/>
      <c r="AJ1064" s="83"/>
      <c r="AK1064" s="83"/>
      <c r="AL1064" s="83"/>
      <c r="AM1064" s="83"/>
      <c r="AN1064" s="83"/>
      <c r="AO1064" s="83"/>
      <c r="AP1064" s="83"/>
      <c r="AQ1064" s="54"/>
      <c r="AR1064" s="83"/>
      <c r="AS1064" s="83"/>
      <c r="AT1064" s="93"/>
      <c r="AU1064" s="93"/>
      <c r="AV1064" s="93"/>
      <c r="AW1064" s="83"/>
      <c r="AX1064" s="83"/>
      <c r="AY1064" s="83"/>
      <c r="AZ1064" s="83"/>
      <c r="BA1064" s="83"/>
      <c r="BB1064" s="83"/>
      <c r="BC1064" s="54"/>
      <c r="BD1064" s="54" t="str">
        <f t="shared" si="1"/>
        <v/>
      </c>
      <c r="BE1064" s="67"/>
      <c r="BF1064" s="67"/>
      <c r="BG1064" s="67"/>
      <c r="BH1064" s="67"/>
      <c r="BI1064" s="67"/>
      <c r="BJ1064" s="67"/>
      <c r="BK1064" s="67"/>
      <c r="BL1064" s="67"/>
      <c r="BM1064" s="67"/>
      <c r="BN1064" s="100"/>
      <c r="BO1064" s="102"/>
      <c r="BP1064" s="67"/>
      <c r="BQ1064" s="79"/>
      <c r="BR1064" s="67"/>
      <c r="BS1064" s="102"/>
      <c r="BT1064" s="106"/>
      <c r="BU1064" s="107"/>
      <c r="BV1064" s="108" t="str">
        <f t="shared" si="17"/>
        <v/>
      </c>
      <c r="BW1064" s="108" t="str">
        <f t="shared" si="16"/>
        <v/>
      </c>
      <c r="BX1064" s="102" t="str">
        <f t="shared" si="15"/>
        <v/>
      </c>
      <c r="BY1064" s="107" t="str">
        <f t="shared" si="5"/>
        <v/>
      </c>
      <c r="BZ1064" s="107" t="str">
        <f t="array" ref="BZ1064">IF($A1064&lt;&gt;"",INDEX(LISTA!$M$2:$N$27,MATCH($BC1064,LISTA!$N$2:$N$27,0),1),"")</f>
        <v/>
      </c>
      <c r="CA1064" s="67" t="str">
        <f t="shared" si="6"/>
        <v/>
      </c>
      <c r="CB1064" s="114" t="str">
        <f t="shared" si="7"/>
        <v/>
      </c>
      <c r="CC1064" s="114"/>
    </row>
    <row r="1065" ht="22.5" customHeight="1">
      <c r="A1065" s="59"/>
      <c r="B1065" s="115"/>
      <c r="C1065" s="54"/>
      <c r="D1065" s="56"/>
      <c r="E1065" s="69"/>
      <c r="F1065" s="73"/>
      <c r="G1065" s="79"/>
      <c r="H1065" s="79"/>
      <c r="I1065" s="67"/>
      <c r="J1065" s="79"/>
      <c r="K1065" s="67"/>
      <c r="L1065" s="79"/>
      <c r="M1065" s="83"/>
      <c r="N1065" s="78"/>
      <c r="O1065" s="80"/>
      <c r="P1065" s="70"/>
      <c r="Q1065" s="54"/>
      <c r="R1065" s="67"/>
      <c r="S1065" s="67"/>
      <c r="T1065" s="54"/>
      <c r="U1065" s="86"/>
      <c r="V1065" s="54"/>
      <c r="W1065" s="86"/>
      <c r="X1065" s="54"/>
      <c r="Y1065" s="78"/>
      <c r="Z1065" s="54"/>
      <c r="AA1065" s="70"/>
      <c r="AB1065" s="83"/>
      <c r="AC1065" s="83"/>
      <c r="AD1065" s="83"/>
      <c r="AE1065" s="83"/>
      <c r="AF1065" s="83"/>
      <c r="AG1065" s="83"/>
      <c r="AH1065" s="83"/>
      <c r="AI1065" s="83"/>
      <c r="AJ1065" s="83"/>
      <c r="AK1065" s="83"/>
      <c r="AL1065" s="83"/>
      <c r="AM1065" s="83"/>
      <c r="AN1065" s="83"/>
      <c r="AO1065" s="83"/>
      <c r="AP1065" s="83"/>
      <c r="AQ1065" s="54"/>
      <c r="AR1065" s="83"/>
      <c r="AS1065" s="83"/>
      <c r="AT1065" s="93"/>
      <c r="AU1065" s="93"/>
      <c r="AV1065" s="93"/>
      <c r="AW1065" s="83"/>
      <c r="AX1065" s="83"/>
      <c r="AY1065" s="83"/>
      <c r="AZ1065" s="83"/>
      <c r="BA1065" s="83"/>
      <c r="BB1065" s="83"/>
      <c r="BC1065" s="54"/>
      <c r="BD1065" s="54" t="str">
        <f t="shared" si="1"/>
        <v/>
      </c>
      <c r="BE1065" s="67"/>
      <c r="BF1065" s="67"/>
      <c r="BG1065" s="67"/>
      <c r="BH1065" s="67"/>
      <c r="BI1065" s="67"/>
      <c r="BJ1065" s="67"/>
      <c r="BK1065" s="67"/>
      <c r="BL1065" s="67"/>
      <c r="BM1065" s="67"/>
      <c r="BN1065" s="100"/>
      <c r="BO1065" s="102"/>
      <c r="BP1065" s="67"/>
      <c r="BQ1065" s="79"/>
      <c r="BR1065" s="67"/>
      <c r="BS1065" s="102"/>
      <c r="BT1065" s="106"/>
      <c r="BU1065" s="107"/>
      <c r="BV1065" s="108" t="str">
        <f t="shared" si="17"/>
        <v/>
      </c>
      <c r="BW1065" s="108" t="str">
        <f t="shared" si="16"/>
        <v/>
      </c>
      <c r="BX1065" s="102" t="str">
        <f t="shared" si="15"/>
        <v/>
      </c>
      <c r="BY1065" s="107" t="str">
        <f t="shared" si="5"/>
        <v/>
      </c>
      <c r="BZ1065" s="107" t="str">
        <f t="array" ref="BZ1065">IF($A1065&lt;&gt;"",INDEX(LISTA!$M$2:$N$27,MATCH($BC1065,LISTA!$N$2:$N$27,0),1),"")</f>
        <v/>
      </c>
      <c r="CA1065" s="67" t="str">
        <f t="shared" si="6"/>
        <v/>
      </c>
      <c r="CB1065" s="114" t="str">
        <f t="shared" si="7"/>
        <v/>
      </c>
      <c r="CC1065" s="114"/>
    </row>
    <row r="1066" ht="22.5" customHeight="1">
      <c r="A1066" s="59"/>
      <c r="B1066" s="115"/>
      <c r="C1066" s="54"/>
      <c r="D1066" s="56"/>
      <c r="E1066" s="69"/>
      <c r="F1066" s="73"/>
      <c r="G1066" s="79"/>
      <c r="H1066" s="79"/>
      <c r="I1066" s="67"/>
      <c r="J1066" s="79"/>
      <c r="K1066" s="67"/>
      <c r="L1066" s="79"/>
      <c r="M1066" s="83"/>
      <c r="N1066" s="78"/>
      <c r="O1066" s="80"/>
      <c r="P1066" s="70"/>
      <c r="Q1066" s="54"/>
      <c r="R1066" s="67"/>
      <c r="S1066" s="67"/>
      <c r="T1066" s="54"/>
      <c r="U1066" s="86"/>
      <c r="V1066" s="54"/>
      <c r="W1066" s="86"/>
      <c r="X1066" s="54"/>
      <c r="Y1066" s="78"/>
      <c r="Z1066" s="54"/>
      <c r="AA1066" s="70"/>
      <c r="AB1066" s="83"/>
      <c r="AC1066" s="83"/>
      <c r="AD1066" s="83"/>
      <c r="AE1066" s="83"/>
      <c r="AF1066" s="83"/>
      <c r="AG1066" s="83"/>
      <c r="AH1066" s="83"/>
      <c r="AI1066" s="83"/>
      <c r="AJ1066" s="83"/>
      <c r="AK1066" s="83"/>
      <c r="AL1066" s="83"/>
      <c r="AM1066" s="83"/>
      <c r="AN1066" s="83"/>
      <c r="AO1066" s="83"/>
      <c r="AP1066" s="83"/>
      <c r="AQ1066" s="54"/>
      <c r="AR1066" s="83"/>
      <c r="AS1066" s="83"/>
      <c r="AT1066" s="93"/>
      <c r="AU1066" s="93"/>
      <c r="AV1066" s="93"/>
      <c r="AW1066" s="83"/>
      <c r="AX1066" s="83"/>
      <c r="AY1066" s="83"/>
      <c r="AZ1066" s="83"/>
      <c r="BA1066" s="83"/>
      <c r="BB1066" s="83"/>
      <c r="BC1066" s="54"/>
      <c r="BD1066" s="54" t="str">
        <f t="shared" si="1"/>
        <v/>
      </c>
      <c r="BE1066" s="67"/>
      <c r="BF1066" s="67"/>
      <c r="BG1066" s="67"/>
      <c r="BH1066" s="67"/>
      <c r="BI1066" s="67"/>
      <c r="BJ1066" s="67"/>
      <c r="BK1066" s="67"/>
      <c r="BL1066" s="67"/>
      <c r="BM1066" s="67"/>
      <c r="BN1066" s="100"/>
      <c r="BO1066" s="102"/>
      <c r="BP1066" s="67"/>
      <c r="BQ1066" s="79"/>
      <c r="BR1066" s="67"/>
      <c r="BS1066" s="102"/>
      <c r="BT1066" s="106"/>
      <c r="BU1066" s="107"/>
      <c r="BV1066" s="108" t="str">
        <f t="shared" si="17"/>
        <v/>
      </c>
      <c r="BW1066" s="108" t="str">
        <f t="shared" si="16"/>
        <v/>
      </c>
      <c r="BX1066" s="102" t="str">
        <f t="shared" si="15"/>
        <v/>
      </c>
      <c r="BY1066" s="107" t="str">
        <f t="shared" si="5"/>
        <v/>
      </c>
      <c r="BZ1066" s="107" t="str">
        <f t="array" ref="BZ1066">IF($A1066&lt;&gt;"",INDEX(LISTA!$M$2:$N$27,MATCH($BC1066,LISTA!$N$2:$N$27,0),1),"")</f>
        <v/>
      </c>
      <c r="CA1066" s="67" t="str">
        <f t="shared" si="6"/>
        <v/>
      </c>
      <c r="CB1066" s="114" t="str">
        <f t="shared" si="7"/>
        <v/>
      </c>
      <c r="CC1066" s="114"/>
    </row>
    <row r="1067" ht="22.5" customHeight="1">
      <c r="A1067" s="59"/>
      <c r="B1067" s="115"/>
      <c r="C1067" s="54"/>
      <c r="D1067" s="56"/>
      <c r="E1067" s="69"/>
      <c r="F1067" s="73"/>
      <c r="G1067" s="79"/>
      <c r="H1067" s="79"/>
      <c r="I1067" s="67"/>
      <c r="J1067" s="79"/>
      <c r="K1067" s="67"/>
      <c r="L1067" s="79"/>
      <c r="M1067" s="83"/>
      <c r="N1067" s="78"/>
      <c r="O1067" s="80"/>
      <c r="P1067" s="70"/>
      <c r="Q1067" s="54"/>
      <c r="R1067" s="67"/>
      <c r="S1067" s="67"/>
      <c r="T1067" s="54"/>
      <c r="U1067" s="86"/>
      <c r="V1067" s="54"/>
      <c r="W1067" s="86"/>
      <c r="X1067" s="54"/>
      <c r="Y1067" s="78"/>
      <c r="Z1067" s="54"/>
      <c r="AA1067" s="70"/>
      <c r="AB1067" s="83"/>
      <c r="AC1067" s="83"/>
      <c r="AD1067" s="83"/>
      <c r="AE1067" s="83"/>
      <c r="AF1067" s="83"/>
      <c r="AG1067" s="83"/>
      <c r="AH1067" s="83"/>
      <c r="AI1067" s="83"/>
      <c r="AJ1067" s="83"/>
      <c r="AK1067" s="83"/>
      <c r="AL1067" s="83"/>
      <c r="AM1067" s="83"/>
      <c r="AN1067" s="83"/>
      <c r="AO1067" s="83"/>
      <c r="AP1067" s="83"/>
      <c r="AQ1067" s="54"/>
      <c r="AR1067" s="83"/>
      <c r="AS1067" s="83"/>
      <c r="AT1067" s="93"/>
      <c r="AU1067" s="93"/>
      <c r="AV1067" s="93"/>
      <c r="AW1067" s="83"/>
      <c r="AX1067" s="83"/>
      <c r="AY1067" s="83"/>
      <c r="AZ1067" s="83"/>
      <c r="BA1067" s="83"/>
      <c r="BB1067" s="83"/>
      <c r="BC1067" s="54"/>
      <c r="BD1067" s="54" t="str">
        <f t="shared" si="1"/>
        <v/>
      </c>
      <c r="BE1067" s="67"/>
      <c r="BF1067" s="67"/>
      <c r="BG1067" s="67"/>
      <c r="BH1067" s="67"/>
      <c r="BI1067" s="67"/>
      <c r="BJ1067" s="67"/>
      <c r="BK1067" s="67"/>
      <c r="BL1067" s="67"/>
      <c r="BM1067" s="67"/>
      <c r="BN1067" s="100"/>
      <c r="BO1067" s="102"/>
      <c r="BP1067" s="67"/>
      <c r="BQ1067" s="79"/>
      <c r="BR1067" s="67"/>
      <c r="BS1067" s="102"/>
      <c r="BT1067" s="106"/>
      <c r="BU1067" s="107"/>
      <c r="BV1067" s="108" t="str">
        <f t="shared" si="17"/>
        <v/>
      </c>
      <c r="BW1067" s="108" t="str">
        <f t="shared" si="16"/>
        <v/>
      </c>
      <c r="BX1067" s="102" t="str">
        <f t="shared" si="15"/>
        <v/>
      </c>
      <c r="BY1067" s="107" t="str">
        <f t="shared" si="5"/>
        <v/>
      </c>
      <c r="BZ1067" s="107" t="str">
        <f t="array" ref="BZ1067">IF($A1067&lt;&gt;"",INDEX(LISTA!$M$2:$N$27,MATCH($BC1067,LISTA!$N$2:$N$27,0),1),"")</f>
        <v/>
      </c>
      <c r="CA1067" s="67" t="str">
        <f t="shared" si="6"/>
        <v/>
      </c>
      <c r="CB1067" s="114" t="str">
        <f t="shared" si="7"/>
        <v/>
      </c>
      <c r="CC1067" s="114"/>
    </row>
    <row r="1068" ht="22.5" customHeight="1">
      <c r="A1068" s="59"/>
      <c r="B1068" s="115"/>
      <c r="C1068" s="54"/>
      <c r="D1068" s="56"/>
      <c r="E1068" s="69"/>
      <c r="F1068" s="73"/>
      <c r="G1068" s="79"/>
      <c r="H1068" s="79"/>
      <c r="I1068" s="67"/>
      <c r="J1068" s="79"/>
      <c r="K1068" s="67"/>
      <c r="L1068" s="79"/>
      <c r="M1068" s="83"/>
      <c r="N1068" s="78"/>
      <c r="O1068" s="80"/>
      <c r="P1068" s="70"/>
      <c r="Q1068" s="54"/>
      <c r="R1068" s="67"/>
      <c r="S1068" s="67"/>
      <c r="T1068" s="54"/>
      <c r="U1068" s="86"/>
      <c r="V1068" s="54"/>
      <c r="W1068" s="86"/>
      <c r="X1068" s="54"/>
      <c r="Y1068" s="78"/>
      <c r="Z1068" s="54"/>
      <c r="AA1068" s="70"/>
      <c r="AB1068" s="83"/>
      <c r="AC1068" s="83"/>
      <c r="AD1068" s="83"/>
      <c r="AE1068" s="83"/>
      <c r="AF1068" s="83"/>
      <c r="AG1068" s="83"/>
      <c r="AH1068" s="83"/>
      <c r="AI1068" s="83"/>
      <c r="AJ1068" s="83"/>
      <c r="AK1068" s="83"/>
      <c r="AL1068" s="83"/>
      <c r="AM1068" s="83"/>
      <c r="AN1068" s="83"/>
      <c r="AO1068" s="83"/>
      <c r="AP1068" s="83"/>
      <c r="AQ1068" s="54"/>
      <c r="AR1068" s="83"/>
      <c r="AS1068" s="83"/>
      <c r="AT1068" s="93"/>
      <c r="AU1068" s="93"/>
      <c r="AV1068" s="93"/>
      <c r="AW1068" s="83"/>
      <c r="AX1068" s="83"/>
      <c r="AY1068" s="83"/>
      <c r="AZ1068" s="83"/>
      <c r="BA1068" s="83"/>
      <c r="BB1068" s="83"/>
      <c r="BC1068" s="54"/>
      <c r="BD1068" s="54" t="str">
        <f t="shared" si="1"/>
        <v/>
      </c>
      <c r="BE1068" s="67"/>
      <c r="BF1068" s="67"/>
      <c r="BG1068" s="67"/>
      <c r="BH1068" s="67"/>
      <c r="BI1068" s="67"/>
      <c r="BJ1068" s="67"/>
      <c r="BK1068" s="67"/>
      <c r="BL1068" s="67"/>
      <c r="BM1068" s="67"/>
      <c r="BN1068" s="100"/>
      <c r="BO1068" s="102"/>
      <c r="BP1068" s="67"/>
      <c r="BQ1068" s="79"/>
      <c r="BR1068" s="67"/>
      <c r="BS1068" s="102"/>
      <c r="BT1068" s="106"/>
      <c r="BU1068" s="107"/>
      <c r="BV1068" s="108" t="str">
        <f t="shared" si="17"/>
        <v/>
      </c>
      <c r="BW1068" s="108" t="str">
        <f t="shared" si="16"/>
        <v/>
      </c>
      <c r="BX1068" s="102" t="str">
        <f t="shared" si="15"/>
        <v/>
      </c>
      <c r="BY1068" s="107" t="str">
        <f t="shared" si="5"/>
        <v/>
      </c>
      <c r="BZ1068" s="107" t="str">
        <f t="array" ref="BZ1068">IF($A1068&lt;&gt;"",INDEX(LISTA!$M$2:$N$27,MATCH($BC1068,LISTA!$N$2:$N$27,0),1),"")</f>
        <v/>
      </c>
      <c r="CA1068" s="67" t="str">
        <f t="shared" si="6"/>
        <v/>
      </c>
      <c r="CB1068" s="114" t="str">
        <f t="shared" si="7"/>
        <v/>
      </c>
      <c r="CC1068" s="114"/>
    </row>
    <row r="1069" ht="22.5" customHeight="1">
      <c r="A1069" s="59"/>
      <c r="B1069" s="115"/>
      <c r="C1069" s="54"/>
      <c r="D1069" s="56"/>
      <c r="E1069" s="69"/>
      <c r="F1069" s="73"/>
      <c r="G1069" s="79"/>
      <c r="H1069" s="79"/>
      <c r="I1069" s="67"/>
      <c r="J1069" s="79"/>
      <c r="K1069" s="67"/>
      <c r="L1069" s="79"/>
      <c r="M1069" s="83"/>
      <c r="N1069" s="78"/>
      <c r="O1069" s="80"/>
      <c r="P1069" s="70"/>
      <c r="Q1069" s="54"/>
      <c r="R1069" s="67"/>
      <c r="S1069" s="67"/>
      <c r="T1069" s="54"/>
      <c r="U1069" s="86"/>
      <c r="V1069" s="54"/>
      <c r="W1069" s="86"/>
      <c r="X1069" s="54"/>
      <c r="Y1069" s="78"/>
      <c r="Z1069" s="54"/>
      <c r="AA1069" s="70"/>
      <c r="AB1069" s="83"/>
      <c r="AC1069" s="83"/>
      <c r="AD1069" s="83"/>
      <c r="AE1069" s="83"/>
      <c r="AF1069" s="83"/>
      <c r="AG1069" s="83"/>
      <c r="AH1069" s="83"/>
      <c r="AI1069" s="83"/>
      <c r="AJ1069" s="83"/>
      <c r="AK1069" s="83"/>
      <c r="AL1069" s="83"/>
      <c r="AM1069" s="83"/>
      <c r="AN1069" s="83"/>
      <c r="AO1069" s="83"/>
      <c r="AP1069" s="83"/>
      <c r="AQ1069" s="54"/>
      <c r="AR1069" s="83"/>
      <c r="AS1069" s="83"/>
      <c r="AT1069" s="93"/>
      <c r="AU1069" s="93"/>
      <c r="AV1069" s="93"/>
      <c r="AW1069" s="83"/>
      <c r="AX1069" s="83"/>
      <c r="AY1069" s="83"/>
      <c r="AZ1069" s="83"/>
      <c r="BA1069" s="83"/>
      <c r="BB1069" s="83"/>
      <c r="BC1069" s="54"/>
      <c r="BD1069" s="54" t="str">
        <f t="shared" si="1"/>
        <v/>
      </c>
      <c r="BE1069" s="67"/>
      <c r="BF1069" s="67"/>
      <c r="BG1069" s="67"/>
      <c r="BH1069" s="67"/>
      <c r="BI1069" s="67"/>
      <c r="BJ1069" s="67"/>
      <c r="BK1069" s="67"/>
      <c r="BL1069" s="67"/>
      <c r="BM1069" s="67"/>
      <c r="BN1069" s="100"/>
      <c r="BO1069" s="102"/>
      <c r="BP1069" s="67"/>
      <c r="BQ1069" s="79"/>
      <c r="BR1069" s="67"/>
      <c r="BS1069" s="102"/>
      <c r="BT1069" s="106"/>
      <c r="BU1069" s="107"/>
      <c r="BV1069" s="108" t="str">
        <f t="shared" si="17"/>
        <v/>
      </c>
      <c r="BW1069" s="108" t="str">
        <f t="shared" si="16"/>
        <v/>
      </c>
      <c r="BX1069" s="102" t="str">
        <f t="shared" si="15"/>
        <v/>
      </c>
      <c r="BY1069" s="107" t="str">
        <f t="shared" si="5"/>
        <v/>
      </c>
      <c r="BZ1069" s="107" t="str">
        <f t="array" ref="BZ1069">IF($A1069&lt;&gt;"",INDEX(LISTA!$M$2:$N$27,MATCH($BC1069,LISTA!$N$2:$N$27,0),1),"")</f>
        <v/>
      </c>
      <c r="CA1069" s="67" t="str">
        <f t="shared" si="6"/>
        <v/>
      </c>
      <c r="CB1069" s="114" t="str">
        <f t="shared" si="7"/>
        <v/>
      </c>
      <c r="CC1069" s="114"/>
    </row>
    <row r="1070" ht="22.5" customHeight="1">
      <c r="A1070" s="59"/>
      <c r="B1070" s="115"/>
      <c r="C1070" s="54"/>
      <c r="D1070" s="56"/>
      <c r="E1070" s="69"/>
      <c r="F1070" s="73"/>
      <c r="G1070" s="79"/>
      <c r="H1070" s="79"/>
      <c r="I1070" s="67"/>
      <c r="J1070" s="79"/>
      <c r="K1070" s="67"/>
      <c r="L1070" s="79"/>
      <c r="M1070" s="83"/>
      <c r="N1070" s="78"/>
      <c r="O1070" s="80"/>
      <c r="P1070" s="70"/>
      <c r="Q1070" s="54"/>
      <c r="R1070" s="67"/>
      <c r="S1070" s="67"/>
      <c r="T1070" s="54"/>
      <c r="U1070" s="86"/>
      <c r="V1070" s="54"/>
      <c r="W1070" s="86"/>
      <c r="X1070" s="54"/>
      <c r="Y1070" s="78"/>
      <c r="Z1070" s="54"/>
      <c r="AA1070" s="70"/>
      <c r="AB1070" s="83"/>
      <c r="AC1070" s="83"/>
      <c r="AD1070" s="83"/>
      <c r="AE1070" s="83"/>
      <c r="AF1070" s="83"/>
      <c r="AG1070" s="83"/>
      <c r="AH1070" s="83"/>
      <c r="AI1070" s="83"/>
      <c r="AJ1070" s="83"/>
      <c r="AK1070" s="83"/>
      <c r="AL1070" s="83"/>
      <c r="AM1070" s="83"/>
      <c r="AN1070" s="83"/>
      <c r="AO1070" s="83"/>
      <c r="AP1070" s="83"/>
      <c r="AQ1070" s="54"/>
      <c r="AR1070" s="83"/>
      <c r="AS1070" s="83"/>
      <c r="AT1070" s="93"/>
      <c r="AU1070" s="93"/>
      <c r="AV1070" s="93"/>
      <c r="AW1070" s="83"/>
      <c r="AX1070" s="83"/>
      <c r="AY1070" s="83"/>
      <c r="AZ1070" s="83"/>
      <c r="BA1070" s="83"/>
      <c r="BB1070" s="83"/>
      <c r="BC1070" s="54"/>
      <c r="BD1070" s="54" t="str">
        <f t="shared" si="1"/>
        <v/>
      </c>
      <c r="BE1070" s="67"/>
      <c r="BF1070" s="67"/>
      <c r="BG1070" s="67"/>
      <c r="BH1070" s="67"/>
      <c r="BI1070" s="67"/>
      <c r="BJ1070" s="67"/>
      <c r="BK1070" s="67"/>
      <c r="BL1070" s="67"/>
      <c r="BM1070" s="67"/>
      <c r="BN1070" s="100"/>
      <c r="BO1070" s="102"/>
      <c r="BP1070" s="67"/>
      <c r="BQ1070" s="79"/>
      <c r="BR1070" s="67"/>
      <c r="BS1070" s="102"/>
      <c r="BT1070" s="106"/>
      <c r="BU1070" s="107"/>
      <c r="BV1070" s="108" t="str">
        <f t="shared" si="17"/>
        <v/>
      </c>
      <c r="BW1070" s="108" t="str">
        <f t="shared" si="16"/>
        <v/>
      </c>
      <c r="BX1070" s="102" t="str">
        <f t="shared" si="15"/>
        <v/>
      </c>
      <c r="BY1070" s="107" t="str">
        <f t="shared" si="5"/>
        <v/>
      </c>
      <c r="BZ1070" s="107" t="str">
        <f t="array" ref="BZ1070">IF($A1070&lt;&gt;"",INDEX(LISTA!$M$2:$N$27,MATCH($BC1070,LISTA!$N$2:$N$27,0),1),"")</f>
        <v/>
      </c>
      <c r="CA1070" s="67" t="str">
        <f t="shared" si="6"/>
        <v/>
      </c>
      <c r="CB1070" s="114" t="str">
        <f t="shared" si="7"/>
        <v/>
      </c>
      <c r="CC1070" s="114"/>
    </row>
    <row r="1071" ht="22.5" customHeight="1">
      <c r="A1071" s="59"/>
      <c r="B1071" s="115"/>
      <c r="C1071" s="54"/>
      <c r="D1071" s="56"/>
      <c r="E1071" s="69"/>
      <c r="F1071" s="73"/>
      <c r="G1071" s="79"/>
      <c r="H1071" s="79"/>
      <c r="I1071" s="67"/>
      <c r="J1071" s="79"/>
      <c r="K1071" s="67"/>
      <c r="L1071" s="79"/>
      <c r="M1071" s="83"/>
      <c r="N1071" s="78"/>
      <c r="O1071" s="80"/>
      <c r="P1071" s="70"/>
      <c r="Q1071" s="54"/>
      <c r="R1071" s="67"/>
      <c r="S1071" s="67"/>
      <c r="T1071" s="54"/>
      <c r="U1071" s="86"/>
      <c r="V1071" s="54"/>
      <c r="W1071" s="86"/>
      <c r="X1071" s="54"/>
      <c r="Y1071" s="78"/>
      <c r="Z1071" s="54"/>
      <c r="AA1071" s="70"/>
      <c r="AB1071" s="83"/>
      <c r="AC1071" s="83"/>
      <c r="AD1071" s="83"/>
      <c r="AE1071" s="83"/>
      <c r="AF1071" s="83"/>
      <c r="AG1071" s="83"/>
      <c r="AH1071" s="83"/>
      <c r="AI1071" s="83"/>
      <c r="AJ1071" s="83"/>
      <c r="AK1071" s="83"/>
      <c r="AL1071" s="83"/>
      <c r="AM1071" s="83"/>
      <c r="AN1071" s="83"/>
      <c r="AO1071" s="83"/>
      <c r="AP1071" s="83"/>
      <c r="AQ1071" s="54"/>
      <c r="AR1071" s="83"/>
      <c r="AS1071" s="83"/>
      <c r="AT1071" s="93"/>
      <c r="AU1071" s="93"/>
      <c r="AV1071" s="93"/>
      <c r="AW1071" s="83"/>
      <c r="AX1071" s="83"/>
      <c r="AY1071" s="83"/>
      <c r="AZ1071" s="83"/>
      <c r="BA1071" s="83"/>
      <c r="BB1071" s="83"/>
      <c r="BC1071" s="54"/>
      <c r="BD1071" s="54" t="str">
        <f t="shared" si="1"/>
        <v/>
      </c>
      <c r="BE1071" s="67"/>
      <c r="BF1071" s="67"/>
      <c r="BG1071" s="67"/>
      <c r="BH1071" s="67"/>
      <c r="BI1071" s="67"/>
      <c r="BJ1071" s="67"/>
      <c r="BK1071" s="67"/>
      <c r="BL1071" s="67"/>
      <c r="BM1071" s="67"/>
      <c r="BN1071" s="100"/>
      <c r="BO1071" s="102"/>
      <c r="BP1071" s="67"/>
      <c r="BQ1071" s="79"/>
      <c r="BR1071" s="67"/>
      <c r="BS1071" s="102"/>
      <c r="BT1071" s="106"/>
      <c r="BU1071" s="107"/>
      <c r="BV1071" s="108" t="str">
        <f t="shared" si="17"/>
        <v/>
      </c>
      <c r="BW1071" s="108" t="str">
        <f t="shared" si="16"/>
        <v/>
      </c>
      <c r="BX1071" s="102" t="str">
        <f t="shared" si="15"/>
        <v/>
      </c>
      <c r="BY1071" s="107" t="str">
        <f t="shared" si="5"/>
        <v/>
      </c>
      <c r="BZ1071" s="107" t="str">
        <f t="array" ref="BZ1071">IF($A1071&lt;&gt;"",INDEX(LISTA!$M$2:$N$27,MATCH($BC1071,LISTA!$N$2:$N$27,0),1),"")</f>
        <v/>
      </c>
      <c r="CA1071" s="67" t="str">
        <f t="shared" si="6"/>
        <v/>
      </c>
      <c r="CB1071" s="114" t="str">
        <f t="shared" si="7"/>
        <v/>
      </c>
      <c r="CC1071" s="114"/>
    </row>
    <row r="1072" ht="22.5" customHeight="1">
      <c r="A1072" s="59"/>
      <c r="B1072" s="115"/>
      <c r="C1072" s="54"/>
      <c r="D1072" s="56"/>
      <c r="E1072" s="69"/>
      <c r="F1072" s="73"/>
      <c r="G1072" s="79"/>
      <c r="H1072" s="79"/>
      <c r="I1072" s="67"/>
      <c r="J1072" s="79"/>
      <c r="K1072" s="67"/>
      <c r="L1072" s="79"/>
      <c r="M1072" s="83"/>
      <c r="N1072" s="78"/>
      <c r="O1072" s="80"/>
      <c r="P1072" s="70"/>
      <c r="Q1072" s="54"/>
      <c r="R1072" s="67"/>
      <c r="S1072" s="67"/>
      <c r="T1072" s="54"/>
      <c r="U1072" s="86"/>
      <c r="V1072" s="54"/>
      <c r="W1072" s="86"/>
      <c r="X1072" s="54"/>
      <c r="Y1072" s="78"/>
      <c r="Z1072" s="54"/>
      <c r="AA1072" s="70"/>
      <c r="AB1072" s="83"/>
      <c r="AC1072" s="83"/>
      <c r="AD1072" s="83"/>
      <c r="AE1072" s="83"/>
      <c r="AF1072" s="83"/>
      <c r="AG1072" s="83"/>
      <c r="AH1072" s="83"/>
      <c r="AI1072" s="83"/>
      <c r="AJ1072" s="83"/>
      <c r="AK1072" s="83"/>
      <c r="AL1072" s="83"/>
      <c r="AM1072" s="83"/>
      <c r="AN1072" s="83"/>
      <c r="AO1072" s="83"/>
      <c r="AP1072" s="83"/>
      <c r="AQ1072" s="54"/>
      <c r="AR1072" s="83"/>
      <c r="AS1072" s="83"/>
      <c r="AT1072" s="93"/>
      <c r="AU1072" s="93"/>
      <c r="AV1072" s="93"/>
      <c r="AW1072" s="83"/>
      <c r="AX1072" s="83"/>
      <c r="AY1072" s="83"/>
      <c r="AZ1072" s="83"/>
      <c r="BA1072" s="83"/>
      <c r="BB1072" s="83"/>
      <c r="BC1072" s="54"/>
      <c r="BD1072" s="54" t="str">
        <f t="shared" si="1"/>
        <v/>
      </c>
      <c r="BE1072" s="67"/>
      <c r="BF1072" s="67"/>
      <c r="BG1072" s="67"/>
      <c r="BH1072" s="67"/>
      <c r="BI1072" s="67"/>
      <c r="BJ1072" s="67"/>
      <c r="BK1072" s="67"/>
      <c r="BL1072" s="67"/>
      <c r="BM1072" s="67"/>
      <c r="BN1072" s="100"/>
      <c r="BO1072" s="102"/>
      <c r="BP1072" s="67"/>
      <c r="BQ1072" s="79"/>
      <c r="BR1072" s="67"/>
      <c r="BS1072" s="102"/>
      <c r="BT1072" s="106"/>
      <c r="BU1072" s="107"/>
      <c r="BV1072" s="108" t="str">
        <f t="shared" si="17"/>
        <v/>
      </c>
      <c r="BW1072" s="108" t="str">
        <f t="shared" si="16"/>
        <v/>
      </c>
      <c r="BX1072" s="102" t="str">
        <f t="shared" si="15"/>
        <v/>
      </c>
      <c r="BY1072" s="107" t="str">
        <f t="shared" si="5"/>
        <v/>
      </c>
      <c r="BZ1072" s="107" t="str">
        <f t="array" ref="BZ1072">IF($A1072&lt;&gt;"",INDEX(LISTA!$M$2:$N$27,MATCH($BC1072,LISTA!$N$2:$N$27,0),1),"")</f>
        <v/>
      </c>
      <c r="CA1072" s="67" t="str">
        <f t="shared" si="6"/>
        <v/>
      </c>
      <c r="CB1072" s="114" t="str">
        <f t="shared" si="7"/>
        <v/>
      </c>
      <c r="CC1072" s="114"/>
    </row>
    <row r="1073" ht="22.5" customHeight="1">
      <c r="A1073" s="59"/>
      <c r="B1073" s="115"/>
      <c r="C1073" s="54"/>
      <c r="D1073" s="56"/>
      <c r="E1073" s="69"/>
      <c r="F1073" s="73"/>
      <c r="G1073" s="79"/>
      <c r="H1073" s="79"/>
      <c r="I1073" s="67"/>
      <c r="J1073" s="79"/>
      <c r="K1073" s="67"/>
      <c r="L1073" s="79"/>
      <c r="M1073" s="83"/>
      <c r="N1073" s="78"/>
      <c r="O1073" s="80"/>
      <c r="P1073" s="70"/>
      <c r="Q1073" s="54"/>
      <c r="R1073" s="67"/>
      <c r="S1073" s="67"/>
      <c r="T1073" s="54"/>
      <c r="U1073" s="86"/>
      <c r="V1073" s="54"/>
      <c r="W1073" s="86"/>
      <c r="X1073" s="54"/>
      <c r="Y1073" s="78"/>
      <c r="Z1073" s="54"/>
      <c r="AA1073" s="70"/>
      <c r="AB1073" s="83"/>
      <c r="AC1073" s="83"/>
      <c r="AD1073" s="83"/>
      <c r="AE1073" s="83"/>
      <c r="AF1073" s="83"/>
      <c r="AG1073" s="83"/>
      <c r="AH1073" s="83"/>
      <c r="AI1073" s="83"/>
      <c r="AJ1073" s="83"/>
      <c r="AK1073" s="83"/>
      <c r="AL1073" s="83"/>
      <c r="AM1073" s="83"/>
      <c r="AN1073" s="83"/>
      <c r="AO1073" s="83"/>
      <c r="AP1073" s="83"/>
      <c r="AQ1073" s="54"/>
      <c r="AR1073" s="83"/>
      <c r="AS1073" s="83"/>
      <c r="AT1073" s="93"/>
      <c r="AU1073" s="93"/>
      <c r="AV1073" s="93"/>
      <c r="AW1073" s="83"/>
      <c r="AX1073" s="83"/>
      <c r="AY1073" s="83"/>
      <c r="AZ1073" s="83"/>
      <c r="BA1073" s="83"/>
      <c r="BB1073" s="83"/>
      <c r="BC1073" s="54"/>
      <c r="BD1073" s="54" t="str">
        <f t="shared" si="1"/>
        <v/>
      </c>
      <c r="BE1073" s="67"/>
      <c r="BF1073" s="67"/>
      <c r="BG1073" s="67"/>
      <c r="BH1073" s="67"/>
      <c r="BI1073" s="67"/>
      <c r="BJ1073" s="67"/>
      <c r="BK1073" s="67"/>
      <c r="BL1073" s="67"/>
      <c r="BM1073" s="67"/>
      <c r="BN1073" s="100"/>
      <c r="BO1073" s="102"/>
      <c r="BP1073" s="67"/>
      <c r="BQ1073" s="79"/>
      <c r="BR1073" s="67"/>
      <c r="BS1073" s="102"/>
      <c r="BT1073" s="106"/>
      <c r="BU1073" s="107"/>
      <c r="BV1073" s="108" t="str">
        <f t="shared" si="17"/>
        <v/>
      </c>
      <c r="BW1073" s="108" t="str">
        <f t="shared" si="16"/>
        <v/>
      </c>
      <c r="BX1073" s="102" t="str">
        <f t="shared" si="15"/>
        <v/>
      </c>
      <c r="BY1073" s="107" t="str">
        <f t="shared" si="5"/>
        <v/>
      </c>
      <c r="BZ1073" s="107" t="str">
        <f t="array" ref="BZ1073">IF($A1073&lt;&gt;"",INDEX(LISTA!$M$2:$N$27,MATCH($BC1073,LISTA!$N$2:$N$27,0),1),"")</f>
        <v/>
      </c>
      <c r="CA1073" s="67" t="str">
        <f t="shared" si="6"/>
        <v/>
      </c>
      <c r="CB1073" s="114" t="str">
        <f t="shared" si="7"/>
        <v/>
      </c>
      <c r="CC1073" s="114"/>
    </row>
    <row r="1074" ht="22.5" customHeight="1">
      <c r="A1074" s="59"/>
      <c r="B1074" s="115"/>
      <c r="C1074" s="54"/>
      <c r="D1074" s="56"/>
      <c r="E1074" s="69"/>
      <c r="F1074" s="73"/>
      <c r="G1074" s="79"/>
      <c r="H1074" s="79"/>
      <c r="I1074" s="67"/>
      <c r="J1074" s="79"/>
      <c r="K1074" s="67"/>
      <c r="L1074" s="79"/>
      <c r="M1074" s="83"/>
      <c r="N1074" s="78"/>
      <c r="O1074" s="80"/>
      <c r="P1074" s="70"/>
      <c r="Q1074" s="54"/>
      <c r="R1074" s="67"/>
      <c r="S1074" s="67"/>
      <c r="T1074" s="54"/>
      <c r="U1074" s="86"/>
      <c r="V1074" s="54"/>
      <c r="W1074" s="86"/>
      <c r="X1074" s="54"/>
      <c r="Y1074" s="78"/>
      <c r="Z1074" s="54"/>
      <c r="AA1074" s="70"/>
      <c r="AB1074" s="83"/>
      <c r="AC1074" s="83"/>
      <c r="AD1074" s="83"/>
      <c r="AE1074" s="83"/>
      <c r="AF1074" s="83"/>
      <c r="AG1074" s="83"/>
      <c r="AH1074" s="83"/>
      <c r="AI1074" s="83"/>
      <c r="AJ1074" s="83"/>
      <c r="AK1074" s="83"/>
      <c r="AL1074" s="83"/>
      <c r="AM1074" s="83"/>
      <c r="AN1074" s="83"/>
      <c r="AO1074" s="83"/>
      <c r="AP1074" s="83"/>
      <c r="AQ1074" s="54"/>
      <c r="AR1074" s="83"/>
      <c r="AS1074" s="83"/>
      <c r="AT1074" s="93"/>
      <c r="AU1074" s="93"/>
      <c r="AV1074" s="93"/>
      <c r="AW1074" s="83"/>
      <c r="AX1074" s="83"/>
      <c r="AY1074" s="83"/>
      <c r="AZ1074" s="83"/>
      <c r="BA1074" s="83"/>
      <c r="BB1074" s="83"/>
      <c r="BC1074" s="54"/>
      <c r="BD1074" s="54" t="str">
        <f t="shared" si="1"/>
        <v/>
      </c>
      <c r="BE1074" s="67"/>
      <c r="BF1074" s="67"/>
      <c r="BG1074" s="67"/>
      <c r="BH1074" s="67"/>
      <c r="BI1074" s="67"/>
      <c r="BJ1074" s="67"/>
      <c r="BK1074" s="67"/>
      <c r="BL1074" s="67"/>
      <c r="BM1074" s="67"/>
      <c r="BN1074" s="100"/>
      <c r="BO1074" s="102"/>
      <c r="BP1074" s="67"/>
      <c r="BQ1074" s="79"/>
      <c r="BR1074" s="67"/>
      <c r="BS1074" s="102"/>
      <c r="BT1074" s="106"/>
      <c r="BU1074" s="107"/>
      <c r="BV1074" s="108" t="str">
        <f t="shared" si="17"/>
        <v/>
      </c>
      <c r="BW1074" s="108" t="str">
        <f t="shared" si="16"/>
        <v/>
      </c>
      <c r="BX1074" s="102" t="str">
        <f t="shared" si="15"/>
        <v/>
      </c>
      <c r="BY1074" s="107" t="str">
        <f t="shared" si="5"/>
        <v/>
      </c>
      <c r="BZ1074" s="107" t="str">
        <f t="array" ref="BZ1074">IF($A1074&lt;&gt;"",INDEX(LISTA!$M$2:$N$27,MATCH($BC1074,LISTA!$N$2:$N$27,0),1),"")</f>
        <v/>
      </c>
      <c r="CA1074" s="67" t="str">
        <f t="shared" si="6"/>
        <v/>
      </c>
      <c r="CB1074" s="114" t="str">
        <f t="shared" si="7"/>
        <v/>
      </c>
      <c r="CC1074" s="114"/>
    </row>
    <row r="1075" ht="22.5" customHeight="1">
      <c r="A1075" s="59"/>
      <c r="B1075" s="115"/>
      <c r="C1075" s="54"/>
      <c r="D1075" s="56"/>
      <c r="E1075" s="69"/>
      <c r="F1075" s="73"/>
      <c r="G1075" s="79"/>
      <c r="H1075" s="79"/>
      <c r="I1075" s="67"/>
      <c r="J1075" s="79"/>
      <c r="K1075" s="67"/>
      <c r="L1075" s="79"/>
      <c r="M1075" s="83"/>
      <c r="N1075" s="78"/>
      <c r="O1075" s="80"/>
      <c r="P1075" s="70"/>
      <c r="Q1075" s="54"/>
      <c r="R1075" s="67"/>
      <c r="S1075" s="67"/>
      <c r="T1075" s="54"/>
      <c r="U1075" s="86"/>
      <c r="V1075" s="54"/>
      <c r="W1075" s="86"/>
      <c r="X1075" s="54"/>
      <c r="Y1075" s="78"/>
      <c r="Z1075" s="54"/>
      <c r="AA1075" s="70"/>
      <c r="AB1075" s="83"/>
      <c r="AC1075" s="83"/>
      <c r="AD1075" s="83"/>
      <c r="AE1075" s="83"/>
      <c r="AF1075" s="83"/>
      <c r="AG1075" s="83"/>
      <c r="AH1075" s="83"/>
      <c r="AI1075" s="83"/>
      <c r="AJ1075" s="83"/>
      <c r="AK1075" s="83"/>
      <c r="AL1075" s="83"/>
      <c r="AM1075" s="83"/>
      <c r="AN1075" s="83"/>
      <c r="AO1075" s="83"/>
      <c r="AP1075" s="83"/>
      <c r="AQ1075" s="54"/>
      <c r="AR1075" s="83"/>
      <c r="AS1075" s="83"/>
      <c r="AT1075" s="93"/>
      <c r="AU1075" s="93"/>
      <c r="AV1075" s="93"/>
      <c r="AW1075" s="83"/>
      <c r="AX1075" s="83"/>
      <c r="AY1075" s="83"/>
      <c r="AZ1075" s="83"/>
      <c r="BA1075" s="83"/>
      <c r="BB1075" s="83"/>
      <c r="BC1075" s="54"/>
      <c r="BD1075" s="54" t="str">
        <f t="shared" si="1"/>
        <v/>
      </c>
      <c r="BE1075" s="67"/>
      <c r="BF1075" s="67"/>
      <c r="BG1075" s="67"/>
      <c r="BH1075" s="67"/>
      <c r="BI1075" s="67"/>
      <c r="BJ1075" s="67"/>
      <c r="BK1075" s="67"/>
      <c r="BL1075" s="67"/>
      <c r="BM1075" s="67"/>
      <c r="BN1075" s="100"/>
      <c r="BO1075" s="102"/>
      <c r="BP1075" s="67"/>
      <c r="BQ1075" s="79"/>
      <c r="BR1075" s="67"/>
      <c r="BS1075" s="102"/>
      <c r="BT1075" s="106"/>
      <c r="BU1075" s="107"/>
      <c r="BV1075" s="108" t="str">
        <f t="shared" si="17"/>
        <v/>
      </c>
      <c r="BW1075" s="108" t="str">
        <f t="shared" si="16"/>
        <v/>
      </c>
      <c r="BX1075" s="102" t="str">
        <f t="shared" si="15"/>
        <v/>
      </c>
      <c r="BY1075" s="107" t="str">
        <f t="shared" si="5"/>
        <v/>
      </c>
      <c r="BZ1075" s="107" t="str">
        <f t="array" ref="BZ1075">IF($A1075&lt;&gt;"",INDEX(LISTA!$M$2:$N$27,MATCH($BC1075,LISTA!$N$2:$N$27,0),1),"")</f>
        <v/>
      </c>
      <c r="CA1075" s="67" t="str">
        <f t="shared" si="6"/>
        <v/>
      </c>
      <c r="CB1075" s="114" t="str">
        <f t="shared" si="7"/>
        <v/>
      </c>
      <c r="CC1075" s="114"/>
    </row>
    <row r="1076" ht="22.5" customHeight="1">
      <c r="A1076" s="59"/>
      <c r="B1076" s="115"/>
      <c r="C1076" s="54"/>
      <c r="D1076" s="56"/>
      <c r="E1076" s="69"/>
      <c r="F1076" s="73"/>
      <c r="G1076" s="79"/>
      <c r="H1076" s="79"/>
      <c r="I1076" s="67"/>
      <c r="J1076" s="79"/>
      <c r="K1076" s="67"/>
      <c r="L1076" s="79"/>
      <c r="M1076" s="83"/>
      <c r="N1076" s="78"/>
      <c r="O1076" s="80"/>
      <c r="P1076" s="70"/>
      <c r="Q1076" s="54"/>
      <c r="R1076" s="67"/>
      <c r="S1076" s="67"/>
      <c r="T1076" s="54"/>
      <c r="U1076" s="86"/>
      <c r="V1076" s="54"/>
      <c r="W1076" s="86"/>
      <c r="X1076" s="54"/>
      <c r="Y1076" s="78"/>
      <c r="Z1076" s="54"/>
      <c r="AA1076" s="70"/>
      <c r="AB1076" s="83"/>
      <c r="AC1076" s="83"/>
      <c r="AD1076" s="83"/>
      <c r="AE1076" s="83"/>
      <c r="AF1076" s="83"/>
      <c r="AG1076" s="83"/>
      <c r="AH1076" s="83"/>
      <c r="AI1076" s="83"/>
      <c r="AJ1076" s="83"/>
      <c r="AK1076" s="83"/>
      <c r="AL1076" s="83"/>
      <c r="AM1076" s="83"/>
      <c r="AN1076" s="83"/>
      <c r="AO1076" s="83"/>
      <c r="AP1076" s="83"/>
      <c r="AQ1076" s="54"/>
      <c r="AR1076" s="83"/>
      <c r="AS1076" s="83"/>
      <c r="AT1076" s="93"/>
      <c r="AU1076" s="93"/>
      <c r="AV1076" s="93"/>
      <c r="AW1076" s="83"/>
      <c r="AX1076" s="83"/>
      <c r="AY1076" s="83"/>
      <c r="AZ1076" s="83"/>
      <c r="BA1076" s="83"/>
      <c r="BB1076" s="83"/>
      <c r="BC1076" s="54"/>
      <c r="BD1076" s="54" t="str">
        <f t="shared" si="1"/>
        <v/>
      </c>
      <c r="BE1076" s="67"/>
      <c r="BF1076" s="67"/>
      <c r="BG1076" s="67"/>
      <c r="BH1076" s="67"/>
      <c r="BI1076" s="67"/>
      <c r="BJ1076" s="67"/>
      <c r="BK1076" s="67"/>
      <c r="BL1076" s="67"/>
      <c r="BM1076" s="67"/>
      <c r="BN1076" s="100"/>
      <c r="BO1076" s="102"/>
      <c r="BP1076" s="67"/>
      <c r="BQ1076" s="79"/>
      <c r="BR1076" s="67"/>
      <c r="BS1076" s="102"/>
      <c r="BT1076" s="106"/>
      <c r="BU1076" s="107"/>
      <c r="BV1076" s="108" t="str">
        <f t="shared" si="17"/>
        <v/>
      </c>
      <c r="BW1076" s="108" t="str">
        <f t="shared" si="16"/>
        <v/>
      </c>
      <c r="BX1076" s="102" t="str">
        <f t="shared" si="15"/>
        <v/>
      </c>
      <c r="BY1076" s="107" t="str">
        <f t="shared" si="5"/>
        <v/>
      </c>
      <c r="BZ1076" s="107" t="str">
        <f t="array" ref="BZ1076">IF($A1076&lt;&gt;"",INDEX(LISTA!$M$2:$N$27,MATCH($BC1076,LISTA!$N$2:$N$27,0),1),"")</f>
        <v/>
      </c>
      <c r="CA1076" s="67" t="str">
        <f t="shared" si="6"/>
        <v/>
      </c>
      <c r="CB1076" s="114" t="str">
        <f t="shared" si="7"/>
        <v/>
      </c>
      <c r="CC1076" s="114"/>
    </row>
    <row r="1077" ht="22.5" customHeight="1">
      <c r="A1077" s="59"/>
      <c r="B1077" s="115"/>
      <c r="C1077" s="54"/>
      <c r="D1077" s="56"/>
      <c r="E1077" s="69"/>
      <c r="F1077" s="73"/>
      <c r="G1077" s="79"/>
      <c r="H1077" s="79"/>
      <c r="I1077" s="67"/>
      <c r="J1077" s="79"/>
      <c r="K1077" s="67"/>
      <c r="L1077" s="79"/>
      <c r="M1077" s="83"/>
      <c r="N1077" s="78"/>
      <c r="O1077" s="80"/>
      <c r="P1077" s="70"/>
      <c r="Q1077" s="54"/>
      <c r="R1077" s="67"/>
      <c r="S1077" s="67"/>
      <c r="T1077" s="54"/>
      <c r="U1077" s="86"/>
      <c r="V1077" s="54"/>
      <c r="W1077" s="86"/>
      <c r="X1077" s="54"/>
      <c r="Y1077" s="78"/>
      <c r="Z1077" s="54"/>
      <c r="AA1077" s="70"/>
      <c r="AB1077" s="83"/>
      <c r="AC1077" s="83"/>
      <c r="AD1077" s="83"/>
      <c r="AE1077" s="83"/>
      <c r="AF1077" s="83"/>
      <c r="AG1077" s="83"/>
      <c r="AH1077" s="83"/>
      <c r="AI1077" s="83"/>
      <c r="AJ1077" s="83"/>
      <c r="AK1077" s="83"/>
      <c r="AL1077" s="83"/>
      <c r="AM1077" s="83"/>
      <c r="AN1077" s="83"/>
      <c r="AO1077" s="83"/>
      <c r="AP1077" s="83"/>
      <c r="AQ1077" s="54"/>
      <c r="AR1077" s="83"/>
      <c r="AS1077" s="83"/>
      <c r="AT1077" s="93"/>
      <c r="AU1077" s="93"/>
      <c r="AV1077" s="93"/>
      <c r="AW1077" s="83"/>
      <c r="AX1077" s="83"/>
      <c r="AY1077" s="83"/>
      <c r="AZ1077" s="83"/>
      <c r="BA1077" s="83"/>
      <c r="BB1077" s="83"/>
      <c r="BC1077" s="54"/>
      <c r="BD1077" s="54" t="str">
        <f t="shared" si="1"/>
        <v/>
      </c>
      <c r="BE1077" s="67"/>
      <c r="BF1077" s="67"/>
      <c r="BG1077" s="67"/>
      <c r="BH1077" s="67"/>
      <c r="BI1077" s="67"/>
      <c r="BJ1077" s="67"/>
      <c r="BK1077" s="67"/>
      <c r="BL1077" s="67"/>
      <c r="BM1077" s="67"/>
      <c r="BN1077" s="100"/>
      <c r="BO1077" s="102"/>
      <c r="BP1077" s="67"/>
      <c r="BQ1077" s="79"/>
      <c r="BR1077" s="67"/>
      <c r="BS1077" s="102"/>
      <c r="BT1077" s="106"/>
      <c r="BU1077" s="107"/>
      <c r="BV1077" s="108" t="str">
        <f t="shared" si="17"/>
        <v/>
      </c>
      <c r="BW1077" s="108" t="str">
        <f t="shared" si="16"/>
        <v/>
      </c>
      <c r="BX1077" s="102" t="str">
        <f t="shared" si="15"/>
        <v/>
      </c>
      <c r="BY1077" s="107" t="str">
        <f t="shared" si="5"/>
        <v/>
      </c>
      <c r="BZ1077" s="107" t="str">
        <f t="array" ref="BZ1077">IF($A1077&lt;&gt;"",INDEX(LISTA!$M$2:$N$27,MATCH($BC1077,LISTA!$N$2:$N$27,0),1),"")</f>
        <v/>
      </c>
      <c r="CA1077" s="67" t="str">
        <f t="shared" si="6"/>
        <v/>
      </c>
      <c r="CB1077" s="114" t="str">
        <f t="shared" si="7"/>
        <v/>
      </c>
      <c r="CC1077" s="114"/>
    </row>
    <row r="1078" ht="22.5" customHeight="1">
      <c r="A1078" s="59"/>
      <c r="B1078" s="115"/>
      <c r="C1078" s="54"/>
      <c r="D1078" s="56"/>
      <c r="E1078" s="69"/>
      <c r="F1078" s="73"/>
      <c r="G1078" s="79"/>
      <c r="H1078" s="79"/>
      <c r="I1078" s="67"/>
      <c r="J1078" s="79"/>
      <c r="K1078" s="67"/>
      <c r="L1078" s="79"/>
      <c r="M1078" s="83"/>
      <c r="N1078" s="78"/>
      <c r="O1078" s="80"/>
      <c r="P1078" s="70"/>
      <c r="Q1078" s="54"/>
      <c r="R1078" s="67"/>
      <c r="S1078" s="67"/>
      <c r="T1078" s="54"/>
      <c r="U1078" s="86"/>
      <c r="V1078" s="54"/>
      <c r="W1078" s="86"/>
      <c r="X1078" s="54"/>
      <c r="Y1078" s="78"/>
      <c r="Z1078" s="54"/>
      <c r="AA1078" s="70"/>
      <c r="AB1078" s="83"/>
      <c r="AC1078" s="83"/>
      <c r="AD1078" s="83"/>
      <c r="AE1078" s="83"/>
      <c r="AF1078" s="83"/>
      <c r="AG1078" s="83"/>
      <c r="AH1078" s="83"/>
      <c r="AI1078" s="83"/>
      <c r="AJ1078" s="83"/>
      <c r="AK1078" s="83"/>
      <c r="AL1078" s="83"/>
      <c r="AM1078" s="83"/>
      <c r="AN1078" s="83"/>
      <c r="AO1078" s="83"/>
      <c r="AP1078" s="83"/>
      <c r="AQ1078" s="54"/>
      <c r="AR1078" s="83"/>
      <c r="AS1078" s="83"/>
      <c r="AT1078" s="93"/>
      <c r="AU1078" s="93"/>
      <c r="AV1078" s="93"/>
      <c r="AW1078" s="83"/>
      <c r="AX1078" s="83"/>
      <c r="AY1078" s="83"/>
      <c r="AZ1078" s="83"/>
      <c r="BA1078" s="83"/>
      <c r="BB1078" s="83"/>
      <c r="BC1078" s="54"/>
      <c r="BD1078" s="54" t="str">
        <f t="shared" si="1"/>
        <v/>
      </c>
      <c r="BE1078" s="67"/>
      <c r="BF1078" s="67"/>
      <c r="BG1078" s="67"/>
      <c r="BH1078" s="67"/>
      <c r="BI1078" s="67"/>
      <c r="BJ1078" s="67"/>
      <c r="BK1078" s="67"/>
      <c r="BL1078" s="67"/>
      <c r="BM1078" s="67"/>
      <c r="BN1078" s="100"/>
      <c r="BO1078" s="102"/>
      <c r="BP1078" s="67"/>
      <c r="BQ1078" s="79"/>
      <c r="BR1078" s="67"/>
      <c r="BS1078" s="102"/>
      <c r="BT1078" s="106"/>
      <c r="BU1078" s="107"/>
      <c r="BV1078" s="108" t="str">
        <f t="shared" si="17"/>
        <v/>
      </c>
      <c r="BW1078" s="108" t="str">
        <f t="shared" si="16"/>
        <v/>
      </c>
      <c r="BX1078" s="102" t="str">
        <f t="shared" si="15"/>
        <v/>
      </c>
      <c r="BY1078" s="107" t="str">
        <f t="shared" si="5"/>
        <v/>
      </c>
      <c r="BZ1078" s="107" t="str">
        <f t="array" ref="BZ1078">IF($A1078&lt;&gt;"",INDEX(LISTA!$M$2:$N$27,MATCH($BC1078,LISTA!$N$2:$N$27,0),1),"")</f>
        <v/>
      </c>
      <c r="CA1078" s="67" t="str">
        <f t="shared" si="6"/>
        <v/>
      </c>
      <c r="CB1078" s="114" t="str">
        <f t="shared" si="7"/>
        <v/>
      </c>
      <c r="CC1078" s="114"/>
    </row>
    <row r="1079" ht="22.5" customHeight="1">
      <c r="A1079" s="59"/>
      <c r="B1079" s="115"/>
      <c r="C1079" s="54"/>
      <c r="D1079" s="56"/>
      <c r="E1079" s="69"/>
      <c r="F1079" s="73"/>
      <c r="G1079" s="79"/>
      <c r="H1079" s="79"/>
      <c r="I1079" s="67"/>
      <c r="J1079" s="79"/>
      <c r="K1079" s="67"/>
      <c r="L1079" s="79"/>
      <c r="M1079" s="83"/>
      <c r="N1079" s="78"/>
      <c r="O1079" s="80"/>
      <c r="P1079" s="70"/>
      <c r="Q1079" s="54"/>
      <c r="R1079" s="67"/>
      <c r="S1079" s="67"/>
      <c r="T1079" s="54"/>
      <c r="U1079" s="86"/>
      <c r="V1079" s="54"/>
      <c r="W1079" s="86"/>
      <c r="X1079" s="54"/>
      <c r="Y1079" s="78"/>
      <c r="Z1079" s="54"/>
      <c r="AA1079" s="70"/>
      <c r="AB1079" s="83"/>
      <c r="AC1079" s="83"/>
      <c r="AD1079" s="83"/>
      <c r="AE1079" s="83"/>
      <c r="AF1079" s="83"/>
      <c r="AG1079" s="83"/>
      <c r="AH1079" s="83"/>
      <c r="AI1079" s="83"/>
      <c r="AJ1079" s="83"/>
      <c r="AK1079" s="83"/>
      <c r="AL1079" s="83"/>
      <c r="AM1079" s="83"/>
      <c r="AN1079" s="83"/>
      <c r="AO1079" s="83"/>
      <c r="AP1079" s="83"/>
      <c r="AQ1079" s="54"/>
      <c r="AR1079" s="83"/>
      <c r="AS1079" s="83"/>
      <c r="AT1079" s="93"/>
      <c r="AU1079" s="93"/>
      <c r="AV1079" s="93"/>
      <c r="AW1079" s="83"/>
      <c r="AX1079" s="83"/>
      <c r="AY1079" s="83"/>
      <c r="AZ1079" s="83"/>
      <c r="BA1079" s="83"/>
      <c r="BB1079" s="83"/>
      <c r="BC1079" s="54"/>
      <c r="BD1079" s="54" t="str">
        <f t="shared" si="1"/>
        <v/>
      </c>
      <c r="BE1079" s="67"/>
      <c r="BF1079" s="67"/>
      <c r="BG1079" s="67"/>
      <c r="BH1079" s="67"/>
      <c r="BI1079" s="67"/>
      <c r="BJ1079" s="67"/>
      <c r="BK1079" s="67"/>
      <c r="BL1079" s="67"/>
      <c r="BM1079" s="67"/>
      <c r="BN1079" s="100"/>
      <c r="BO1079" s="102"/>
      <c r="BP1079" s="67"/>
      <c r="BQ1079" s="79"/>
      <c r="BR1079" s="67"/>
      <c r="BS1079" s="102"/>
      <c r="BT1079" s="106"/>
      <c r="BU1079" s="107"/>
      <c r="BV1079" s="108" t="str">
        <f t="shared" si="17"/>
        <v/>
      </c>
      <c r="BW1079" s="108" t="str">
        <f t="shared" si="16"/>
        <v/>
      </c>
      <c r="BX1079" s="102" t="str">
        <f t="shared" si="15"/>
        <v/>
      </c>
      <c r="BY1079" s="107" t="str">
        <f t="shared" si="5"/>
        <v/>
      </c>
      <c r="BZ1079" s="107" t="str">
        <f t="array" ref="BZ1079">IF($A1079&lt;&gt;"",INDEX(LISTA!$M$2:$N$27,MATCH($BC1079,LISTA!$N$2:$N$27,0),1),"")</f>
        <v/>
      </c>
      <c r="CA1079" s="67" t="str">
        <f t="shared" si="6"/>
        <v/>
      </c>
      <c r="CB1079" s="114" t="str">
        <f t="shared" si="7"/>
        <v/>
      </c>
      <c r="CC1079" s="114"/>
    </row>
    <row r="1080" ht="22.5" customHeight="1">
      <c r="A1080" s="59"/>
      <c r="B1080" s="115"/>
      <c r="C1080" s="54"/>
      <c r="D1080" s="56"/>
      <c r="E1080" s="69"/>
      <c r="F1080" s="73"/>
      <c r="G1080" s="79"/>
      <c r="H1080" s="79"/>
      <c r="I1080" s="67"/>
      <c r="J1080" s="79"/>
      <c r="K1080" s="67"/>
      <c r="L1080" s="79"/>
      <c r="M1080" s="83"/>
      <c r="N1080" s="78"/>
      <c r="O1080" s="80"/>
      <c r="P1080" s="70"/>
      <c r="Q1080" s="54"/>
      <c r="R1080" s="67"/>
      <c r="S1080" s="67"/>
      <c r="T1080" s="54"/>
      <c r="U1080" s="86"/>
      <c r="V1080" s="54"/>
      <c r="W1080" s="86"/>
      <c r="X1080" s="54"/>
      <c r="Y1080" s="78"/>
      <c r="Z1080" s="54"/>
      <c r="AA1080" s="70"/>
      <c r="AB1080" s="83"/>
      <c r="AC1080" s="83"/>
      <c r="AD1080" s="83"/>
      <c r="AE1080" s="83"/>
      <c r="AF1080" s="83"/>
      <c r="AG1080" s="83"/>
      <c r="AH1080" s="83"/>
      <c r="AI1080" s="83"/>
      <c r="AJ1080" s="83"/>
      <c r="AK1080" s="83"/>
      <c r="AL1080" s="83"/>
      <c r="AM1080" s="83"/>
      <c r="AN1080" s="83"/>
      <c r="AO1080" s="83"/>
      <c r="AP1080" s="83"/>
      <c r="AQ1080" s="54"/>
      <c r="AR1080" s="83"/>
      <c r="AS1080" s="83"/>
      <c r="AT1080" s="93"/>
      <c r="AU1080" s="93"/>
      <c r="AV1080" s="93"/>
      <c r="AW1080" s="83"/>
      <c r="AX1080" s="83"/>
      <c r="AY1080" s="83"/>
      <c r="AZ1080" s="83"/>
      <c r="BA1080" s="83"/>
      <c r="BB1080" s="83"/>
      <c r="BC1080" s="54"/>
      <c r="BD1080" s="54" t="str">
        <f t="shared" si="1"/>
        <v/>
      </c>
      <c r="BE1080" s="67"/>
      <c r="BF1080" s="67"/>
      <c r="BG1080" s="67"/>
      <c r="BH1080" s="67"/>
      <c r="BI1080" s="67"/>
      <c r="BJ1080" s="67"/>
      <c r="BK1080" s="67"/>
      <c r="BL1080" s="67"/>
      <c r="BM1080" s="67"/>
      <c r="BN1080" s="100"/>
      <c r="BO1080" s="102"/>
      <c r="BP1080" s="67"/>
      <c r="BQ1080" s="79"/>
      <c r="BR1080" s="67"/>
      <c r="BS1080" s="102"/>
      <c r="BT1080" s="106"/>
      <c r="BU1080" s="107"/>
      <c r="BV1080" s="108" t="str">
        <f t="shared" si="17"/>
        <v/>
      </c>
      <c r="BW1080" s="108" t="str">
        <f t="shared" si="16"/>
        <v/>
      </c>
      <c r="BX1080" s="102" t="str">
        <f t="shared" si="15"/>
        <v/>
      </c>
      <c r="BY1080" s="107" t="str">
        <f t="shared" si="5"/>
        <v/>
      </c>
      <c r="BZ1080" s="107" t="str">
        <f t="array" ref="BZ1080">IF($A1080&lt;&gt;"",INDEX(LISTA!$M$2:$N$27,MATCH($BC1080,LISTA!$N$2:$N$27,0),1),"")</f>
        <v/>
      </c>
      <c r="CA1080" s="67" t="str">
        <f t="shared" si="6"/>
        <v/>
      </c>
      <c r="CB1080" s="114" t="str">
        <f t="shared" si="7"/>
        <v/>
      </c>
      <c r="CC1080" s="114"/>
    </row>
    <row r="1081" ht="22.5" customHeight="1">
      <c r="A1081" s="59"/>
      <c r="B1081" s="115"/>
      <c r="C1081" s="54"/>
      <c r="D1081" s="56"/>
      <c r="E1081" s="69"/>
      <c r="F1081" s="73"/>
      <c r="G1081" s="79"/>
      <c r="H1081" s="79"/>
      <c r="I1081" s="67"/>
      <c r="J1081" s="79"/>
      <c r="K1081" s="67"/>
      <c r="L1081" s="79"/>
      <c r="M1081" s="83"/>
      <c r="N1081" s="78"/>
      <c r="O1081" s="80"/>
      <c r="P1081" s="70"/>
      <c r="Q1081" s="54"/>
      <c r="R1081" s="67"/>
      <c r="S1081" s="67"/>
      <c r="T1081" s="54"/>
      <c r="U1081" s="86"/>
      <c r="V1081" s="54"/>
      <c r="W1081" s="86"/>
      <c r="X1081" s="54"/>
      <c r="Y1081" s="78"/>
      <c r="Z1081" s="54"/>
      <c r="AA1081" s="70"/>
      <c r="AB1081" s="83"/>
      <c r="AC1081" s="83"/>
      <c r="AD1081" s="83"/>
      <c r="AE1081" s="83"/>
      <c r="AF1081" s="83"/>
      <c r="AG1081" s="83"/>
      <c r="AH1081" s="83"/>
      <c r="AI1081" s="83"/>
      <c r="AJ1081" s="83"/>
      <c r="AK1081" s="83"/>
      <c r="AL1081" s="83"/>
      <c r="AM1081" s="83"/>
      <c r="AN1081" s="83"/>
      <c r="AO1081" s="83"/>
      <c r="AP1081" s="83"/>
      <c r="AQ1081" s="54"/>
      <c r="AR1081" s="83"/>
      <c r="AS1081" s="83"/>
      <c r="AT1081" s="93"/>
      <c r="AU1081" s="93"/>
      <c r="AV1081" s="93"/>
      <c r="AW1081" s="83"/>
      <c r="AX1081" s="83"/>
      <c r="AY1081" s="83"/>
      <c r="AZ1081" s="83"/>
      <c r="BA1081" s="83"/>
      <c r="BB1081" s="83"/>
      <c r="BC1081" s="54"/>
      <c r="BD1081" s="54" t="str">
        <f t="shared" si="1"/>
        <v/>
      </c>
      <c r="BE1081" s="67"/>
      <c r="BF1081" s="67"/>
      <c r="BG1081" s="67"/>
      <c r="BH1081" s="67"/>
      <c r="BI1081" s="67"/>
      <c r="BJ1081" s="67"/>
      <c r="BK1081" s="67"/>
      <c r="BL1081" s="67"/>
      <c r="BM1081" s="67"/>
      <c r="BN1081" s="100"/>
      <c r="BO1081" s="102"/>
      <c r="BP1081" s="67"/>
      <c r="BQ1081" s="79"/>
      <c r="BR1081" s="67"/>
      <c r="BS1081" s="102"/>
      <c r="BT1081" s="106"/>
      <c r="BU1081" s="107"/>
      <c r="BV1081" s="108" t="str">
        <f t="shared" si="17"/>
        <v/>
      </c>
      <c r="BW1081" s="108" t="str">
        <f t="shared" si="16"/>
        <v/>
      </c>
      <c r="BX1081" s="102" t="str">
        <f t="shared" si="15"/>
        <v/>
      </c>
      <c r="BY1081" s="107" t="str">
        <f t="shared" si="5"/>
        <v/>
      </c>
      <c r="BZ1081" s="107" t="str">
        <f t="array" ref="BZ1081">IF($A1081&lt;&gt;"",INDEX(LISTA!$M$2:$N$27,MATCH($BC1081,LISTA!$N$2:$N$27,0),1),"")</f>
        <v/>
      </c>
      <c r="CA1081" s="67" t="str">
        <f t="shared" si="6"/>
        <v/>
      </c>
      <c r="CB1081" s="114" t="str">
        <f t="shared" si="7"/>
        <v/>
      </c>
      <c r="CC1081" s="114"/>
    </row>
    <row r="1082" ht="22.5" customHeight="1">
      <c r="A1082" s="59"/>
      <c r="B1082" s="115"/>
      <c r="C1082" s="54"/>
      <c r="D1082" s="56"/>
      <c r="E1082" s="69"/>
      <c r="F1082" s="73"/>
      <c r="G1082" s="79"/>
      <c r="H1082" s="79"/>
      <c r="I1082" s="67"/>
      <c r="J1082" s="79"/>
      <c r="K1082" s="67"/>
      <c r="L1082" s="79"/>
      <c r="M1082" s="83"/>
      <c r="N1082" s="78"/>
      <c r="O1082" s="80"/>
      <c r="P1082" s="70"/>
      <c r="Q1082" s="54"/>
      <c r="R1082" s="67"/>
      <c r="S1082" s="67"/>
      <c r="T1082" s="54"/>
      <c r="U1082" s="86"/>
      <c r="V1082" s="54"/>
      <c r="W1082" s="86"/>
      <c r="X1082" s="54"/>
      <c r="Y1082" s="78"/>
      <c r="Z1082" s="54"/>
      <c r="AA1082" s="70"/>
      <c r="AB1082" s="83"/>
      <c r="AC1082" s="83"/>
      <c r="AD1082" s="83"/>
      <c r="AE1082" s="83"/>
      <c r="AF1082" s="83"/>
      <c r="AG1082" s="83"/>
      <c r="AH1082" s="83"/>
      <c r="AI1082" s="83"/>
      <c r="AJ1082" s="83"/>
      <c r="AK1082" s="83"/>
      <c r="AL1082" s="83"/>
      <c r="AM1082" s="83"/>
      <c r="AN1082" s="83"/>
      <c r="AO1082" s="83"/>
      <c r="AP1082" s="83"/>
      <c r="AQ1082" s="54"/>
      <c r="AR1082" s="83"/>
      <c r="AS1082" s="83"/>
      <c r="AT1082" s="93"/>
      <c r="AU1082" s="93"/>
      <c r="AV1082" s="93"/>
      <c r="AW1082" s="83"/>
      <c r="AX1082" s="83"/>
      <c r="AY1082" s="83"/>
      <c r="AZ1082" s="83"/>
      <c r="BA1082" s="83"/>
      <c r="BB1082" s="83"/>
      <c r="BC1082" s="54"/>
      <c r="BD1082" s="54" t="str">
        <f t="shared" si="1"/>
        <v/>
      </c>
      <c r="BE1082" s="67"/>
      <c r="BF1082" s="67"/>
      <c r="BG1082" s="67"/>
      <c r="BH1082" s="67"/>
      <c r="BI1082" s="67"/>
      <c r="BJ1082" s="67"/>
      <c r="BK1082" s="67"/>
      <c r="BL1082" s="67"/>
      <c r="BM1082" s="67"/>
      <c r="BN1082" s="100"/>
      <c r="BO1082" s="102"/>
      <c r="BP1082" s="67"/>
      <c r="BQ1082" s="79"/>
      <c r="BR1082" s="67"/>
      <c r="BS1082" s="102"/>
      <c r="BT1082" s="106"/>
      <c r="BU1082" s="107"/>
      <c r="BV1082" s="108" t="str">
        <f t="shared" si="17"/>
        <v/>
      </c>
      <c r="BW1082" s="108" t="str">
        <f t="shared" si="16"/>
        <v/>
      </c>
      <c r="BX1082" s="102" t="str">
        <f t="shared" si="15"/>
        <v/>
      </c>
      <c r="BY1082" s="107" t="str">
        <f t="shared" si="5"/>
        <v/>
      </c>
      <c r="BZ1082" s="107" t="str">
        <f t="array" ref="BZ1082">IF($A1082&lt;&gt;"",INDEX(LISTA!$M$2:$N$27,MATCH($BC1082,LISTA!$N$2:$N$27,0),1),"")</f>
        <v/>
      </c>
      <c r="CA1082" s="67" t="str">
        <f t="shared" si="6"/>
        <v/>
      </c>
      <c r="CB1082" s="114" t="str">
        <f t="shared" si="7"/>
        <v/>
      </c>
      <c r="CC1082" s="114"/>
    </row>
    <row r="1083" ht="22.5" customHeight="1">
      <c r="A1083" s="59"/>
      <c r="B1083" s="115"/>
      <c r="C1083" s="54"/>
      <c r="D1083" s="56"/>
      <c r="E1083" s="69"/>
      <c r="F1083" s="73"/>
      <c r="G1083" s="79"/>
      <c r="H1083" s="79"/>
      <c r="I1083" s="67"/>
      <c r="J1083" s="79"/>
      <c r="K1083" s="67"/>
      <c r="L1083" s="79"/>
      <c r="M1083" s="83"/>
      <c r="N1083" s="78"/>
      <c r="O1083" s="80"/>
      <c r="P1083" s="70"/>
      <c r="Q1083" s="54"/>
      <c r="R1083" s="67"/>
      <c r="S1083" s="67"/>
      <c r="T1083" s="54"/>
      <c r="U1083" s="86"/>
      <c r="V1083" s="54"/>
      <c r="W1083" s="86"/>
      <c r="X1083" s="54"/>
      <c r="Y1083" s="78"/>
      <c r="Z1083" s="54"/>
      <c r="AA1083" s="70"/>
      <c r="AB1083" s="83"/>
      <c r="AC1083" s="83"/>
      <c r="AD1083" s="83"/>
      <c r="AE1083" s="83"/>
      <c r="AF1083" s="83"/>
      <c r="AG1083" s="83"/>
      <c r="AH1083" s="83"/>
      <c r="AI1083" s="83"/>
      <c r="AJ1083" s="83"/>
      <c r="AK1083" s="83"/>
      <c r="AL1083" s="83"/>
      <c r="AM1083" s="83"/>
      <c r="AN1083" s="83"/>
      <c r="AO1083" s="83"/>
      <c r="AP1083" s="83"/>
      <c r="AQ1083" s="54"/>
      <c r="AR1083" s="83"/>
      <c r="AS1083" s="83"/>
      <c r="AT1083" s="93"/>
      <c r="AU1083" s="93"/>
      <c r="AV1083" s="93"/>
      <c r="AW1083" s="83"/>
      <c r="AX1083" s="83"/>
      <c r="AY1083" s="83"/>
      <c r="AZ1083" s="83"/>
      <c r="BA1083" s="83"/>
      <c r="BB1083" s="83"/>
      <c r="BC1083" s="54"/>
      <c r="BD1083" s="54" t="str">
        <f t="shared" si="1"/>
        <v/>
      </c>
      <c r="BE1083" s="67"/>
      <c r="BF1083" s="67"/>
      <c r="BG1083" s="67"/>
      <c r="BH1083" s="67"/>
      <c r="BI1083" s="67"/>
      <c r="BJ1083" s="67"/>
      <c r="BK1083" s="67"/>
      <c r="BL1083" s="67"/>
      <c r="BM1083" s="67"/>
      <c r="BN1083" s="100"/>
      <c r="BO1083" s="102"/>
      <c r="BP1083" s="67"/>
      <c r="BQ1083" s="79"/>
      <c r="BR1083" s="67"/>
      <c r="BS1083" s="102"/>
      <c r="BT1083" s="106"/>
      <c r="BU1083" s="107"/>
      <c r="BV1083" s="108" t="str">
        <f t="shared" si="17"/>
        <v/>
      </c>
      <c r="BW1083" s="108" t="str">
        <f t="shared" si="16"/>
        <v/>
      </c>
      <c r="BX1083" s="102" t="str">
        <f t="shared" si="15"/>
        <v/>
      </c>
      <c r="BY1083" s="107" t="str">
        <f t="shared" si="5"/>
        <v/>
      </c>
      <c r="BZ1083" s="107" t="str">
        <f t="array" ref="BZ1083">IF($A1083&lt;&gt;"",INDEX(LISTA!$M$2:$N$27,MATCH($BC1083,LISTA!$N$2:$N$27,0),1),"")</f>
        <v/>
      </c>
      <c r="CA1083" s="67" t="str">
        <f t="shared" si="6"/>
        <v/>
      </c>
      <c r="CB1083" s="114" t="str">
        <f t="shared" si="7"/>
        <v/>
      </c>
      <c r="CC1083" s="114"/>
    </row>
    <row r="1084" ht="22.5" customHeight="1">
      <c r="A1084" s="59"/>
      <c r="B1084" s="115"/>
      <c r="C1084" s="54"/>
      <c r="D1084" s="56"/>
      <c r="E1084" s="69"/>
      <c r="F1084" s="73"/>
      <c r="G1084" s="79"/>
      <c r="H1084" s="79"/>
      <c r="I1084" s="67"/>
      <c r="J1084" s="79"/>
      <c r="K1084" s="67"/>
      <c r="L1084" s="79"/>
      <c r="M1084" s="83"/>
      <c r="N1084" s="78"/>
      <c r="O1084" s="80"/>
      <c r="P1084" s="70"/>
      <c r="Q1084" s="54"/>
      <c r="R1084" s="67"/>
      <c r="S1084" s="67"/>
      <c r="T1084" s="54"/>
      <c r="U1084" s="86"/>
      <c r="V1084" s="54"/>
      <c r="W1084" s="86"/>
      <c r="X1084" s="54"/>
      <c r="Y1084" s="78"/>
      <c r="Z1084" s="54"/>
      <c r="AA1084" s="70"/>
      <c r="AB1084" s="83"/>
      <c r="AC1084" s="83"/>
      <c r="AD1084" s="83"/>
      <c r="AE1084" s="83"/>
      <c r="AF1084" s="83"/>
      <c r="AG1084" s="83"/>
      <c r="AH1084" s="83"/>
      <c r="AI1084" s="83"/>
      <c r="AJ1084" s="83"/>
      <c r="AK1084" s="83"/>
      <c r="AL1084" s="83"/>
      <c r="AM1084" s="83"/>
      <c r="AN1084" s="83"/>
      <c r="AO1084" s="83"/>
      <c r="AP1084" s="83"/>
      <c r="AQ1084" s="54"/>
      <c r="AR1084" s="83"/>
      <c r="AS1084" s="83"/>
      <c r="AT1084" s="93"/>
      <c r="AU1084" s="93"/>
      <c r="AV1084" s="93"/>
      <c r="AW1084" s="83"/>
      <c r="AX1084" s="83"/>
      <c r="AY1084" s="83"/>
      <c r="AZ1084" s="83"/>
      <c r="BA1084" s="83"/>
      <c r="BB1084" s="83"/>
      <c r="BC1084" s="54"/>
      <c r="BD1084" s="54" t="str">
        <f t="shared" si="1"/>
        <v/>
      </c>
      <c r="BE1084" s="67"/>
      <c r="BF1084" s="67"/>
      <c r="BG1084" s="67"/>
      <c r="BH1084" s="67"/>
      <c r="BI1084" s="67"/>
      <c r="BJ1084" s="67"/>
      <c r="BK1084" s="67"/>
      <c r="BL1084" s="67"/>
      <c r="BM1084" s="67"/>
      <c r="BN1084" s="100"/>
      <c r="BO1084" s="102"/>
      <c r="BP1084" s="67"/>
      <c r="BQ1084" s="79"/>
      <c r="BR1084" s="67"/>
      <c r="BS1084" s="102"/>
      <c r="BT1084" s="106"/>
      <c r="BU1084" s="107"/>
      <c r="BV1084" s="108" t="str">
        <f t="shared" si="17"/>
        <v/>
      </c>
      <c r="BW1084" s="108" t="str">
        <f t="shared" si="16"/>
        <v/>
      </c>
      <c r="BX1084" s="102" t="str">
        <f t="shared" si="15"/>
        <v/>
      </c>
      <c r="BY1084" s="107" t="str">
        <f t="shared" si="5"/>
        <v/>
      </c>
      <c r="BZ1084" s="107" t="str">
        <f t="array" ref="BZ1084">IF($A1084&lt;&gt;"",INDEX(LISTA!$M$2:$N$27,MATCH($BC1084,LISTA!$N$2:$N$27,0),1),"")</f>
        <v/>
      </c>
      <c r="CA1084" s="67" t="str">
        <f t="shared" si="6"/>
        <v/>
      </c>
      <c r="CB1084" s="114" t="str">
        <f t="shared" si="7"/>
        <v/>
      </c>
      <c r="CC1084" s="114"/>
    </row>
    <row r="1085" ht="22.5" customHeight="1">
      <c r="A1085" s="59"/>
      <c r="B1085" s="115"/>
      <c r="C1085" s="54"/>
      <c r="D1085" s="56"/>
      <c r="E1085" s="69"/>
      <c r="F1085" s="73"/>
      <c r="G1085" s="79"/>
      <c r="H1085" s="79"/>
      <c r="I1085" s="67"/>
      <c r="J1085" s="79"/>
      <c r="K1085" s="67"/>
      <c r="L1085" s="79"/>
      <c r="M1085" s="83"/>
      <c r="N1085" s="78"/>
      <c r="O1085" s="80"/>
      <c r="P1085" s="70"/>
      <c r="Q1085" s="54"/>
      <c r="R1085" s="67"/>
      <c r="S1085" s="67"/>
      <c r="T1085" s="54"/>
      <c r="U1085" s="86"/>
      <c r="V1085" s="54"/>
      <c r="W1085" s="86"/>
      <c r="X1085" s="54"/>
      <c r="Y1085" s="78"/>
      <c r="Z1085" s="54"/>
      <c r="AA1085" s="70"/>
      <c r="AB1085" s="83"/>
      <c r="AC1085" s="83"/>
      <c r="AD1085" s="83"/>
      <c r="AE1085" s="83"/>
      <c r="AF1085" s="83"/>
      <c r="AG1085" s="83"/>
      <c r="AH1085" s="83"/>
      <c r="AI1085" s="83"/>
      <c r="AJ1085" s="83"/>
      <c r="AK1085" s="83"/>
      <c r="AL1085" s="83"/>
      <c r="AM1085" s="83"/>
      <c r="AN1085" s="83"/>
      <c r="AO1085" s="83"/>
      <c r="AP1085" s="83"/>
      <c r="AQ1085" s="54"/>
      <c r="AR1085" s="83"/>
      <c r="AS1085" s="83"/>
      <c r="AT1085" s="93"/>
      <c r="AU1085" s="93"/>
      <c r="AV1085" s="93"/>
      <c r="AW1085" s="83"/>
      <c r="AX1085" s="83"/>
      <c r="AY1085" s="83"/>
      <c r="AZ1085" s="83"/>
      <c r="BA1085" s="83"/>
      <c r="BB1085" s="83"/>
      <c r="BC1085" s="54"/>
      <c r="BD1085" s="54" t="str">
        <f t="shared" si="1"/>
        <v/>
      </c>
      <c r="BE1085" s="67"/>
      <c r="BF1085" s="67"/>
      <c r="BG1085" s="67"/>
      <c r="BH1085" s="67"/>
      <c r="BI1085" s="67"/>
      <c r="BJ1085" s="67"/>
      <c r="BK1085" s="67"/>
      <c r="BL1085" s="67"/>
      <c r="BM1085" s="67"/>
      <c r="BN1085" s="100"/>
      <c r="BO1085" s="102"/>
      <c r="BP1085" s="67"/>
      <c r="BQ1085" s="79"/>
      <c r="BR1085" s="67"/>
      <c r="BS1085" s="102"/>
      <c r="BT1085" s="106"/>
      <c r="BU1085" s="107"/>
      <c r="BV1085" s="108" t="str">
        <f t="shared" si="17"/>
        <v/>
      </c>
      <c r="BW1085" s="108" t="str">
        <f t="shared" si="16"/>
        <v/>
      </c>
      <c r="BX1085" s="102" t="str">
        <f t="shared" si="15"/>
        <v/>
      </c>
      <c r="BY1085" s="107" t="str">
        <f t="shared" si="5"/>
        <v/>
      </c>
      <c r="BZ1085" s="107" t="str">
        <f t="array" ref="BZ1085">IF($A1085&lt;&gt;"",INDEX(LISTA!$M$2:$N$27,MATCH($BC1085,LISTA!$N$2:$N$27,0),1),"")</f>
        <v/>
      </c>
      <c r="CA1085" s="67" t="str">
        <f t="shared" si="6"/>
        <v/>
      </c>
      <c r="CB1085" s="114" t="str">
        <f t="shared" si="7"/>
        <v/>
      </c>
      <c r="CC1085" s="114"/>
    </row>
    <row r="1086" ht="22.5" customHeight="1">
      <c r="A1086" s="59"/>
      <c r="B1086" s="115"/>
      <c r="C1086" s="54"/>
      <c r="D1086" s="56"/>
      <c r="E1086" s="69"/>
      <c r="F1086" s="73"/>
      <c r="G1086" s="79"/>
      <c r="H1086" s="79"/>
      <c r="I1086" s="67"/>
      <c r="J1086" s="79"/>
      <c r="K1086" s="67"/>
      <c r="L1086" s="79"/>
      <c r="M1086" s="83"/>
      <c r="N1086" s="78"/>
      <c r="O1086" s="80"/>
      <c r="P1086" s="70"/>
      <c r="Q1086" s="54"/>
      <c r="R1086" s="67"/>
      <c r="S1086" s="67"/>
      <c r="T1086" s="54"/>
      <c r="U1086" s="86"/>
      <c r="V1086" s="54"/>
      <c r="W1086" s="86"/>
      <c r="X1086" s="54"/>
      <c r="Y1086" s="78"/>
      <c r="Z1086" s="54"/>
      <c r="AA1086" s="70"/>
      <c r="AB1086" s="83"/>
      <c r="AC1086" s="83"/>
      <c r="AD1086" s="83"/>
      <c r="AE1086" s="83"/>
      <c r="AF1086" s="83"/>
      <c r="AG1086" s="83"/>
      <c r="AH1086" s="83"/>
      <c r="AI1086" s="83"/>
      <c r="AJ1086" s="83"/>
      <c r="AK1086" s="83"/>
      <c r="AL1086" s="83"/>
      <c r="AM1086" s="83"/>
      <c r="AN1086" s="83"/>
      <c r="AO1086" s="83"/>
      <c r="AP1086" s="83"/>
      <c r="AQ1086" s="54"/>
      <c r="AR1086" s="83"/>
      <c r="AS1086" s="83"/>
      <c r="AT1086" s="93"/>
      <c r="AU1086" s="93"/>
      <c r="AV1086" s="93"/>
      <c r="AW1086" s="83"/>
      <c r="AX1086" s="83"/>
      <c r="AY1086" s="83"/>
      <c r="AZ1086" s="83"/>
      <c r="BA1086" s="83"/>
      <c r="BB1086" s="83"/>
      <c r="BC1086" s="54"/>
      <c r="BD1086" s="54" t="str">
        <f t="shared" si="1"/>
        <v/>
      </c>
      <c r="BE1086" s="67"/>
      <c r="BF1086" s="67"/>
      <c r="BG1086" s="67"/>
      <c r="BH1086" s="67"/>
      <c r="BI1086" s="67"/>
      <c r="BJ1086" s="67"/>
      <c r="BK1086" s="67"/>
      <c r="BL1086" s="67"/>
      <c r="BM1086" s="67"/>
      <c r="BN1086" s="100"/>
      <c r="BO1086" s="102"/>
      <c r="BP1086" s="67"/>
      <c r="BQ1086" s="79"/>
      <c r="BR1086" s="67"/>
      <c r="BS1086" s="102"/>
      <c r="BT1086" s="106"/>
      <c r="BU1086" s="107"/>
      <c r="BV1086" s="108" t="str">
        <f t="shared" si="17"/>
        <v/>
      </c>
      <c r="BW1086" s="108" t="str">
        <f t="shared" si="16"/>
        <v/>
      </c>
      <c r="BX1086" s="102" t="str">
        <f t="shared" si="15"/>
        <v/>
      </c>
      <c r="BY1086" s="107" t="str">
        <f t="shared" si="5"/>
        <v/>
      </c>
      <c r="BZ1086" s="107" t="str">
        <f t="array" ref="BZ1086">IF($A1086&lt;&gt;"",INDEX(LISTA!$M$2:$N$27,MATCH($BC1086,LISTA!$N$2:$N$27,0),1),"")</f>
        <v/>
      </c>
      <c r="CA1086" s="67" t="str">
        <f t="shared" si="6"/>
        <v/>
      </c>
      <c r="CB1086" s="114" t="str">
        <f t="shared" si="7"/>
        <v/>
      </c>
      <c r="CC1086" s="114"/>
    </row>
    <row r="1087" ht="22.5" customHeight="1">
      <c r="A1087" s="59"/>
      <c r="B1087" s="115"/>
      <c r="C1087" s="54"/>
      <c r="D1087" s="56"/>
      <c r="E1087" s="69"/>
      <c r="F1087" s="73"/>
      <c r="G1087" s="79"/>
      <c r="H1087" s="79"/>
      <c r="I1087" s="67"/>
      <c r="J1087" s="79"/>
      <c r="K1087" s="67"/>
      <c r="L1087" s="79"/>
      <c r="M1087" s="83"/>
      <c r="N1087" s="78"/>
      <c r="O1087" s="80"/>
      <c r="P1087" s="70"/>
      <c r="Q1087" s="54"/>
      <c r="R1087" s="67"/>
      <c r="S1087" s="67"/>
      <c r="T1087" s="54"/>
      <c r="U1087" s="86"/>
      <c r="V1087" s="54"/>
      <c r="W1087" s="86"/>
      <c r="X1087" s="54"/>
      <c r="Y1087" s="78"/>
      <c r="Z1087" s="54"/>
      <c r="AA1087" s="70"/>
      <c r="AB1087" s="83"/>
      <c r="AC1087" s="83"/>
      <c r="AD1087" s="83"/>
      <c r="AE1087" s="83"/>
      <c r="AF1087" s="83"/>
      <c r="AG1087" s="83"/>
      <c r="AH1087" s="83"/>
      <c r="AI1087" s="83"/>
      <c r="AJ1087" s="83"/>
      <c r="AK1087" s="83"/>
      <c r="AL1087" s="83"/>
      <c r="AM1087" s="83"/>
      <c r="AN1087" s="83"/>
      <c r="AO1087" s="83"/>
      <c r="AP1087" s="83"/>
      <c r="AQ1087" s="54"/>
      <c r="AR1087" s="83"/>
      <c r="AS1087" s="83"/>
      <c r="AT1087" s="93"/>
      <c r="AU1087" s="93"/>
      <c r="AV1087" s="93"/>
      <c r="AW1087" s="83"/>
      <c r="AX1087" s="83"/>
      <c r="AY1087" s="83"/>
      <c r="AZ1087" s="83"/>
      <c r="BA1087" s="83"/>
      <c r="BB1087" s="83"/>
      <c r="BC1087" s="54"/>
      <c r="BD1087" s="54" t="str">
        <f t="shared" si="1"/>
        <v/>
      </c>
      <c r="BE1087" s="67"/>
      <c r="BF1087" s="67"/>
      <c r="BG1087" s="67"/>
      <c r="BH1087" s="67"/>
      <c r="BI1087" s="67"/>
      <c r="BJ1087" s="67"/>
      <c r="BK1087" s="67"/>
      <c r="BL1087" s="67"/>
      <c r="BM1087" s="67"/>
      <c r="BN1087" s="100"/>
      <c r="BO1087" s="102"/>
      <c r="BP1087" s="67"/>
      <c r="BQ1087" s="79"/>
      <c r="BR1087" s="67"/>
      <c r="BS1087" s="102"/>
      <c r="BT1087" s="106"/>
      <c r="BU1087" s="107"/>
      <c r="BV1087" s="108" t="str">
        <f t="shared" si="17"/>
        <v/>
      </c>
      <c r="BW1087" s="108" t="str">
        <f t="shared" si="16"/>
        <v/>
      </c>
      <c r="BX1087" s="102" t="str">
        <f t="shared" si="15"/>
        <v/>
      </c>
      <c r="BY1087" s="107" t="str">
        <f t="shared" si="5"/>
        <v/>
      </c>
      <c r="BZ1087" s="107" t="str">
        <f t="array" ref="BZ1087">IF($A1087&lt;&gt;"",INDEX(LISTA!$M$2:$N$27,MATCH($BC1087,LISTA!$N$2:$N$27,0),1),"")</f>
        <v/>
      </c>
      <c r="CA1087" s="67" t="str">
        <f t="shared" si="6"/>
        <v/>
      </c>
      <c r="CB1087" s="114" t="str">
        <f t="shared" si="7"/>
        <v/>
      </c>
      <c r="CC1087" s="114"/>
    </row>
    <row r="1088" ht="22.5" customHeight="1">
      <c r="A1088" s="59"/>
      <c r="B1088" s="115"/>
      <c r="C1088" s="54"/>
      <c r="D1088" s="56"/>
      <c r="E1088" s="69"/>
      <c r="F1088" s="73"/>
      <c r="G1088" s="79"/>
      <c r="H1088" s="79"/>
      <c r="I1088" s="67"/>
      <c r="J1088" s="79"/>
      <c r="K1088" s="67"/>
      <c r="L1088" s="79"/>
      <c r="M1088" s="83"/>
      <c r="N1088" s="78"/>
      <c r="O1088" s="80"/>
      <c r="P1088" s="70"/>
      <c r="Q1088" s="54"/>
      <c r="R1088" s="67"/>
      <c r="S1088" s="67"/>
      <c r="T1088" s="54"/>
      <c r="U1088" s="86"/>
      <c r="V1088" s="54"/>
      <c r="W1088" s="86"/>
      <c r="X1088" s="54"/>
      <c r="Y1088" s="78"/>
      <c r="Z1088" s="54"/>
      <c r="AA1088" s="70"/>
      <c r="AB1088" s="83"/>
      <c r="AC1088" s="83"/>
      <c r="AD1088" s="83"/>
      <c r="AE1088" s="83"/>
      <c r="AF1088" s="83"/>
      <c r="AG1088" s="83"/>
      <c r="AH1088" s="83"/>
      <c r="AI1088" s="83"/>
      <c r="AJ1088" s="83"/>
      <c r="AK1088" s="83"/>
      <c r="AL1088" s="83"/>
      <c r="AM1088" s="83"/>
      <c r="AN1088" s="83"/>
      <c r="AO1088" s="83"/>
      <c r="AP1088" s="83"/>
      <c r="AQ1088" s="54"/>
      <c r="AR1088" s="83"/>
      <c r="AS1088" s="83"/>
      <c r="AT1088" s="93"/>
      <c r="AU1088" s="93"/>
      <c r="AV1088" s="93"/>
      <c r="AW1088" s="83"/>
      <c r="AX1088" s="83"/>
      <c r="AY1088" s="83"/>
      <c r="AZ1088" s="83"/>
      <c r="BA1088" s="83"/>
      <c r="BB1088" s="83"/>
      <c r="BC1088" s="54"/>
      <c r="BD1088" s="54" t="str">
        <f t="shared" si="1"/>
        <v/>
      </c>
      <c r="BE1088" s="67"/>
      <c r="BF1088" s="67"/>
      <c r="BG1088" s="67"/>
      <c r="BH1088" s="67"/>
      <c r="BI1088" s="67"/>
      <c r="BJ1088" s="67"/>
      <c r="BK1088" s="67"/>
      <c r="BL1088" s="67"/>
      <c r="BM1088" s="67"/>
      <c r="BN1088" s="100"/>
      <c r="BO1088" s="102"/>
      <c r="BP1088" s="67"/>
      <c r="BQ1088" s="79"/>
      <c r="BR1088" s="67"/>
      <c r="BS1088" s="102"/>
      <c r="BT1088" s="106"/>
      <c r="BU1088" s="107"/>
      <c r="BV1088" s="108" t="str">
        <f t="shared" si="17"/>
        <v/>
      </c>
      <c r="BW1088" s="108" t="str">
        <f t="shared" si="16"/>
        <v/>
      </c>
      <c r="BX1088" s="102" t="str">
        <f t="shared" si="15"/>
        <v/>
      </c>
      <c r="BY1088" s="107" t="str">
        <f t="shared" si="5"/>
        <v/>
      </c>
      <c r="BZ1088" s="107" t="str">
        <f t="array" ref="BZ1088">IF($A1088&lt;&gt;"",INDEX(LISTA!$M$2:$N$27,MATCH($BC1088,LISTA!$N$2:$N$27,0),1),"")</f>
        <v/>
      </c>
      <c r="CA1088" s="67" t="str">
        <f t="shared" si="6"/>
        <v/>
      </c>
      <c r="CB1088" s="114" t="str">
        <f t="shared" si="7"/>
        <v/>
      </c>
      <c r="CC1088" s="114"/>
    </row>
    <row r="1089" ht="22.5" customHeight="1">
      <c r="A1089" s="59"/>
      <c r="B1089" s="115"/>
      <c r="C1089" s="54"/>
      <c r="D1089" s="56"/>
      <c r="E1089" s="69"/>
      <c r="F1089" s="73"/>
      <c r="G1089" s="79"/>
      <c r="H1089" s="79"/>
      <c r="I1089" s="67"/>
      <c r="J1089" s="79"/>
      <c r="K1089" s="67"/>
      <c r="L1089" s="79"/>
      <c r="M1089" s="83"/>
      <c r="N1089" s="78"/>
      <c r="O1089" s="80"/>
      <c r="P1089" s="70"/>
      <c r="Q1089" s="54"/>
      <c r="R1089" s="67"/>
      <c r="S1089" s="67"/>
      <c r="T1089" s="54"/>
      <c r="U1089" s="86"/>
      <c r="V1089" s="54"/>
      <c r="W1089" s="86"/>
      <c r="X1089" s="54"/>
      <c r="Y1089" s="78"/>
      <c r="Z1089" s="54"/>
      <c r="AA1089" s="70"/>
      <c r="AB1089" s="83"/>
      <c r="AC1089" s="83"/>
      <c r="AD1089" s="83"/>
      <c r="AE1089" s="83"/>
      <c r="AF1089" s="83"/>
      <c r="AG1089" s="83"/>
      <c r="AH1089" s="83"/>
      <c r="AI1089" s="83"/>
      <c r="AJ1089" s="83"/>
      <c r="AK1089" s="83"/>
      <c r="AL1089" s="83"/>
      <c r="AM1089" s="83"/>
      <c r="AN1089" s="83"/>
      <c r="AO1089" s="83"/>
      <c r="AP1089" s="83"/>
      <c r="AQ1089" s="54"/>
      <c r="AR1089" s="83"/>
      <c r="AS1089" s="83"/>
      <c r="AT1089" s="93"/>
      <c r="AU1089" s="93"/>
      <c r="AV1089" s="93"/>
      <c r="AW1089" s="83"/>
      <c r="AX1089" s="83"/>
      <c r="AY1089" s="83"/>
      <c r="AZ1089" s="83"/>
      <c r="BA1089" s="83"/>
      <c r="BB1089" s="83"/>
      <c r="BC1089" s="54"/>
      <c r="BD1089" s="54" t="str">
        <f t="shared" si="1"/>
        <v/>
      </c>
      <c r="BE1089" s="67"/>
      <c r="BF1089" s="67"/>
      <c r="BG1089" s="67"/>
      <c r="BH1089" s="67"/>
      <c r="BI1089" s="67"/>
      <c r="BJ1089" s="67"/>
      <c r="BK1089" s="67"/>
      <c r="BL1089" s="67"/>
      <c r="BM1089" s="67"/>
      <c r="BN1089" s="100"/>
      <c r="BO1089" s="102"/>
      <c r="BP1089" s="67"/>
      <c r="BQ1089" s="79"/>
      <c r="BR1089" s="67"/>
      <c r="BS1089" s="102"/>
      <c r="BT1089" s="106"/>
      <c r="BU1089" s="107"/>
      <c r="BV1089" s="108" t="str">
        <f t="shared" si="17"/>
        <v/>
      </c>
      <c r="BW1089" s="108" t="str">
        <f t="shared" si="16"/>
        <v/>
      </c>
      <c r="BX1089" s="102" t="str">
        <f t="shared" si="15"/>
        <v/>
      </c>
      <c r="BY1089" s="107" t="str">
        <f t="shared" si="5"/>
        <v/>
      </c>
      <c r="BZ1089" s="107" t="str">
        <f t="array" ref="BZ1089">IF($A1089&lt;&gt;"",INDEX(LISTA!$M$2:$N$27,MATCH($BC1089,LISTA!$N$2:$N$27,0),1),"")</f>
        <v/>
      </c>
      <c r="CA1089" s="67" t="str">
        <f t="shared" si="6"/>
        <v/>
      </c>
      <c r="CB1089" s="114" t="str">
        <f t="shared" si="7"/>
        <v/>
      </c>
      <c r="CC1089" s="114"/>
    </row>
    <row r="1090" ht="22.5" customHeight="1">
      <c r="A1090" s="59"/>
      <c r="B1090" s="115"/>
      <c r="C1090" s="54"/>
      <c r="D1090" s="56"/>
      <c r="E1090" s="69"/>
      <c r="F1090" s="73"/>
      <c r="G1090" s="79"/>
      <c r="H1090" s="79"/>
      <c r="I1090" s="67"/>
      <c r="J1090" s="79"/>
      <c r="K1090" s="67"/>
      <c r="L1090" s="79"/>
      <c r="M1090" s="83"/>
      <c r="N1090" s="78"/>
      <c r="O1090" s="80"/>
      <c r="P1090" s="70"/>
      <c r="Q1090" s="54"/>
      <c r="R1090" s="67"/>
      <c r="S1090" s="67"/>
      <c r="T1090" s="54"/>
      <c r="U1090" s="86"/>
      <c r="V1090" s="54"/>
      <c r="W1090" s="86"/>
      <c r="X1090" s="54"/>
      <c r="Y1090" s="78"/>
      <c r="Z1090" s="54"/>
      <c r="AA1090" s="70"/>
      <c r="AB1090" s="83"/>
      <c r="AC1090" s="83"/>
      <c r="AD1090" s="83"/>
      <c r="AE1090" s="83"/>
      <c r="AF1090" s="83"/>
      <c r="AG1090" s="83"/>
      <c r="AH1090" s="83"/>
      <c r="AI1090" s="83"/>
      <c r="AJ1090" s="83"/>
      <c r="AK1090" s="83"/>
      <c r="AL1090" s="83"/>
      <c r="AM1090" s="83"/>
      <c r="AN1090" s="83"/>
      <c r="AO1090" s="83"/>
      <c r="AP1090" s="83"/>
      <c r="AQ1090" s="54"/>
      <c r="AR1090" s="83"/>
      <c r="AS1090" s="83"/>
      <c r="AT1090" s="93"/>
      <c r="AU1090" s="93"/>
      <c r="AV1090" s="93"/>
      <c r="AW1090" s="83"/>
      <c r="AX1090" s="83"/>
      <c r="AY1090" s="83"/>
      <c r="AZ1090" s="83"/>
      <c r="BA1090" s="83"/>
      <c r="BB1090" s="83"/>
      <c r="BC1090" s="54"/>
      <c r="BD1090" s="54" t="str">
        <f t="shared" si="1"/>
        <v/>
      </c>
      <c r="BE1090" s="67"/>
      <c r="BF1090" s="67"/>
      <c r="BG1090" s="67"/>
      <c r="BH1090" s="67"/>
      <c r="BI1090" s="67"/>
      <c r="BJ1090" s="67"/>
      <c r="BK1090" s="67"/>
      <c r="BL1090" s="67"/>
      <c r="BM1090" s="67"/>
      <c r="BN1090" s="100"/>
      <c r="BO1090" s="102"/>
      <c r="BP1090" s="67"/>
      <c r="BQ1090" s="79"/>
      <c r="BR1090" s="67"/>
      <c r="BS1090" s="102"/>
      <c r="BT1090" s="106"/>
      <c r="BU1090" s="107"/>
      <c r="BV1090" s="108" t="str">
        <f t="shared" si="17"/>
        <v/>
      </c>
      <c r="BW1090" s="108" t="str">
        <f t="shared" si="16"/>
        <v/>
      </c>
      <c r="BX1090" s="102" t="str">
        <f t="shared" si="15"/>
        <v/>
      </c>
      <c r="BY1090" s="107" t="str">
        <f t="shared" si="5"/>
        <v/>
      </c>
      <c r="BZ1090" s="107" t="str">
        <f t="array" ref="BZ1090">IF($A1090&lt;&gt;"",INDEX(LISTA!$M$2:$N$27,MATCH($BC1090,LISTA!$N$2:$N$27,0),1),"")</f>
        <v/>
      </c>
      <c r="CA1090" s="67" t="str">
        <f t="shared" si="6"/>
        <v/>
      </c>
      <c r="CB1090" s="114" t="str">
        <f t="shared" si="7"/>
        <v/>
      </c>
      <c r="CC1090" s="114"/>
    </row>
    <row r="1091" ht="22.5" customHeight="1">
      <c r="A1091" s="59"/>
      <c r="B1091" s="115"/>
      <c r="C1091" s="54"/>
      <c r="D1091" s="56"/>
      <c r="E1091" s="69"/>
      <c r="F1091" s="73"/>
      <c r="G1091" s="79"/>
      <c r="H1091" s="79"/>
      <c r="I1091" s="67"/>
      <c r="J1091" s="79"/>
      <c r="K1091" s="67"/>
      <c r="L1091" s="79"/>
      <c r="M1091" s="83"/>
      <c r="N1091" s="78"/>
      <c r="O1091" s="80"/>
      <c r="P1091" s="70"/>
      <c r="Q1091" s="54"/>
      <c r="R1091" s="67"/>
      <c r="S1091" s="67"/>
      <c r="T1091" s="54"/>
      <c r="U1091" s="86"/>
      <c r="V1091" s="54"/>
      <c r="W1091" s="86"/>
      <c r="X1091" s="54"/>
      <c r="Y1091" s="78"/>
      <c r="Z1091" s="54"/>
      <c r="AA1091" s="70"/>
      <c r="AB1091" s="83"/>
      <c r="AC1091" s="83"/>
      <c r="AD1091" s="83"/>
      <c r="AE1091" s="83"/>
      <c r="AF1091" s="83"/>
      <c r="AG1091" s="83"/>
      <c r="AH1091" s="83"/>
      <c r="AI1091" s="83"/>
      <c r="AJ1091" s="83"/>
      <c r="AK1091" s="83"/>
      <c r="AL1091" s="83"/>
      <c r="AM1091" s="83"/>
      <c r="AN1091" s="83"/>
      <c r="AO1091" s="83"/>
      <c r="AP1091" s="83"/>
      <c r="AQ1091" s="54"/>
      <c r="AR1091" s="83"/>
      <c r="AS1091" s="83"/>
      <c r="AT1091" s="93"/>
      <c r="AU1091" s="93"/>
      <c r="AV1091" s="93"/>
      <c r="AW1091" s="83"/>
      <c r="AX1091" s="83"/>
      <c r="AY1091" s="83"/>
      <c r="AZ1091" s="83"/>
      <c r="BA1091" s="83"/>
      <c r="BB1091" s="83"/>
      <c r="BC1091" s="54"/>
      <c r="BD1091" s="54" t="str">
        <f t="shared" si="1"/>
        <v/>
      </c>
      <c r="BE1091" s="67"/>
      <c r="BF1091" s="67"/>
      <c r="BG1091" s="67"/>
      <c r="BH1091" s="67"/>
      <c r="BI1091" s="67"/>
      <c r="BJ1091" s="67"/>
      <c r="BK1091" s="67"/>
      <c r="BL1091" s="67"/>
      <c r="BM1091" s="67"/>
      <c r="BN1091" s="100"/>
      <c r="BO1091" s="102"/>
      <c r="BP1091" s="67"/>
      <c r="BQ1091" s="79"/>
      <c r="BR1091" s="67"/>
      <c r="BS1091" s="102"/>
      <c r="BT1091" s="106"/>
      <c r="BU1091" s="107"/>
      <c r="BV1091" s="108" t="str">
        <f t="shared" si="17"/>
        <v/>
      </c>
      <c r="BW1091" s="108" t="str">
        <f t="shared" si="16"/>
        <v/>
      </c>
      <c r="BX1091" s="102" t="str">
        <f t="shared" si="15"/>
        <v/>
      </c>
      <c r="BY1091" s="107" t="str">
        <f t="shared" si="5"/>
        <v/>
      </c>
      <c r="BZ1091" s="107" t="str">
        <f t="array" ref="BZ1091">IF($A1091&lt;&gt;"",INDEX(LISTA!$M$2:$N$27,MATCH($BC1091,LISTA!$N$2:$N$27,0),1),"")</f>
        <v/>
      </c>
      <c r="CA1091" s="67" t="str">
        <f t="shared" si="6"/>
        <v/>
      </c>
      <c r="CB1091" s="114" t="str">
        <f t="shared" si="7"/>
        <v/>
      </c>
      <c r="CC1091" s="114"/>
    </row>
    <row r="1092" ht="22.5" customHeight="1">
      <c r="A1092" s="59"/>
      <c r="B1092" s="115"/>
      <c r="C1092" s="54"/>
      <c r="D1092" s="56"/>
      <c r="E1092" s="69"/>
      <c r="F1092" s="73"/>
      <c r="G1092" s="79"/>
      <c r="H1092" s="79"/>
      <c r="I1092" s="67"/>
      <c r="J1092" s="79"/>
      <c r="K1092" s="67"/>
      <c r="L1092" s="79"/>
      <c r="M1092" s="83"/>
      <c r="N1092" s="78"/>
      <c r="O1092" s="80"/>
      <c r="P1092" s="70"/>
      <c r="Q1092" s="54"/>
      <c r="R1092" s="67"/>
      <c r="S1092" s="67"/>
      <c r="T1092" s="54"/>
      <c r="U1092" s="86"/>
      <c r="V1092" s="54"/>
      <c r="W1092" s="86"/>
      <c r="X1092" s="54"/>
      <c r="Y1092" s="78"/>
      <c r="Z1092" s="54"/>
      <c r="AA1092" s="70"/>
      <c r="AB1092" s="83"/>
      <c r="AC1092" s="83"/>
      <c r="AD1092" s="83"/>
      <c r="AE1092" s="83"/>
      <c r="AF1092" s="83"/>
      <c r="AG1092" s="83"/>
      <c r="AH1092" s="83"/>
      <c r="AI1092" s="83"/>
      <c r="AJ1092" s="83"/>
      <c r="AK1092" s="83"/>
      <c r="AL1092" s="83"/>
      <c r="AM1092" s="83"/>
      <c r="AN1092" s="83"/>
      <c r="AO1092" s="83"/>
      <c r="AP1092" s="83"/>
      <c r="AQ1092" s="54"/>
      <c r="AR1092" s="83"/>
      <c r="AS1092" s="83"/>
      <c r="AT1092" s="93"/>
      <c r="AU1092" s="93"/>
      <c r="AV1092" s="93"/>
      <c r="AW1092" s="83"/>
      <c r="AX1092" s="83"/>
      <c r="AY1092" s="83"/>
      <c r="AZ1092" s="83"/>
      <c r="BA1092" s="83"/>
      <c r="BB1092" s="83"/>
      <c r="BC1092" s="54"/>
      <c r="BD1092" s="54" t="str">
        <f t="shared" si="1"/>
        <v/>
      </c>
      <c r="BE1092" s="67"/>
      <c r="BF1092" s="67"/>
      <c r="BG1092" s="67"/>
      <c r="BH1092" s="67"/>
      <c r="BI1092" s="67"/>
      <c r="BJ1092" s="67"/>
      <c r="BK1092" s="67"/>
      <c r="BL1092" s="67"/>
      <c r="BM1092" s="67"/>
      <c r="BN1092" s="100"/>
      <c r="BO1092" s="102"/>
      <c r="BP1092" s="67"/>
      <c r="BQ1092" s="79"/>
      <c r="BR1092" s="67"/>
      <c r="BS1092" s="102"/>
      <c r="BT1092" s="106"/>
      <c r="BU1092" s="107"/>
      <c r="BV1092" s="108" t="str">
        <f t="shared" si="17"/>
        <v/>
      </c>
      <c r="BW1092" s="108" t="str">
        <f t="shared" si="16"/>
        <v/>
      </c>
      <c r="BX1092" s="102" t="str">
        <f t="shared" si="15"/>
        <v/>
      </c>
      <c r="BY1092" s="107" t="str">
        <f t="shared" si="5"/>
        <v/>
      </c>
      <c r="BZ1092" s="107" t="str">
        <f t="array" ref="BZ1092">IF($A1092&lt;&gt;"",INDEX(LISTA!$M$2:$N$27,MATCH($BC1092,LISTA!$N$2:$N$27,0),1),"")</f>
        <v/>
      </c>
      <c r="CA1092" s="67" t="str">
        <f t="shared" si="6"/>
        <v/>
      </c>
      <c r="CB1092" s="114" t="str">
        <f t="shared" si="7"/>
        <v/>
      </c>
      <c r="CC1092" s="114"/>
    </row>
    <row r="1093" ht="22.5" customHeight="1">
      <c r="A1093" s="59"/>
      <c r="B1093" s="115"/>
      <c r="C1093" s="54"/>
      <c r="D1093" s="56"/>
      <c r="E1093" s="69"/>
      <c r="F1093" s="73"/>
      <c r="G1093" s="79"/>
      <c r="H1093" s="79"/>
      <c r="I1093" s="67"/>
      <c r="J1093" s="79"/>
      <c r="K1093" s="67"/>
      <c r="L1093" s="79"/>
      <c r="M1093" s="83"/>
      <c r="N1093" s="78"/>
      <c r="O1093" s="80"/>
      <c r="P1093" s="70"/>
      <c r="Q1093" s="54"/>
      <c r="R1093" s="67"/>
      <c r="S1093" s="67"/>
      <c r="T1093" s="54"/>
      <c r="U1093" s="86"/>
      <c r="V1093" s="54"/>
      <c r="W1093" s="86"/>
      <c r="X1093" s="54"/>
      <c r="Y1093" s="78"/>
      <c r="Z1093" s="54"/>
      <c r="AA1093" s="70"/>
      <c r="AB1093" s="83"/>
      <c r="AC1093" s="83"/>
      <c r="AD1093" s="83"/>
      <c r="AE1093" s="83"/>
      <c r="AF1093" s="83"/>
      <c r="AG1093" s="83"/>
      <c r="AH1093" s="83"/>
      <c r="AI1093" s="83"/>
      <c r="AJ1093" s="83"/>
      <c r="AK1093" s="83"/>
      <c r="AL1093" s="83"/>
      <c r="AM1093" s="83"/>
      <c r="AN1093" s="83"/>
      <c r="AO1093" s="83"/>
      <c r="AP1093" s="83"/>
      <c r="AQ1093" s="54"/>
      <c r="AR1093" s="83"/>
      <c r="AS1093" s="83"/>
      <c r="AT1093" s="93"/>
      <c r="AU1093" s="93"/>
      <c r="AV1093" s="93"/>
      <c r="AW1093" s="83"/>
      <c r="AX1093" s="83"/>
      <c r="AY1093" s="83"/>
      <c r="AZ1093" s="83"/>
      <c r="BA1093" s="83"/>
      <c r="BB1093" s="83"/>
      <c r="BC1093" s="54"/>
      <c r="BD1093" s="54" t="str">
        <f t="shared" si="1"/>
        <v/>
      </c>
      <c r="BE1093" s="67"/>
      <c r="BF1093" s="67"/>
      <c r="BG1093" s="67"/>
      <c r="BH1093" s="67"/>
      <c r="BI1093" s="67"/>
      <c r="BJ1093" s="67"/>
      <c r="BK1093" s="67"/>
      <c r="BL1093" s="67"/>
      <c r="BM1093" s="67"/>
      <c r="BN1093" s="100"/>
      <c r="BO1093" s="102"/>
      <c r="BP1093" s="67"/>
      <c r="BQ1093" s="79"/>
      <c r="BR1093" s="67"/>
      <c r="BS1093" s="102"/>
      <c r="BT1093" s="106"/>
      <c r="BU1093" s="107"/>
      <c r="BV1093" s="108" t="str">
        <f t="shared" si="17"/>
        <v/>
      </c>
      <c r="BW1093" s="108" t="str">
        <f t="shared" si="16"/>
        <v/>
      </c>
      <c r="BX1093" s="102" t="str">
        <f t="shared" si="15"/>
        <v/>
      </c>
      <c r="BY1093" s="107" t="str">
        <f t="shared" si="5"/>
        <v/>
      </c>
      <c r="BZ1093" s="107" t="str">
        <f t="array" ref="BZ1093">IF($A1093&lt;&gt;"",INDEX(LISTA!$M$2:$N$27,MATCH($BC1093,LISTA!$N$2:$N$27,0),1),"")</f>
        <v/>
      </c>
      <c r="CA1093" s="67" t="str">
        <f t="shared" si="6"/>
        <v/>
      </c>
      <c r="CB1093" s="114" t="str">
        <f t="shared" si="7"/>
        <v/>
      </c>
      <c r="CC1093" s="114"/>
    </row>
    <row r="1094" ht="22.5" customHeight="1">
      <c r="A1094" s="59"/>
      <c r="B1094" s="115"/>
      <c r="C1094" s="54"/>
      <c r="D1094" s="56"/>
      <c r="E1094" s="69"/>
      <c r="F1094" s="73"/>
      <c r="G1094" s="79"/>
      <c r="H1094" s="79"/>
      <c r="I1094" s="67"/>
      <c r="J1094" s="79"/>
      <c r="K1094" s="67"/>
      <c r="L1094" s="79"/>
      <c r="M1094" s="83"/>
      <c r="N1094" s="78"/>
      <c r="O1094" s="80"/>
      <c r="P1094" s="70"/>
      <c r="Q1094" s="54"/>
      <c r="R1094" s="67"/>
      <c r="S1094" s="67"/>
      <c r="T1094" s="54"/>
      <c r="U1094" s="86"/>
      <c r="V1094" s="54"/>
      <c r="W1094" s="86"/>
      <c r="X1094" s="54"/>
      <c r="Y1094" s="78"/>
      <c r="Z1094" s="54"/>
      <c r="AA1094" s="70"/>
      <c r="AB1094" s="83"/>
      <c r="AC1094" s="83"/>
      <c r="AD1094" s="83"/>
      <c r="AE1094" s="83"/>
      <c r="AF1094" s="83"/>
      <c r="AG1094" s="83"/>
      <c r="AH1094" s="83"/>
      <c r="AI1094" s="83"/>
      <c r="AJ1094" s="83"/>
      <c r="AK1094" s="83"/>
      <c r="AL1094" s="83"/>
      <c r="AM1094" s="83"/>
      <c r="AN1094" s="83"/>
      <c r="AO1094" s="83"/>
      <c r="AP1094" s="83"/>
      <c r="AQ1094" s="54"/>
      <c r="AR1094" s="83"/>
      <c r="AS1094" s="83"/>
      <c r="AT1094" s="93"/>
      <c r="AU1094" s="93"/>
      <c r="AV1094" s="93"/>
      <c r="AW1094" s="83"/>
      <c r="AX1094" s="83"/>
      <c r="AY1094" s="83"/>
      <c r="AZ1094" s="83"/>
      <c r="BA1094" s="83"/>
      <c r="BB1094" s="83"/>
      <c r="BC1094" s="54"/>
      <c r="BD1094" s="54" t="str">
        <f t="shared" si="1"/>
        <v/>
      </c>
      <c r="BE1094" s="67"/>
      <c r="BF1094" s="67"/>
      <c r="BG1094" s="67"/>
      <c r="BH1094" s="67"/>
      <c r="BI1094" s="67"/>
      <c r="BJ1094" s="67"/>
      <c r="BK1094" s="67"/>
      <c r="BL1094" s="67"/>
      <c r="BM1094" s="67"/>
      <c r="BN1094" s="100"/>
      <c r="BO1094" s="102"/>
      <c r="BP1094" s="67"/>
      <c r="BQ1094" s="79"/>
      <c r="BR1094" s="67"/>
      <c r="BS1094" s="102"/>
      <c r="BT1094" s="106"/>
      <c r="BU1094" s="107"/>
      <c r="BV1094" s="108" t="str">
        <f t="shared" si="17"/>
        <v/>
      </c>
      <c r="BW1094" s="108" t="str">
        <f t="shared" si="16"/>
        <v/>
      </c>
      <c r="BX1094" s="102" t="str">
        <f t="shared" si="15"/>
        <v/>
      </c>
      <c r="BY1094" s="107" t="str">
        <f t="shared" si="5"/>
        <v/>
      </c>
      <c r="BZ1094" s="107" t="str">
        <f t="array" ref="BZ1094">IF($A1094&lt;&gt;"",INDEX(LISTA!$M$2:$N$27,MATCH($BC1094,LISTA!$N$2:$N$27,0),1),"")</f>
        <v/>
      </c>
      <c r="CA1094" s="67" t="str">
        <f t="shared" si="6"/>
        <v/>
      </c>
      <c r="CB1094" s="114" t="str">
        <f t="shared" si="7"/>
        <v/>
      </c>
      <c r="CC1094" s="114"/>
    </row>
    <row r="1095" ht="22.5" customHeight="1">
      <c r="A1095" s="59"/>
      <c r="B1095" s="115"/>
      <c r="C1095" s="54"/>
      <c r="D1095" s="56"/>
      <c r="E1095" s="69"/>
      <c r="F1095" s="73"/>
      <c r="G1095" s="79"/>
      <c r="H1095" s="79"/>
      <c r="I1095" s="67"/>
      <c r="J1095" s="79"/>
      <c r="K1095" s="67"/>
      <c r="L1095" s="79"/>
      <c r="M1095" s="83"/>
      <c r="N1095" s="78"/>
      <c r="O1095" s="80"/>
      <c r="P1095" s="70"/>
      <c r="Q1095" s="54"/>
      <c r="R1095" s="67"/>
      <c r="S1095" s="67"/>
      <c r="T1095" s="54"/>
      <c r="U1095" s="86"/>
      <c r="V1095" s="54"/>
      <c r="W1095" s="86"/>
      <c r="X1095" s="54"/>
      <c r="Y1095" s="78"/>
      <c r="Z1095" s="54"/>
      <c r="AA1095" s="70"/>
      <c r="AB1095" s="83"/>
      <c r="AC1095" s="83"/>
      <c r="AD1095" s="83"/>
      <c r="AE1095" s="83"/>
      <c r="AF1095" s="83"/>
      <c r="AG1095" s="83"/>
      <c r="AH1095" s="83"/>
      <c r="AI1095" s="83"/>
      <c r="AJ1095" s="83"/>
      <c r="AK1095" s="83"/>
      <c r="AL1095" s="83"/>
      <c r="AM1095" s="83"/>
      <c r="AN1095" s="83"/>
      <c r="AO1095" s="83"/>
      <c r="AP1095" s="83"/>
      <c r="AQ1095" s="54"/>
      <c r="AR1095" s="83"/>
      <c r="AS1095" s="83"/>
      <c r="AT1095" s="93"/>
      <c r="AU1095" s="93"/>
      <c r="AV1095" s="93"/>
      <c r="AW1095" s="83"/>
      <c r="AX1095" s="83"/>
      <c r="AY1095" s="83"/>
      <c r="AZ1095" s="83"/>
      <c r="BA1095" s="83"/>
      <c r="BB1095" s="83"/>
      <c r="BC1095" s="54"/>
      <c r="BD1095" s="54" t="str">
        <f t="shared" si="1"/>
        <v/>
      </c>
      <c r="BE1095" s="67"/>
      <c r="BF1095" s="67"/>
      <c r="BG1095" s="67"/>
      <c r="BH1095" s="67"/>
      <c r="BI1095" s="67"/>
      <c r="BJ1095" s="67"/>
      <c r="BK1095" s="67"/>
      <c r="BL1095" s="67"/>
      <c r="BM1095" s="67"/>
      <c r="BN1095" s="100"/>
      <c r="BO1095" s="102"/>
      <c r="BP1095" s="67"/>
      <c r="BQ1095" s="79"/>
      <c r="BR1095" s="67"/>
      <c r="BS1095" s="102"/>
      <c r="BT1095" s="106"/>
      <c r="BU1095" s="107"/>
      <c r="BV1095" s="108" t="str">
        <f t="shared" si="17"/>
        <v/>
      </c>
      <c r="BW1095" s="108" t="str">
        <f t="shared" si="16"/>
        <v/>
      </c>
      <c r="BX1095" s="102" t="str">
        <f t="shared" si="15"/>
        <v/>
      </c>
      <c r="BY1095" s="107" t="str">
        <f t="shared" si="5"/>
        <v/>
      </c>
      <c r="BZ1095" s="107" t="str">
        <f t="array" ref="BZ1095">IF($A1095&lt;&gt;"",INDEX(LISTA!$M$2:$N$27,MATCH($BC1095,LISTA!$N$2:$N$27,0),1),"")</f>
        <v/>
      </c>
      <c r="CA1095" s="67" t="str">
        <f t="shared" si="6"/>
        <v/>
      </c>
      <c r="CB1095" s="114" t="str">
        <f t="shared" si="7"/>
        <v/>
      </c>
      <c r="CC1095" s="114"/>
    </row>
    <row r="1096" ht="22.5" customHeight="1">
      <c r="A1096" s="59"/>
      <c r="B1096" s="115"/>
      <c r="C1096" s="54"/>
      <c r="D1096" s="56"/>
      <c r="E1096" s="69"/>
      <c r="F1096" s="73"/>
      <c r="G1096" s="79"/>
      <c r="H1096" s="79"/>
      <c r="I1096" s="67"/>
      <c r="J1096" s="79"/>
      <c r="K1096" s="67"/>
      <c r="L1096" s="79"/>
      <c r="M1096" s="83"/>
      <c r="N1096" s="78"/>
      <c r="O1096" s="80"/>
      <c r="P1096" s="70"/>
      <c r="Q1096" s="54"/>
      <c r="R1096" s="67"/>
      <c r="S1096" s="67"/>
      <c r="T1096" s="54"/>
      <c r="U1096" s="86"/>
      <c r="V1096" s="54"/>
      <c r="W1096" s="86"/>
      <c r="X1096" s="54"/>
      <c r="Y1096" s="78"/>
      <c r="Z1096" s="54"/>
      <c r="AA1096" s="70"/>
      <c r="AB1096" s="83"/>
      <c r="AC1096" s="83"/>
      <c r="AD1096" s="83"/>
      <c r="AE1096" s="83"/>
      <c r="AF1096" s="83"/>
      <c r="AG1096" s="83"/>
      <c r="AH1096" s="83"/>
      <c r="AI1096" s="83"/>
      <c r="AJ1096" s="83"/>
      <c r="AK1096" s="83"/>
      <c r="AL1096" s="83"/>
      <c r="AM1096" s="83"/>
      <c r="AN1096" s="83"/>
      <c r="AO1096" s="83"/>
      <c r="AP1096" s="83"/>
      <c r="AQ1096" s="54"/>
      <c r="AR1096" s="83"/>
      <c r="AS1096" s="83"/>
      <c r="AT1096" s="93"/>
      <c r="AU1096" s="93"/>
      <c r="AV1096" s="93"/>
      <c r="AW1096" s="83"/>
      <c r="AX1096" s="83"/>
      <c r="AY1096" s="83"/>
      <c r="AZ1096" s="83"/>
      <c r="BA1096" s="83"/>
      <c r="BB1096" s="83"/>
      <c r="BC1096" s="54"/>
      <c r="BD1096" s="54" t="str">
        <f t="shared" si="1"/>
        <v/>
      </c>
      <c r="BE1096" s="67"/>
      <c r="BF1096" s="67"/>
      <c r="BG1096" s="67"/>
      <c r="BH1096" s="67"/>
      <c r="BI1096" s="67"/>
      <c r="BJ1096" s="67"/>
      <c r="BK1096" s="67"/>
      <c r="BL1096" s="67"/>
      <c r="BM1096" s="67"/>
      <c r="BN1096" s="100"/>
      <c r="BO1096" s="102"/>
      <c r="BP1096" s="67"/>
      <c r="BQ1096" s="79"/>
      <c r="BR1096" s="67"/>
      <c r="BS1096" s="102"/>
      <c r="BT1096" s="106"/>
      <c r="BU1096" s="107"/>
      <c r="BV1096" s="108" t="str">
        <f t="shared" si="17"/>
        <v/>
      </c>
      <c r="BW1096" s="108" t="str">
        <f t="shared" si="16"/>
        <v/>
      </c>
      <c r="BX1096" s="102" t="str">
        <f t="shared" si="15"/>
        <v/>
      </c>
      <c r="BY1096" s="107" t="str">
        <f t="shared" si="5"/>
        <v/>
      </c>
      <c r="BZ1096" s="107" t="str">
        <f t="array" ref="BZ1096">IF($A1096&lt;&gt;"",INDEX(LISTA!$M$2:$N$27,MATCH($BC1096,LISTA!$N$2:$N$27,0),1),"")</f>
        <v/>
      </c>
      <c r="CA1096" s="67" t="str">
        <f t="shared" si="6"/>
        <v/>
      </c>
      <c r="CB1096" s="114" t="str">
        <f t="shared" si="7"/>
        <v/>
      </c>
      <c r="CC1096" s="114"/>
    </row>
    <row r="1097" ht="22.5" customHeight="1">
      <c r="A1097" s="59"/>
      <c r="B1097" s="115"/>
      <c r="C1097" s="54"/>
      <c r="D1097" s="56"/>
      <c r="E1097" s="69"/>
      <c r="F1097" s="73"/>
      <c r="G1097" s="79"/>
      <c r="H1097" s="79"/>
      <c r="I1097" s="67"/>
      <c r="J1097" s="79"/>
      <c r="K1097" s="67"/>
      <c r="L1097" s="79"/>
      <c r="M1097" s="83"/>
      <c r="N1097" s="78"/>
      <c r="O1097" s="80"/>
      <c r="P1097" s="70"/>
      <c r="Q1097" s="54"/>
      <c r="R1097" s="67"/>
      <c r="S1097" s="67"/>
      <c r="T1097" s="54"/>
      <c r="U1097" s="86"/>
      <c r="V1097" s="54"/>
      <c r="W1097" s="86"/>
      <c r="X1097" s="54"/>
      <c r="Y1097" s="78"/>
      <c r="Z1097" s="54"/>
      <c r="AA1097" s="70"/>
      <c r="AB1097" s="83"/>
      <c r="AC1097" s="83"/>
      <c r="AD1097" s="83"/>
      <c r="AE1097" s="83"/>
      <c r="AF1097" s="83"/>
      <c r="AG1097" s="83"/>
      <c r="AH1097" s="83"/>
      <c r="AI1097" s="83"/>
      <c r="AJ1097" s="83"/>
      <c r="AK1097" s="83"/>
      <c r="AL1097" s="83"/>
      <c r="AM1097" s="83"/>
      <c r="AN1097" s="83"/>
      <c r="AO1097" s="83"/>
      <c r="AP1097" s="83"/>
      <c r="AQ1097" s="54"/>
      <c r="AR1097" s="83"/>
      <c r="AS1097" s="83"/>
      <c r="AT1097" s="93"/>
      <c r="AU1097" s="93"/>
      <c r="AV1097" s="93"/>
      <c r="AW1097" s="83"/>
      <c r="AX1097" s="83"/>
      <c r="AY1097" s="83"/>
      <c r="AZ1097" s="83"/>
      <c r="BA1097" s="83"/>
      <c r="BB1097" s="83"/>
      <c r="BC1097" s="54"/>
      <c r="BD1097" s="54" t="str">
        <f t="shared" si="1"/>
        <v/>
      </c>
      <c r="BE1097" s="67"/>
      <c r="BF1097" s="67"/>
      <c r="BG1097" s="67"/>
      <c r="BH1097" s="67"/>
      <c r="BI1097" s="67"/>
      <c r="BJ1097" s="67"/>
      <c r="BK1097" s="67"/>
      <c r="BL1097" s="67"/>
      <c r="BM1097" s="67"/>
      <c r="BN1097" s="100"/>
      <c r="BO1097" s="102"/>
      <c r="BP1097" s="67"/>
      <c r="BQ1097" s="79"/>
      <c r="BR1097" s="67"/>
      <c r="BS1097" s="102"/>
      <c r="BT1097" s="106"/>
      <c r="BU1097" s="107"/>
      <c r="BV1097" s="108" t="str">
        <f t="shared" si="17"/>
        <v/>
      </c>
      <c r="BW1097" s="108" t="str">
        <f t="shared" si="16"/>
        <v/>
      </c>
      <c r="BX1097" s="102" t="str">
        <f t="shared" si="15"/>
        <v/>
      </c>
      <c r="BY1097" s="107" t="str">
        <f t="shared" si="5"/>
        <v/>
      </c>
      <c r="BZ1097" s="107" t="str">
        <f t="array" ref="BZ1097">IF($A1097&lt;&gt;"",INDEX(LISTA!$M$2:$N$27,MATCH($BC1097,LISTA!$N$2:$N$27,0),1),"")</f>
        <v/>
      </c>
      <c r="CA1097" s="67" t="str">
        <f t="shared" si="6"/>
        <v/>
      </c>
      <c r="CB1097" s="114" t="str">
        <f t="shared" si="7"/>
        <v/>
      </c>
      <c r="CC1097" s="114"/>
    </row>
    <row r="1098" ht="22.5" customHeight="1">
      <c r="A1098" s="59"/>
      <c r="B1098" s="115"/>
      <c r="C1098" s="54"/>
      <c r="D1098" s="56"/>
      <c r="E1098" s="69"/>
      <c r="F1098" s="73"/>
      <c r="G1098" s="79"/>
      <c r="H1098" s="79"/>
      <c r="I1098" s="67"/>
      <c r="J1098" s="79"/>
      <c r="K1098" s="67"/>
      <c r="L1098" s="79"/>
      <c r="M1098" s="83"/>
      <c r="N1098" s="78"/>
      <c r="O1098" s="80"/>
      <c r="P1098" s="70"/>
      <c r="Q1098" s="54"/>
      <c r="R1098" s="67"/>
      <c r="S1098" s="67"/>
      <c r="T1098" s="54"/>
      <c r="U1098" s="86"/>
      <c r="V1098" s="54"/>
      <c r="W1098" s="86"/>
      <c r="X1098" s="54"/>
      <c r="Y1098" s="78"/>
      <c r="Z1098" s="54"/>
      <c r="AA1098" s="70"/>
      <c r="AB1098" s="83"/>
      <c r="AC1098" s="83"/>
      <c r="AD1098" s="83"/>
      <c r="AE1098" s="83"/>
      <c r="AF1098" s="83"/>
      <c r="AG1098" s="83"/>
      <c r="AH1098" s="83"/>
      <c r="AI1098" s="83"/>
      <c r="AJ1098" s="83"/>
      <c r="AK1098" s="83"/>
      <c r="AL1098" s="83"/>
      <c r="AM1098" s="83"/>
      <c r="AN1098" s="83"/>
      <c r="AO1098" s="83"/>
      <c r="AP1098" s="83"/>
      <c r="AQ1098" s="54"/>
      <c r="AR1098" s="83"/>
      <c r="AS1098" s="83"/>
      <c r="AT1098" s="93"/>
      <c r="AU1098" s="93"/>
      <c r="AV1098" s="93"/>
      <c r="AW1098" s="83"/>
      <c r="AX1098" s="83"/>
      <c r="AY1098" s="83"/>
      <c r="AZ1098" s="83"/>
      <c r="BA1098" s="83"/>
      <c r="BB1098" s="83"/>
      <c r="BC1098" s="54"/>
      <c r="BD1098" s="54" t="str">
        <f t="shared" si="1"/>
        <v/>
      </c>
      <c r="BE1098" s="67"/>
      <c r="BF1098" s="67"/>
      <c r="BG1098" s="67"/>
      <c r="BH1098" s="67"/>
      <c r="BI1098" s="67"/>
      <c r="BJ1098" s="67"/>
      <c r="BK1098" s="67"/>
      <c r="BL1098" s="67"/>
      <c r="BM1098" s="67"/>
      <c r="BN1098" s="100"/>
      <c r="BO1098" s="102"/>
      <c r="BP1098" s="67"/>
      <c r="BQ1098" s="79"/>
      <c r="BR1098" s="67"/>
      <c r="BS1098" s="102"/>
      <c r="BT1098" s="106"/>
      <c r="BU1098" s="107"/>
      <c r="BV1098" s="108" t="str">
        <f t="shared" si="17"/>
        <v/>
      </c>
      <c r="BW1098" s="108" t="str">
        <f t="shared" si="16"/>
        <v/>
      </c>
      <c r="BX1098" s="102" t="str">
        <f t="shared" si="15"/>
        <v/>
      </c>
      <c r="BY1098" s="107" t="str">
        <f t="shared" si="5"/>
        <v/>
      </c>
      <c r="BZ1098" s="107" t="str">
        <f t="array" ref="BZ1098">IF($A1098&lt;&gt;"",INDEX(LISTA!$M$2:$N$27,MATCH($BC1098,LISTA!$N$2:$N$27,0),1),"")</f>
        <v/>
      </c>
      <c r="CA1098" s="67" t="str">
        <f t="shared" si="6"/>
        <v/>
      </c>
      <c r="CB1098" s="114" t="str">
        <f t="shared" si="7"/>
        <v/>
      </c>
      <c r="CC1098" s="114"/>
    </row>
    <row r="1099" ht="22.5" customHeight="1">
      <c r="A1099" s="59"/>
      <c r="B1099" s="115"/>
      <c r="C1099" s="54"/>
      <c r="D1099" s="56"/>
      <c r="E1099" s="69"/>
      <c r="F1099" s="73"/>
      <c r="G1099" s="79"/>
      <c r="H1099" s="79"/>
      <c r="I1099" s="67"/>
      <c r="J1099" s="79"/>
      <c r="K1099" s="67"/>
      <c r="L1099" s="79"/>
      <c r="M1099" s="83"/>
      <c r="N1099" s="78"/>
      <c r="O1099" s="80"/>
      <c r="P1099" s="70"/>
      <c r="Q1099" s="54"/>
      <c r="R1099" s="67"/>
      <c r="S1099" s="67"/>
      <c r="T1099" s="54"/>
      <c r="U1099" s="86"/>
      <c r="V1099" s="54"/>
      <c r="W1099" s="86"/>
      <c r="X1099" s="54"/>
      <c r="Y1099" s="78"/>
      <c r="Z1099" s="54"/>
      <c r="AA1099" s="70"/>
      <c r="AB1099" s="83"/>
      <c r="AC1099" s="83"/>
      <c r="AD1099" s="83"/>
      <c r="AE1099" s="83"/>
      <c r="AF1099" s="83"/>
      <c r="AG1099" s="83"/>
      <c r="AH1099" s="83"/>
      <c r="AI1099" s="83"/>
      <c r="AJ1099" s="83"/>
      <c r="AK1099" s="83"/>
      <c r="AL1099" s="83"/>
      <c r="AM1099" s="83"/>
      <c r="AN1099" s="83"/>
      <c r="AO1099" s="83"/>
      <c r="AP1099" s="83"/>
      <c r="AQ1099" s="54"/>
      <c r="AR1099" s="83"/>
      <c r="AS1099" s="83"/>
      <c r="AT1099" s="93"/>
      <c r="AU1099" s="93"/>
      <c r="AV1099" s="93"/>
      <c r="AW1099" s="83"/>
      <c r="AX1099" s="83"/>
      <c r="AY1099" s="83"/>
      <c r="AZ1099" s="83"/>
      <c r="BA1099" s="83"/>
      <c r="BB1099" s="83"/>
      <c r="BC1099" s="54"/>
      <c r="BD1099" s="54" t="str">
        <f t="shared" si="1"/>
        <v/>
      </c>
      <c r="BE1099" s="67"/>
      <c r="BF1099" s="67"/>
      <c r="BG1099" s="67"/>
      <c r="BH1099" s="67"/>
      <c r="BI1099" s="67"/>
      <c r="BJ1099" s="67"/>
      <c r="BK1099" s="67"/>
      <c r="BL1099" s="67"/>
      <c r="BM1099" s="67"/>
      <c r="BN1099" s="100"/>
      <c r="BO1099" s="102"/>
      <c r="BP1099" s="67"/>
      <c r="BQ1099" s="79"/>
      <c r="BR1099" s="67"/>
      <c r="BS1099" s="102"/>
      <c r="BT1099" s="106"/>
      <c r="BU1099" s="107"/>
      <c r="BV1099" s="108" t="str">
        <f t="shared" si="17"/>
        <v/>
      </c>
      <c r="BW1099" s="108" t="str">
        <f t="shared" si="16"/>
        <v/>
      </c>
      <c r="BX1099" s="102" t="str">
        <f t="shared" si="15"/>
        <v/>
      </c>
      <c r="BY1099" s="107" t="str">
        <f t="shared" si="5"/>
        <v/>
      </c>
      <c r="BZ1099" s="107" t="str">
        <f t="array" ref="BZ1099">IF($A1099&lt;&gt;"",INDEX(LISTA!$M$2:$N$27,MATCH($BC1099,LISTA!$N$2:$N$27,0),1),"")</f>
        <v/>
      </c>
      <c r="CA1099" s="67" t="str">
        <f t="shared" si="6"/>
        <v/>
      </c>
      <c r="CB1099" s="114" t="str">
        <f t="shared" si="7"/>
        <v/>
      </c>
      <c r="CC1099" s="114"/>
    </row>
    <row r="1100" ht="22.5" customHeight="1">
      <c r="A1100" s="59"/>
      <c r="B1100" s="115"/>
      <c r="C1100" s="54"/>
      <c r="D1100" s="56"/>
      <c r="E1100" s="69"/>
      <c r="F1100" s="73"/>
      <c r="G1100" s="79"/>
      <c r="H1100" s="79"/>
      <c r="I1100" s="67"/>
      <c r="J1100" s="79"/>
      <c r="K1100" s="67"/>
      <c r="L1100" s="79"/>
      <c r="M1100" s="83"/>
      <c r="N1100" s="78"/>
      <c r="O1100" s="80"/>
      <c r="P1100" s="70"/>
      <c r="Q1100" s="54"/>
      <c r="R1100" s="67"/>
      <c r="S1100" s="67"/>
      <c r="T1100" s="54"/>
      <c r="U1100" s="86"/>
      <c r="V1100" s="54"/>
      <c r="W1100" s="86"/>
      <c r="X1100" s="54"/>
      <c r="Y1100" s="78"/>
      <c r="Z1100" s="54"/>
      <c r="AA1100" s="70"/>
      <c r="AB1100" s="83"/>
      <c r="AC1100" s="83"/>
      <c r="AD1100" s="83"/>
      <c r="AE1100" s="83"/>
      <c r="AF1100" s="83"/>
      <c r="AG1100" s="83"/>
      <c r="AH1100" s="83"/>
      <c r="AI1100" s="83"/>
      <c r="AJ1100" s="83"/>
      <c r="AK1100" s="83"/>
      <c r="AL1100" s="83"/>
      <c r="AM1100" s="83"/>
      <c r="AN1100" s="83"/>
      <c r="AO1100" s="83"/>
      <c r="AP1100" s="83"/>
      <c r="AQ1100" s="54"/>
      <c r="AR1100" s="83"/>
      <c r="AS1100" s="83"/>
      <c r="AT1100" s="93"/>
      <c r="AU1100" s="93"/>
      <c r="AV1100" s="93"/>
      <c r="AW1100" s="83"/>
      <c r="AX1100" s="83"/>
      <c r="AY1100" s="83"/>
      <c r="AZ1100" s="83"/>
      <c r="BA1100" s="83"/>
      <c r="BB1100" s="83"/>
      <c r="BC1100" s="54"/>
      <c r="BD1100" s="54" t="str">
        <f t="shared" si="1"/>
        <v/>
      </c>
      <c r="BE1100" s="67"/>
      <c r="BF1100" s="67"/>
      <c r="BG1100" s="67"/>
      <c r="BH1100" s="67"/>
      <c r="BI1100" s="67"/>
      <c r="BJ1100" s="67"/>
      <c r="BK1100" s="67"/>
      <c r="BL1100" s="67"/>
      <c r="BM1100" s="67"/>
      <c r="BN1100" s="100"/>
      <c r="BO1100" s="102"/>
      <c r="BP1100" s="67"/>
      <c r="BQ1100" s="79"/>
      <c r="BR1100" s="67"/>
      <c r="BS1100" s="102"/>
      <c r="BT1100" s="106"/>
      <c r="BU1100" s="107"/>
      <c r="BV1100" s="108" t="str">
        <f t="shared" si="17"/>
        <v/>
      </c>
      <c r="BW1100" s="108" t="str">
        <f t="shared" si="16"/>
        <v/>
      </c>
      <c r="BX1100" s="102" t="str">
        <f t="shared" si="15"/>
        <v/>
      </c>
      <c r="BY1100" s="107" t="str">
        <f t="shared" si="5"/>
        <v/>
      </c>
      <c r="BZ1100" s="107" t="str">
        <f t="array" ref="BZ1100">IF($A1100&lt;&gt;"",INDEX(LISTA!$M$2:$N$27,MATCH($BC1100,LISTA!$N$2:$N$27,0),1),"")</f>
        <v/>
      </c>
      <c r="CA1100" s="67" t="str">
        <f t="shared" si="6"/>
        <v/>
      </c>
      <c r="CB1100" s="114" t="str">
        <f t="shared" si="7"/>
        <v/>
      </c>
      <c r="CC1100" s="114"/>
    </row>
    <row r="1101" ht="22.5" customHeight="1">
      <c r="A1101" s="59"/>
      <c r="B1101" s="115"/>
      <c r="C1101" s="54"/>
      <c r="D1101" s="56"/>
      <c r="E1101" s="69"/>
      <c r="F1101" s="73"/>
      <c r="G1101" s="79"/>
      <c r="H1101" s="79"/>
      <c r="I1101" s="67"/>
      <c r="J1101" s="79"/>
      <c r="K1101" s="67"/>
      <c r="L1101" s="79"/>
      <c r="M1101" s="83"/>
      <c r="N1101" s="78"/>
      <c r="O1101" s="80"/>
      <c r="P1101" s="70"/>
      <c r="Q1101" s="54"/>
      <c r="R1101" s="67"/>
      <c r="S1101" s="67"/>
      <c r="T1101" s="54"/>
      <c r="U1101" s="86"/>
      <c r="V1101" s="54"/>
      <c r="W1101" s="86"/>
      <c r="X1101" s="54"/>
      <c r="Y1101" s="78"/>
      <c r="Z1101" s="54"/>
      <c r="AA1101" s="70"/>
      <c r="AB1101" s="83"/>
      <c r="AC1101" s="83"/>
      <c r="AD1101" s="83"/>
      <c r="AE1101" s="83"/>
      <c r="AF1101" s="83"/>
      <c r="AG1101" s="83"/>
      <c r="AH1101" s="83"/>
      <c r="AI1101" s="83"/>
      <c r="AJ1101" s="83"/>
      <c r="AK1101" s="83"/>
      <c r="AL1101" s="83"/>
      <c r="AM1101" s="83"/>
      <c r="AN1101" s="83"/>
      <c r="AO1101" s="83"/>
      <c r="AP1101" s="83"/>
      <c r="AQ1101" s="54"/>
      <c r="AR1101" s="83"/>
      <c r="AS1101" s="83"/>
      <c r="AT1101" s="93"/>
      <c r="AU1101" s="93"/>
      <c r="AV1101" s="93"/>
      <c r="AW1101" s="83"/>
      <c r="AX1101" s="83"/>
      <c r="AY1101" s="83"/>
      <c r="AZ1101" s="83"/>
      <c r="BA1101" s="83"/>
      <c r="BB1101" s="83"/>
      <c r="BC1101" s="54"/>
      <c r="BD1101" s="54" t="str">
        <f t="shared" si="1"/>
        <v/>
      </c>
      <c r="BE1101" s="67"/>
      <c r="BF1101" s="67"/>
      <c r="BG1101" s="67"/>
      <c r="BH1101" s="67"/>
      <c r="BI1101" s="67"/>
      <c r="BJ1101" s="67"/>
      <c r="BK1101" s="67"/>
      <c r="BL1101" s="67"/>
      <c r="BM1101" s="67"/>
      <c r="BN1101" s="100"/>
      <c r="BO1101" s="102"/>
      <c r="BP1101" s="67"/>
      <c r="BQ1101" s="79"/>
      <c r="BR1101" s="67"/>
      <c r="BS1101" s="102"/>
      <c r="BT1101" s="106"/>
      <c r="BU1101" s="107"/>
      <c r="BV1101" s="108" t="str">
        <f t="shared" si="17"/>
        <v/>
      </c>
      <c r="BW1101" s="108" t="str">
        <f t="shared" si="16"/>
        <v/>
      </c>
      <c r="BX1101" s="102" t="str">
        <f t="shared" si="15"/>
        <v/>
      </c>
      <c r="BY1101" s="107" t="str">
        <f t="shared" si="5"/>
        <v/>
      </c>
      <c r="BZ1101" s="107" t="str">
        <f t="array" ref="BZ1101">IF($A1101&lt;&gt;"",INDEX(LISTA!$M$2:$N$27,MATCH($BC1101,LISTA!$N$2:$N$27,0),1),"")</f>
        <v/>
      </c>
      <c r="CA1101" s="67" t="str">
        <f t="shared" si="6"/>
        <v/>
      </c>
      <c r="CB1101" s="114" t="str">
        <f t="shared" si="7"/>
        <v/>
      </c>
      <c r="CC1101" s="114"/>
    </row>
    <row r="1102" ht="22.5" customHeight="1">
      <c r="A1102" s="59"/>
      <c r="B1102" s="115"/>
      <c r="C1102" s="54"/>
      <c r="D1102" s="56"/>
      <c r="E1102" s="69"/>
      <c r="F1102" s="73"/>
      <c r="G1102" s="79"/>
      <c r="H1102" s="79"/>
      <c r="I1102" s="67"/>
      <c r="J1102" s="79"/>
      <c r="K1102" s="67"/>
      <c r="L1102" s="79"/>
      <c r="M1102" s="83"/>
      <c r="N1102" s="78"/>
      <c r="O1102" s="80"/>
      <c r="P1102" s="70"/>
      <c r="Q1102" s="54"/>
      <c r="R1102" s="67"/>
      <c r="S1102" s="67"/>
      <c r="T1102" s="54"/>
      <c r="U1102" s="86"/>
      <c r="V1102" s="54"/>
      <c r="W1102" s="86"/>
      <c r="X1102" s="54"/>
      <c r="Y1102" s="78"/>
      <c r="Z1102" s="54"/>
      <c r="AA1102" s="70"/>
      <c r="AB1102" s="83"/>
      <c r="AC1102" s="83"/>
      <c r="AD1102" s="83"/>
      <c r="AE1102" s="83"/>
      <c r="AF1102" s="83"/>
      <c r="AG1102" s="83"/>
      <c r="AH1102" s="83"/>
      <c r="AI1102" s="83"/>
      <c r="AJ1102" s="83"/>
      <c r="AK1102" s="83"/>
      <c r="AL1102" s="83"/>
      <c r="AM1102" s="83"/>
      <c r="AN1102" s="83"/>
      <c r="AO1102" s="83"/>
      <c r="AP1102" s="83"/>
      <c r="AQ1102" s="54"/>
      <c r="AR1102" s="83"/>
      <c r="AS1102" s="83"/>
      <c r="AT1102" s="93"/>
      <c r="AU1102" s="93"/>
      <c r="AV1102" s="93"/>
      <c r="AW1102" s="83"/>
      <c r="AX1102" s="83"/>
      <c r="AY1102" s="83"/>
      <c r="AZ1102" s="83"/>
      <c r="BA1102" s="83"/>
      <c r="BB1102" s="83"/>
      <c r="BC1102" s="54"/>
      <c r="BD1102" s="54" t="str">
        <f t="shared" si="1"/>
        <v/>
      </c>
      <c r="BE1102" s="67"/>
      <c r="BF1102" s="67"/>
      <c r="BG1102" s="67"/>
      <c r="BH1102" s="67"/>
      <c r="BI1102" s="67"/>
      <c r="BJ1102" s="67"/>
      <c r="BK1102" s="67"/>
      <c r="BL1102" s="67"/>
      <c r="BM1102" s="67"/>
      <c r="BN1102" s="100"/>
      <c r="BO1102" s="102"/>
      <c r="BP1102" s="67"/>
      <c r="BQ1102" s="79"/>
      <c r="BR1102" s="67"/>
      <c r="BS1102" s="102"/>
      <c r="BT1102" s="106"/>
      <c r="BU1102" s="107"/>
      <c r="BV1102" s="108" t="str">
        <f t="shared" si="17"/>
        <v/>
      </c>
      <c r="BW1102" s="108" t="str">
        <f t="shared" si="16"/>
        <v/>
      </c>
      <c r="BX1102" s="102" t="str">
        <f t="shared" si="15"/>
        <v/>
      </c>
      <c r="BY1102" s="107" t="str">
        <f t="shared" si="5"/>
        <v/>
      </c>
      <c r="BZ1102" s="107" t="str">
        <f t="array" ref="BZ1102">IF($A1102&lt;&gt;"",INDEX(LISTA!$M$2:$N$27,MATCH($BC1102,LISTA!$N$2:$N$27,0),1),"")</f>
        <v/>
      </c>
      <c r="CA1102" s="67" t="str">
        <f t="shared" si="6"/>
        <v/>
      </c>
      <c r="CB1102" s="114" t="str">
        <f t="shared" si="7"/>
        <v/>
      </c>
      <c r="CC1102" s="114"/>
    </row>
    <row r="1103" ht="22.5" customHeight="1">
      <c r="A1103" s="59"/>
      <c r="B1103" s="115"/>
      <c r="C1103" s="54"/>
      <c r="D1103" s="56"/>
      <c r="E1103" s="69"/>
      <c r="F1103" s="73"/>
      <c r="G1103" s="79"/>
      <c r="H1103" s="79"/>
      <c r="I1103" s="67"/>
      <c r="J1103" s="79"/>
      <c r="K1103" s="67"/>
      <c r="L1103" s="79"/>
      <c r="M1103" s="83"/>
      <c r="N1103" s="78"/>
      <c r="O1103" s="80"/>
      <c r="P1103" s="70"/>
      <c r="Q1103" s="54"/>
      <c r="R1103" s="67"/>
      <c r="S1103" s="67"/>
      <c r="T1103" s="54"/>
      <c r="U1103" s="86"/>
      <c r="V1103" s="54"/>
      <c r="W1103" s="86"/>
      <c r="X1103" s="54"/>
      <c r="Y1103" s="78"/>
      <c r="Z1103" s="54"/>
      <c r="AA1103" s="70"/>
      <c r="AB1103" s="83"/>
      <c r="AC1103" s="83"/>
      <c r="AD1103" s="83"/>
      <c r="AE1103" s="83"/>
      <c r="AF1103" s="83"/>
      <c r="AG1103" s="83"/>
      <c r="AH1103" s="83"/>
      <c r="AI1103" s="83"/>
      <c r="AJ1103" s="83"/>
      <c r="AK1103" s="83"/>
      <c r="AL1103" s="83"/>
      <c r="AM1103" s="83"/>
      <c r="AN1103" s="83"/>
      <c r="AO1103" s="83"/>
      <c r="AP1103" s="83"/>
      <c r="AQ1103" s="54"/>
      <c r="AR1103" s="83"/>
      <c r="AS1103" s="83"/>
      <c r="AT1103" s="93"/>
      <c r="AU1103" s="93"/>
      <c r="AV1103" s="93"/>
      <c r="AW1103" s="83"/>
      <c r="AX1103" s="83"/>
      <c r="AY1103" s="83"/>
      <c r="AZ1103" s="83"/>
      <c r="BA1103" s="83"/>
      <c r="BB1103" s="83"/>
      <c r="BC1103" s="54"/>
      <c r="BD1103" s="54" t="str">
        <f t="shared" si="1"/>
        <v/>
      </c>
      <c r="BE1103" s="67"/>
      <c r="BF1103" s="67"/>
      <c r="BG1103" s="67"/>
      <c r="BH1103" s="67"/>
      <c r="BI1103" s="67"/>
      <c r="BJ1103" s="67"/>
      <c r="BK1103" s="67"/>
      <c r="BL1103" s="67"/>
      <c r="BM1103" s="67"/>
      <c r="BN1103" s="100"/>
      <c r="BO1103" s="102"/>
      <c r="BP1103" s="67"/>
      <c r="BQ1103" s="79"/>
      <c r="BR1103" s="67"/>
      <c r="BS1103" s="102"/>
      <c r="BT1103" s="106"/>
      <c r="BU1103" s="107"/>
      <c r="BV1103" s="108" t="str">
        <f t="shared" si="17"/>
        <v/>
      </c>
      <c r="BW1103" s="108" t="str">
        <f t="shared" si="16"/>
        <v/>
      </c>
      <c r="BX1103" s="102" t="str">
        <f t="shared" si="15"/>
        <v/>
      </c>
      <c r="BY1103" s="107" t="str">
        <f t="shared" si="5"/>
        <v/>
      </c>
      <c r="BZ1103" s="107" t="str">
        <f t="array" ref="BZ1103">IF($A1103&lt;&gt;"",INDEX(LISTA!$M$2:$N$27,MATCH($BC1103,LISTA!$N$2:$N$27,0),1),"")</f>
        <v/>
      </c>
      <c r="CA1103" s="67" t="str">
        <f t="shared" si="6"/>
        <v/>
      </c>
      <c r="CB1103" s="114" t="str">
        <f t="shared" si="7"/>
        <v/>
      </c>
      <c r="CC1103" s="114"/>
    </row>
    <row r="1104" ht="22.5" customHeight="1">
      <c r="A1104" s="59"/>
      <c r="B1104" s="115"/>
      <c r="C1104" s="54"/>
      <c r="D1104" s="56"/>
      <c r="E1104" s="69"/>
      <c r="F1104" s="73"/>
      <c r="G1104" s="79"/>
      <c r="H1104" s="79"/>
      <c r="I1104" s="67"/>
      <c r="J1104" s="79"/>
      <c r="K1104" s="67"/>
      <c r="L1104" s="79"/>
      <c r="M1104" s="83"/>
      <c r="N1104" s="78"/>
      <c r="O1104" s="80"/>
      <c r="P1104" s="70"/>
      <c r="Q1104" s="54"/>
      <c r="R1104" s="67"/>
      <c r="S1104" s="67"/>
      <c r="T1104" s="54"/>
      <c r="U1104" s="86"/>
      <c r="V1104" s="54"/>
      <c r="W1104" s="86"/>
      <c r="X1104" s="54"/>
      <c r="Y1104" s="78"/>
      <c r="Z1104" s="54"/>
      <c r="AA1104" s="70"/>
      <c r="AB1104" s="83"/>
      <c r="AC1104" s="83"/>
      <c r="AD1104" s="83"/>
      <c r="AE1104" s="83"/>
      <c r="AF1104" s="83"/>
      <c r="AG1104" s="83"/>
      <c r="AH1104" s="83"/>
      <c r="AI1104" s="83"/>
      <c r="AJ1104" s="83"/>
      <c r="AK1104" s="83"/>
      <c r="AL1104" s="83"/>
      <c r="AM1104" s="83"/>
      <c r="AN1104" s="83"/>
      <c r="AO1104" s="83"/>
      <c r="AP1104" s="83"/>
      <c r="AQ1104" s="54"/>
      <c r="AR1104" s="83"/>
      <c r="AS1104" s="83"/>
      <c r="AT1104" s="93"/>
      <c r="AU1104" s="93"/>
      <c r="AV1104" s="93"/>
      <c r="AW1104" s="83"/>
      <c r="AX1104" s="83"/>
      <c r="AY1104" s="83"/>
      <c r="AZ1104" s="83"/>
      <c r="BA1104" s="83"/>
      <c r="BB1104" s="83"/>
      <c r="BC1104" s="54"/>
      <c r="BD1104" s="54" t="str">
        <f t="shared" si="1"/>
        <v/>
      </c>
      <c r="BE1104" s="67"/>
      <c r="BF1104" s="67"/>
      <c r="BG1104" s="67"/>
      <c r="BH1104" s="67"/>
      <c r="BI1104" s="67"/>
      <c r="BJ1104" s="67"/>
      <c r="BK1104" s="67"/>
      <c r="BL1104" s="67"/>
      <c r="BM1104" s="67"/>
      <c r="BN1104" s="100"/>
      <c r="BO1104" s="102"/>
      <c r="BP1104" s="67"/>
      <c r="BQ1104" s="79"/>
      <c r="BR1104" s="67"/>
      <c r="BS1104" s="102"/>
      <c r="BT1104" s="106"/>
      <c r="BU1104" s="107"/>
      <c r="BV1104" s="108" t="str">
        <f t="shared" si="17"/>
        <v/>
      </c>
      <c r="BW1104" s="108" t="str">
        <f t="shared" si="16"/>
        <v/>
      </c>
      <c r="BX1104" s="102" t="str">
        <f t="shared" si="15"/>
        <v/>
      </c>
      <c r="BY1104" s="107" t="str">
        <f t="shared" si="5"/>
        <v/>
      </c>
      <c r="BZ1104" s="107" t="str">
        <f t="array" ref="BZ1104">IF($A1104&lt;&gt;"",INDEX(LISTA!$M$2:$N$27,MATCH($BC1104,LISTA!$N$2:$N$27,0),1),"")</f>
        <v/>
      </c>
      <c r="CA1104" s="67" t="str">
        <f t="shared" si="6"/>
        <v/>
      </c>
      <c r="CB1104" s="114" t="str">
        <f t="shared" si="7"/>
        <v/>
      </c>
      <c r="CC1104" s="114"/>
    </row>
    <row r="1105" ht="22.5" customHeight="1">
      <c r="A1105" s="59"/>
      <c r="B1105" s="115"/>
      <c r="C1105" s="54"/>
      <c r="D1105" s="56"/>
      <c r="E1105" s="69"/>
      <c r="F1105" s="73"/>
      <c r="G1105" s="79"/>
      <c r="H1105" s="79"/>
      <c r="I1105" s="67"/>
      <c r="J1105" s="79"/>
      <c r="K1105" s="67"/>
      <c r="L1105" s="79"/>
      <c r="M1105" s="83"/>
      <c r="N1105" s="78"/>
      <c r="O1105" s="80"/>
      <c r="P1105" s="70"/>
      <c r="Q1105" s="54"/>
      <c r="R1105" s="67"/>
      <c r="S1105" s="67"/>
      <c r="T1105" s="54"/>
      <c r="U1105" s="86"/>
      <c r="V1105" s="54"/>
      <c r="W1105" s="86"/>
      <c r="X1105" s="54"/>
      <c r="Y1105" s="78"/>
      <c r="Z1105" s="54"/>
      <c r="AA1105" s="70"/>
      <c r="AB1105" s="83"/>
      <c r="AC1105" s="83"/>
      <c r="AD1105" s="83"/>
      <c r="AE1105" s="83"/>
      <c r="AF1105" s="83"/>
      <c r="AG1105" s="83"/>
      <c r="AH1105" s="83"/>
      <c r="AI1105" s="83"/>
      <c r="AJ1105" s="83"/>
      <c r="AK1105" s="83"/>
      <c r="AL1105" s="83"/>
      <c r="AM1105" s="83"/>
      <c r="AN1105" s="83"/>
      <c r="AO1105" s="83"/>
      <c r="AP1105" s="83"/>
      <c r="AQ1105" s="54"/>
      <c r="AR1105" s="83"/>
      <c r="AS1105" s="83"/>
      <c r="AT1105" s="93"/>
      <c r="AU1105" s="93"/>
      <c r="AV1105" s="93"/>
      <c r="AW1105" s="83"/>
      <c r="AX1105" s="83"/>
      <c r="AY1105" s="83"/>
      <c r="AZ1105" s="83"/>
      <c r="BA1105" s="83"/>
      <c r="BB1105" s="83"/>
      <c r="BC1105" s="54"/>
      <c r="BD1105" s="54" t="str">
        <f t="shared" si="1"/>
        <v/>
      </c>
      <c r="BE1105" s="67"/>
      <c r="BF1105" s="67"/>
      <c r="BG1105" s="67"/>
      <c r="BH1105" s="67"/>
      <c r="BI1105" s="67"/>
      <c r="BJ1105" s="67"/>
      <c r="BK1105" s="67"/>
      <c r="BL1105" s="67"/>
      <c r="BM1105" s="67"/>
      <c r="BN1105" s="100"/>
      <c r="BO1105" s="102"/>
      <c r="BP1105" s="67"/>
      <c r="BQ1105" s="79"/>
      <c r="BR1105" s="67"/>
      <c r="BS1105" s="102"/>
      <c r="BT1105" s="106"/>
      <c r="BU1105" s="107"/>
      <c r="BV1105" s="108" t="str">
        <f t="shared" si="17"/>
        <v/>
      </c>
      <c r="BW1105" s="108" t="str">
        <f t="shared" si="16"/>
        <v/>
      </c>
      <c r="BX1105" s="102" t="str">
        <f t="shared" si="15"/>
        <v/>
      </c>
      <c r="BY1105" s="107" t="str">
        <f t="shared" si="5"/>
        <v/>
      </c>
      <c r="BZ1105" s="107" t="str">
        <f t="array" ref="BZ1105">IF($A1105&lt;&gt;"",INDEX(LISTA!$M$2:$N$27,MATCH($BC1105,LISTA!$N$2:$N$27,0),1),"")</f>
        <v/>
      </c>
      <c r="CA1105" s="67" t="str">
        <f t="shared" si="6"/>
        <v/>
      </c>
      <c r="CB1105" s="114" t="str">
        <f t="shared" si="7"/>
        <v/>
      </c>
      <c r="CC1105" s="114"/>
    </row>
    <row r="1106" ht="22.5" customHeight="1">
      <c r="A1106" s="59"/>
      <c r="B1106" s="115"/>
      <c r="C1106" s="54"/>
      <c r="D1106" s="56"/>
      <c r="E1106" s="69"/>
      <c r="F1106" s="73"/>
      <c r="G1106" s="79"/>
      <c r="H1106" s="79"/>
      <c r="I1106" s="67"/>
      <c r="J1106" s="79"/>
      <c r="K1106" s="67"/>
      <c r="L1106" s="79"/>
      <c r="M1106" s="83"/>
      <c r="N1106" s="78"/>
      <c r="O1106" s="80"/>
      <c r="P1106" s="70"/>
      <c r="Q1106" s="54"/>
      <c r="R1106" s="67"/>
      <c r="S1106" s="67"/>
      <c r="T1106" s="54"/>
      <c r="U1106" s="86"/>
      <c r="V1106" s="54"/>
      <c r="W1106" s="86"/>
      <c r="X1106" s="54"/>
      <c r="Y1106" s="78"/>
      <c r="Z1106" s="54"/>
      <c r="AA1106" s="70"/>
      <c r="AB1106" s="83"/>
      <c r="AC1106" s="83"/>
      <c r="AD1106" s="83"/>
      <c r="AE1106" s="83"/>
      <c r="AF1106" s="83"/>
      <c r="AG1106" s="83"/>
      <c r="AH1106" s="83"/>
      <c r="AI1106" s="83"/>
      <c r="AJ1106" s="83"/>
      <c r="AK1106" s="83"/>
      <c r="AL1106" s="83"/>
      <c r="AM1106" s="83"/>
      <c r="AN1106" s="83"/>
      <c r="AO1106" s="83"/>
      <c r="AP1106" s="83"/>
      <c r="AQ1106" s="54"/>
      <c r="AR1106" s="83"/>
      <c r="AS1106" s="83"/>
      <c r="AT1106" s="93"/>
      <c r="AU1106" s="93"/>
      <c r="AV1106" s="93"/>
      <c r="AW1106" s="83"/>
      <c r="AX1106" s="83"/>
      <c r="AY1106" s="83"/>
      <c r="AZ1106" s="83"/>
      <c r="BA1106" s="83"/>
      <c r="BB1106" s="83"/>
      <c r="BC1106" s="54"/>
      <c r="BD1106" s="54" t="str">
        <f t="shared" si="1"/>
        <v/>
      </c>
      <c r="BE1106" s="67"/>
      <c r="BF1106" s="67"/>
      <c r="BG1106" s="67"/>
      <c r="BH1106" s="67"/>
      <c r="BI1106" s="67"/>
      <c r="BJ1106" s="67"/>
      <c r="BK1106" s="67"/>
      <c r="BL1106" s="67"/>
      <c r="BM1106" s="67"/>
      <c r="BN1106" s="100"/>
      <c r="BO1106" s="102"/>
      <c r="BP1106" s="67"/>
      <c r="BQ1106" s="79"/>
      <c r="BR1106" s="67"/>
      <c r="BS1106" s="102"/>
      <c r="BT1106" s="106"/>
      <c r="BU1106" s="107"/>
      <c r="BV1106" s="108" t="str">
        <f t="shared" si="17"/>
        <v/>
      </c>
      <c r="BW1106" s="108" t="str">
        <f t="shared" si="16"/>
        <v/>
      </c>
      <c r="BX1106" s="102" t="str">
        <f t="shared" si="15"/>
        <v/>
      </c>
      <c r="BY1106" s="107" t="str">
        <f t="shared" si="5"/>
        <v/>
      </c>
      <c r="BZ1106" s="107" t="str">
        <f t="array" ref="BZ1106">IF($A1106&lt;&gt;"",INDEX(LISTA!$M$2:$N$27,MATCH($BC1106,LISTA!$N$2:$N$27,0),1),"")</f>
        <v/>
      </c>
      <c r="CA1106" s="67" t="str">
        <f t="shared" si="6"/>
        <v/>
      </c>
      <c r="CB1106" s="114" t="str">
        <f t="shared" si="7"/>
        <v/>
      </c>
      <c r="CC1106" s="114"/>
    </row>
    <row r="1107" ht="22.5" customHeight="1">
      <c r="A1107" s="59"/>
      <c r="B1107" s="115"/>
      <c r="C1107" s="54"/>
      <c r="D1107" s="56"/>
      <c r="E1107" s="69"/>
      <c r="F1107" s="73"/>
      <c r="G1107" s="79"/>
      <c r="H1107" s="79"/>
      <c r="I1107" s="67"/>
      <c r="J1107" s="79"/>
      <c r="K1107" s="67"/>
      <c r="L1107" s="79"/>
      <c r="M1107" s="83"/>
      <c r="N1107" s="78"/>
      <c r="O1107" s="80"/>
      <c r="P1107" s="70"/>
      <c r="Q1107" s="54"/>
      <c r="R1107" s="67"/>
      <c r="S1107" s="67"/>
      <c r="T1107" s="54"/>
      <c r="U1107" s="86"/>
      <c r="V1107" s="54"/>
      <c r="W1107" s="86"/>
      <c r="X1107" s="54"/>
      <c r="Y1107" s="78"/>
      <c r="Z1107" s="54"/>
      <c r="AA1107" s="70"/>
      <c r="AB1107" s="83"/>
      <c r="AC1107" s="83"/>
      <c r="AD1107" s="83"/>
      <c r="AE1107" s="83"/>
      <c r="AF1107" s="83"/>
      <c r="AG1107" s="83"/>
      <c r="AH1107" s="83"/>
      <c r="AI1107" s="83"/>
      <c r="AJ1107" s="83"/>
      <c r="AK1107" s="83"/>
      <c r="AL1107" s="83"/>
      <c r="AM1107" s="83"/>
      <c r="AN1107" s="83"/>
      <c r="AO1107" s="83"/>
      <c r="AP1107" s="83"/>
      <c r="AQ1107" s="54"/>
      <c r="AR1107" s="83"/>
      <c r="AS1107" s="83"/>
      <c r="AT1107" s="93"/>
      <c r="AU1107" s="93"/>
      <c r="AV1107" s="93"/>
      <c r="AW1107" s="83"/>
      <c r="AX1107" s="83"/>
      <c r="AY1107" s="83"/>
      <c r="AZ1107" s="83"/>
      <c r="BA1107" s="83"/>
      <c r="BB1107" s="83"/>
      <c r="BC1107" s="54"/>
      <c r="BD1107" s="54" t="str">
        <f t="shared" si="1"/>
        <v/>
      </c>
      <c r="BE1107" s="67"/>
      <c r="BF1107" s="67"/>
      <c r="BG1107" s="67"/>
      <c r="BH1107" s="67"/>
      <c r="BI1107" s="67"/>
      <c r="BJ1107" s="67"/>
      <c r="BK1107" s="67"/>
      <c r="BL1107" s="67"/>
      <c r="BM1107" s="67"/>
      <c r="BN1107" s="100"/>
      <c r="BO1107" s="102"/>
      <c r="BP1107" s="67"/>
      <c r="BQ1107" s="79"/>
      <c r="BR1107" s="67"/>
      <c r="BS1107" s="102"/>
      <c r="BT1107" s="106"/>
      <c r="BU1107" s="107"/>
      <c r="BV1107" s="108" t="str">
        <f t="shared" si="17"/>
        <v/>
      </c>
      <c r="BW1107" s="108" t="str">
        <f t="shared" si="16"/>
        <v/>
      </c>
      <c r="BX1107" s="102" t="str">
        <f t="shared" si="15"/>
        <v/>
      </c>
      <c r="BY1107" s="107" t="str">
        <f t="shared" si="5"/>
        <v/>
      </c>
      <c r="BZ1107" s="107" t="str">
        <f t="array" ref="BZ1107">IF($A1107&lt;&gt;"",INDEX(LISTA!$M$2:$N$27,MATCH($BC1107,LISTA!$N$2:$N$27,0),1),"")</f>
        <v/>
      </c>
      <c r="CA1107" s="67" t="str">
        <f t="shared" si="6"/>
        <v/>
      </c>
      <c r="CB1107" s="114" t="str">
        <f t="shared" si="7"/>
        <v/>
      </c>
      <c r="CC1107" s="114"/>
    </row>
    <row r="1108" ht="22.5" customHeight="1">
      <c r="A1108" s="59"/>
      <c r="B1108" s="115"/>
      <c r="C1108" s="54"/>
      <c r="D1108" s="56"/>
      <c r="E1108" s="69"/>
      <c r="F1108" s="73"/>
      <c r="G1108" s="79"/>
      <c r="H1108" s="79"/>
      <c r="I1108" s="67"/>
      <c r="J1108" s="79"/>
      <c r="K1108" s="67"/>
      <c r="L1108" s="79"/>
      <c r="M1108" s="83"/>
      <c r="N1108" s="78"/>
      <c r="O1108" s="80"/>
      <c r="P1108" s="70"/>
      <c r="Q1108" s="54"/>
      <c r="R1108" s="67"/>
      <c r="S1108" s="67"/>
      <c r="T1108" s="54"/>
      <c r="U1108" s="86"/>
      <c r="V1108" s="54"/>
      <c r="W1108" s="86"/>
      <c r="X1108" s="54"/>
      <c r="Y1108" s="78"/>
      <c r="Z1108" s="54"/>
      <c r="AA1108" s="70"/>
      <c r="AB1108" s="83"/>
      <c r="AC1108" s="83"/>
      <c r="AD1108" s="83"/>
      <c r="AE1108" s="83"/>
      <c r="AF1108" s="83"/>
      <c r="AG1108" s="83"/>
      <c r="AH1108" s="83"/>
      <c r="AI1108" s="83"/>
      <c r="AJ1108" s="83"/>
      <c r="AK1108" s="83"/>
      <c r="AL1108" s="83"/>
      <c r="AM1108" s="83"/>
      <c r="AN1108" s="83"/>
      <c r="AO1108" s="83"/>
      <c r="AP1108" s="83"/>
      <c r="AQ1108" s="54"/>
      <c r="AR1108" s="83"/>
      <c r="AS1108" s="83"/>
      <c r="AT1108" s="93"/>
      <c r="AU1108" s="93"/>
      <c r="AV1108" s="93"/>
      <c r="AW1108" s="83"/>
      <c r="AX1108" s="83"/>
      <c r="AY1108" s="83"/>
      <c r="AZ1108" s="83"/>
      <c r="BA1108" s="83"/>
      <c r="BB1108" s="83"/>
      <c r="BC1108" s="54"/>
      <c r="BD1108" s="54" t="str">
        <f t="shared" si="1"/>
        <v/>
      </c>
      <c r="BE1108" s="67"/>
      <c r="BF1108" s="67"/>
      <c r="BG1108" s="67"/>
      <c r="BH1108" s="67"/>
      <c r="BI1108" s="67"/>
      <c r="BJ1108" s="67"/>
      <c r="BK1108" s="67"/>
      <c r="BL1108" s="67"/>
      <c r="BM1108" s="67"/>
      <c r="BN1108" s="100"/>
      <c r="BO1108" s="102"/>
      <c r="BP1108" s="67"/>
      <c r="BQ1108" s="79"/>
      <c r="BR1108" s="67"/>
      <c r="BS1108" s="102"/>
      <c r="BT1108" s="106"/>
      <c r="BU1108" s="107"/>
      <c r="BV1108" s="108" t="str">
        <f t="shared" si="17"/>
        <v/>
      </c>
      <c r="BW1108" s="108" t="str">
        <f t="shared" si="16"/>
        <v/>
      </c>
      <c r="BX1108" s="102" t="str">
        <f t="shared" si="15"/>
        <v/>
      </c>
      <c r="BY1108" s="107" t="str">
        <f t="shared" si="5"/>
        <v/>
      </c>
      <c r="BZ1108" s="107" t="str">
        <f t="array" ref="BZ1108">IF($A1108&lt;&gt;"",INDEX(LISTA!$M$2:$N$27,MATCH($BC1108,LISTA!$N$2:$N$27,0),1),"")</f>
        <v/>
      </c>
      <c r="CA1108" s="67" t="str">
        <f t="shared" si="6"/>
        <v/>
      </c>
      <c r="CB1108" s="114" t="str">
        <f t="shared" si="7"/>
        <v/>
      </c>
      <c r="CC1108" s="114"/>
    </row>
    <row r="1109" ht="22.5" customHeight="1">
      <c r="A1109" s="59"/>
      <c r="B1109" s="115"/>
      <c r="C1109" s="54"/>
      <c r="D1109" s="56"/>
      <c r="E1109" s="69"/>
      <c r="F1109" s="73"/>
      <c r="G1109" s="79"/>
      <c r="H1109" s="79"/>
      <c r="I1109" s="67"/>
      <c r="J1109" s="79"/>
      <c r="K1109" s="67"/>
      <c r="L1109" s="79"/>
      <c r="M1109" s="83"/>
      <c r="N1109" s="78"/>
      <c r="O1109" s="80"/>
      <c r="P1109" s="70"/>
      <c r="Q1109" s="54"/>
      <c r="R1109" s="67"/>
      <c r="S1109" s="67"/>
      <c r="T1109" s="54"/>
      <c r="U1109" s="86"/>
      <c r="V1109" s="54"/>
      <c r="W1109" s="86"/>
      <c r="X1109" s="54"/>
      <c r="Y1109" s="78"/>
      <c r="Z1109" s="54"/>
      <c r="AA1109" s="70"/>
      <c r="AB1109" s="83"/>
      <c r="AC1109" s="83"/>
      <c r="AD1109" s="83"/>
      <c r="AE1109" s="83"/>
      <c r="AF1109" s="83"/>
      <c r="AG1109" s="83"/>
      <c r="AH1109" s="83"/>
      <c r="AI1109" s="83"/>
      <c r="AJ1109" s="83"/>
      <c r="AK1109" s="83"/>
      <c r="AL1109" s="83"/>
      <c r="AM1109" s="83"/>
      <c r="AN1109" s="83"/>
      <c r="AO1109" s="83"/>
      <c r="AP1109" s="83"/>
      <c r="AQ1109" s="54"/>
      <c r="AR1109" s="83"/>
      <c r="AS1109" s="83"/>
      <c r="AT1109" s="93"/>
      <c r="AU1109" s="93"/>
      <c r="AV1109" s="93"/>
      <c r="AW1109" s="83"/>
      <c r="AX1109" s="83"/>
      <c r="AY1109" s="83"/>
      <c r="AZ1109" s="83"/>
      <c r="BA1109" s="83"/>
      <c r="BB1109" s="83"/>
      <c r="BC1109" s="54"/>
      <c r="BD1109" s="54" t="str">
        <f t="shared" si="1"/>
        <v/>
      </c>
      <c r="BE1109" s="67"/>
      <c r="BF1109" s="67"/>
      <c r="BG1109" s="67"/>
      <c r="BH1109" s="67"/>
      <c r="BI1109" s="67"/>
      <c r="BJ1109" s="67"/>
      <c r="BK1109" s="67"/>
      <c r="BL1109" s="67"/>
      <c r="BM1109" s="67"/>
      <c r="BN1109" s="100"/>
      <c r="BO1109" s="102"/>
      <c r="BP1109" s="67"/>
      <c r="BQ1109" s="79"/>
      <c r="BR1109" s="67"/>
      <c r="BS1109" s="102"/>
      <c r="BT1109" s="106"/>
      <c r="BU1109" s="107"/>
      <c r="BV1109" s="108" t="str">
        <f t="shared" si="17"/>
        <v/>
      </c>
      <c r="BW1109" s="108" t="str">
        <f t="shared" si="16"/>
        <v/>
      </c>
      <c r="BX1109" s="102" t="str">
        <f t="shared" si="15"/>
        <v/>
      </c>
      <c r="BY1109" s="107" t="str">
        <f t="shared" si="5"/>
        <v/>
      </c>
      <c r="BZ1109" s="107" t="str">
        <f t="array" ref="BZ1109">IF($A1109&lt;&gt;"",INDEX(LISTA!$M$2:$N$27,MATCH($BC1109,LISTA!$N$2:$N$27,0),1),"")</f>
        <v/>
      </c>
      <c r="CA1109" s="67" t="str">
        <f t="shared" si="6"/>
        <v/>
      </c>
      <c r="CB1109" s="114" t="str">
        <f t="shared" si="7"/>
        <v/>
      </c>
      <c r="CC1109" s="114"/>
    </row>
    <row r="1110" ht="22.5" customHeight="1">
      <c r="A1110" s="59"/>
      <c r="B1110" s="115"/>
      <c r="C1110" s="54"/>
      <c r="D1110" s="56"/>
      <c r="E1110" s="69"/>
      <c r="F1110" s="73"/>
      <c r="G1110" s="79"/>
      <c r="H1110" s="79"/>
      <c r="I1110" s="67"/>
      <c r="J1110" s="79"/>
      <c r="K1110" s="67"/>
      <c r="L1110" s="79"/>
      <c r="M1110" s="83"/>
      <c r="N1110" s="78"/>
      <c r="O1110" s="80"/>
      <c r="P1110" s="70"/>
      <c r="Q1110" s="54"/>
      <c r="R1110" s="67"/>
      <c r="S1110" s="67"/>
      <c r="T1110" s="54"/>
      <c r="U1110" s="86"/>
      <c r="V1110" s="54"/>
      <c r="W1110" s="86"/>
      <c r="X1110" s="54"/>
      <c r="Y1110" s="78"/>
      <c r="Z1110" s="54"/>
      <c r="AA1110" s="70"/>
      <c r="AB1110" s="83"/>
      <c r="AC1110" s="83"/>
      <c r="AD1110" s="83"/>
      <c r="AE1110" s="83"/>
      <c r="AF1110" s="83"/>
      <c r="AG1110" s="83"/>
      <c r="AH1110" s="83"/>
      <c r="AI1110" s="83"/>
      <c r="AJ1110" s="83"/>
      <c r="AK1110" s="83"/>
      <c r="AL1110" s="83"/>
      <c r="AM1110" s="83"/>
      <c r="AN1110" s="83"/>
      <c r="AO1110" s="83"/>
      <c r="AP1110" s="83"/>
      <c r="AQ1110" s="54"/>
      <c r="AR1110" s="83"/>
      <c r="AS1110" s="83"/>
      <c r="AT1110" s="93"/>
      <c r="AU1110" s="93"/>
      <c r="AV1110" s="93"/>
      <c r="AW1110" s="83"/>
      <c r="AX1110" s="83"/>
      <c r="AY1110" s="83"/>
      <c r="AZ1110" s="83"/>
      <c r="BA1110" s="83"/>
      <c r="BB1110" s="83"/>
      <c r="BC1110" s="54"/>
      <c r="BD1110" s="54" t="str">
        <f t="shared" si="1"/>
        <v/>
      </c>
      <c r="BE1110" s="67"/>
      <c r="BF1110" s="67"/>
      <c r="BG1110" s="67"/>
      <c r="BH1110" s="67"/>
      <c r="BI1110" s="67"/>
      <c r="BJ1110" s="67"/>
      <c r="BK1110" s="67"/>
      <c r="BL1110" s="67"/>
      <c r="BM1110" s="67"/>
      <c r="BN1110" s="100"/>
      <c r="BO1110" s="102"/>
      <c r="BP1110" s="67"/>
      <c r="BQ1110" s="79"/>
      <c r="BR1110" s="67"/>
      <c r="BS1110" s="102"/>
      <c r="BT1110" s="106"/>
      <c r="BU1110" s="107"/>
      <c r="BV1110" s="108" t="str">
        <f t="shared" si="17"/>
        <v/>
      </c>
      <c r="BW1110" s="108" t="str">
        <f t="shared" si="16"/>
        <v/>
      </c>
      <c r="BX1110" s="102" t="str">
        <f t="shared" si="15"/>
        <v/>
      </c>
      <c r="BY1110" s="107" t="str">
        <f t="shared" si="5"/>
        <v/>
      </c>
      <c r="BZ1110" s="107" t="str">
        <f t="array" ref="BZ1110">IF($A1110&lt;&gt;"",INDEX(LISTA!$M$2:$N$27,MATCH($BC1110,LISTA!$N$2:$N$27,0),1),"")</f>
        <v/>
      </c>
      <c r="CA1110" s="67" t="str">
        <f t="shared" si="6"/>
        <v/>
      </c>
      <c r="CB1110" s="114" t="str">
        <f t="shared" si="7"/>
        <v/>
      </c>
      <c r="CC1110" s="114"/>
    </row>
    <row r="1111" ht="22.5" customHeight="1">
      <c r="A1111" s="59"/>
      <c r="B1111" s="115"/>
      <c r="C1111" s="54"/>
      <c r="D1111" s="56"/>
      <c r="E1111" s="69"/>
      <c r="F1111" s="73"/>
      <c r="G1111" s="79"/>
      <c r="H1111" s="79"/>
      <c r="I1111" s="67"/>
      <c r="J1111" s="79"/>
      <c r="K1111" s="67"/>
      <c r="L1111" s="79"/>
      <c r="M1111" s="83"/>
      <c r="N1111" s="78"/>
      <c r="O1111" s="80"/>
      <c r="P1111" s="70"/>
      <c r="Q1111" s="54"/>
      <c r="R1111" s="67"/>
      <c r="S1111" s="67"/>
      <c r="T1111" s="54"/>
      <c r="U1111" s="86"/>
      <c r="V1111" s="54"/>
      <c r="W1111" s="86"/>
      <c r="X1111" s="54"/>
      <c r="Y1111" s="78"/>
      <c r="Z1111" s="54"/>
      <c r="AA1111" s="70"/>
      <c r="AB1111" s="83"/>
      <c r="AC1111" s="83"/>
      <c r="AD1111" s="83"/>
      <c r="AE1111" s="83"/>
      <c r="AF1111" s="83"/>
      <c r="AG1111" s="83"/>
      <c r="AH1111" s="83"/>
      <c r="AI1111" s="83"/>
      <c r="AJ1111" s="83"/>
      <c r="AK1111" s="83"/>
      <c r="AL1111" s="83"/>
      <c r="AM1111" s="83"/>
      <c r="AN1111" s="83"/>
      <c r="AO1111" s="83"/>
      <c r="AP1111" s="83"/>
      <c r="AQ1111" s="54"/>
      <c r="AR1111" s="83"/>
      <c r="AS1111" s="83"/>
      <c r="AT1111" s="93"/>
      <c r="AU1111" s="93"/>
      <c r="AV1111" s="93"/>
      <c r="AW1111" s="83"/>
      <c r="AX1111" s="83"/>
      <c r="AY1111" s="83"/>
      <c r="AZ1111" s="83"/>
      <c r="BA1111" s="83"/>
      <c r="BB1111" s="83"/>
      <c r="BC1111" s="54"/>
      <c r="BD1111" s="54" t="str">
        <f t="shared" si="1"/>
        <v/>
      </c>
      <c r="BE1111" s="67"/>
      <c r="BF1111" s="67"/>
      <c r="BG1111" s="67"/>
      <c r="BH1111" s="67"/>
      <c r="BI1111" s="67"/>
      <c r="BJ1111" s="67"/>
      <c r="BK1111" s="67"/>
      <c r="BL1111" s="67"/>
      <c r="BM1111" s="67"/>
      <c r="BN1111" s="100"/>
      <c r="BO1111" s="102"/>
      <c r="BP1111" s="67"/>
      <c r="BQ1111" s="79"/>
      <c r="BR1111" s="67"/>
      <c r="BS1111" s="102"/>
      <c r="BT1111" s="106"/>
      <c r="BU1111" s="107"/>
      <c r="BV1111" s="108" t="str">
        <f t="shared" si="17"/>
        <v/>
      </c>
      <c r="BW1111" s="108" t="str">
        <f t="shared" si="16"/>
        <v/>
      </c>
      <c r="BX1111" s="102" t="str">
        <f t="shared" si="15"/>
        <v/>
      </c>
      <c r="BY1111" s="107" t="str">
        <f t="shared" si="5"/>
        <v/>
      </c>
      <c r="BZ1111" s="107" t="str">
        <f t="array" ref="BZ1111">IF($A1111&lt;&gt;"",INDEX(LISTA!$M$2:$N$27,MATCH($BC1111,LISTA!$N$2:$N$27,0),1),"")</f>
        <v/>
      </c>
      <c r="CA1111" s="67" t="str">
        <f t="shared" si="6"/>
        <v/>
      </c>
      <c r="CB1111" s="114" t="str">
        <f t="shared" si="7"/>
        <v/>
      </c>
      <c r="CC1111" s="114"/>
    </row>
    <row r="1112" ht="22.5" customHeight="1">
      <c r="A1112" s="59"/>
      <c r="B1112" s="115"/>
      <c r="C1112" s="54"/>
      <c r="D1112" s="56"/>
      <c r="E1112" s="69"/>
      <c r="F1112" s="73"/>
      <c r="G1112" s="79"/>
      <c r="H1112" s="79"/>
      <c r="I1112" s="67"/>
      <c r="J1112" s="79"/>
      <c r="K1112" s="67"/>
      <c r="L1112" s="79"/>
      <c r="M1112" s="83"/>
      <c r="N1112" s="78"/>
      <c r="O1112" s="80"/>
      <c r="P1112" s="70"/>
      <c r="Q1112" s="54"/>
      <c r="R1112" s="67"/>
      <c r="S1112" s="67"/>
      <c r="T1112" s="54"/>
      <c r="U1112" s="86"/>
      <c r="V1112" s="54"/>
      <c r="W1112" s="86"/>
      <c r="X1112" s="54"/>
      <c r="Y1112" s="78"/>
      <c r="Z1112" s="54"/>
      <c r="AA1112" s="70"/>
      <c r="AB1112" s="83"/>
      <c r="AC1112" s="83"/>
      <c r="AD1112" s="83"/>
      <c r="AE1112" s="83"/>
      <c r="AF1112" s="83"/>
      <c r="AG1112" s="83"/>
      <c r="AH1112" s="83"/>
      <c r="AI1112" s="83"/>
      <c r="AJ1112" s="83"/>
      <c r="AK1112" s="83"/>
      <c r="AL1112" s="83"/>
      <c r="AM1112" s="83"/>
      <c r="AN1112" s="83"/>
      <c r="AO1112" s="83"/>
      <c r="AP1112" s="83"/>
      <c r="AQ1112" s="54"/>
      <c r="AR1112" s="83"/>
      <c r="AS1112" s="83"/>
      <c r="AT1112" s="93"/>
      <c r="AU1112" s="93"/>
      <c r="AV1112" s="93"/>
      <c r="AW1112" s="83"/>
      <c r="AX1112" s="83"/>
      <c r="AY1112" s="83"/>
      <c r="AZ1112" s="83"/>
      <c r="BA1112" s="83"/>
      <c r="BB1112" s="83"/>
      <c r="BC1112" s="54"/>
      <c r="BD1112" s="54" t="str">
        <f t="shared" si="1"/>
        <v/>
      </c>
      <c r="BE1112" s="67"/>
      <c r="BF1112" s="67"/>
      <c r="BG1112" s="67"/>
      <c r="BH1112" s="67"/>
      <c r="BI1112" s="67"/>
      <c r="BJ1112" s="67"/>
      <c r="BK1112" s="67"/>
      <c r="BL1112" s="67"/>
      <c r="BM1112" s="67"/>
      <c r="BN1112" s="100"/>
      <c r="BO1112" s="102"/>
      <c r="BP1112" s="67"/>
      <c r="BQ1112" s="79"/>
      <c r="BR1112" s="67"/>
      <c r="BS1112" s="102"/>
      <c r="BT1112" s="106"/>
      <c r="BU1112" s="107"/>
      <c r="BV1112" s="108" t="str">
        <f t="shared" si="17"/>
        <v/>
      </c>
      <c r="BW1112" s="108" t="str">
        <f t="shared" si="16"/>
        <v/>
      </c>
      <c r="BX1112" s="102" t="str">
        <f t="shared" si="15"/>
        <v/>
      </c>
      <c r="BY1112" s="107" t="str">
        <f t="shared" si="5"/>
        <v/>
      </c>
      <c r="BZ1112" s="107" t="str">
        <f t="array" ref="BZ1112">IF($A1112&lt;&gt;"",INDEX(LISTA!$M$2:$N$27,MATCH($BC1112,LISTA!$N$2:$N$27,0),1),"")</f>
        <v/>
      </c>
      <c r="CA1112" s="67" t="str">
        <f t="shared" si="6"/>
        <v/>
      </c>
      <c r="CB1112" s="114" t="str">
        <f t="shared" si="7"/>
        <v/>
      </c>
      <c r="CC1112" s="114"/>
    </row>
    <row r="1113" ht="22.5" customHeight="1">
      <c r="A1113" s="59"/>
      <c r="B1113" s="115"/>
      <c r="C1113" s="54"/>
      <c r="D1113" s="56"/>
      <c r="E1113" s="69"/>
      <c r="F1113" s="73"/>
      <c r="G1113" s="79"/>
      <c r="H1113" s="79"/>
      <c r="I1113" s="67"/>
      <c r="J1113" s="79"/>
      <c r="K1113" s="67"/>
      <c r="L1113" s="79"/>
      <c r="M1113" s="83"/>
      <c r="N1113" s="78"/>
      <c r="O1113" s="80"/>
      <c r="P1113" s="70"/>
      <c r="Q1113" s="54"/>
      <c r="R1113" s="67"/>
      <c r="S1113" s="67"/>
      <c r="T1113" s="54"/>
      <c r="U1113" s="86"/>
      <c r="V1113" s="54"/>
      <c r="W1113" s="86"/>
      <c r="X1113" s="54"/>
      <c r="Y1113" s="78"/>
      <c r="Z1113" s="54"/>
      <c r="AA1113" s="70"/>
      <c r="AB1113" s="83"/>
      <c r="AC1113" s="83"/>
      <c r="AD1113" s="83"/>
      <c r="AE1113" s="83"/>
      <c r="AF1113" s="83"/>
      <c r="AG1113" s="83"/>
      <c r="AH1113" s="83"/>
      <c r="AI1113" s="83"/>
      <c r="AJ1113" s="83"/>
      <c r="AK1113" s="83"/>
      <c r="AL1113" s="83"/>
      <c r="AM1113" s="83"/>
      <c r="AN1113" s="83"/>
      <c r="AO1113" s="83"/>
      <c r="AP1113" s="83"/>
      <c r="AQ1113" s="54"/>
      <c r="AR1113" s="83"/>
      <c r="AS1113" s="83"/>
      <c r="AT1113" s="93"/>
      <c r="AU1113" s="93"/>
      <c r="AV1113" s="93"/>
      <c r="AW1113" s="83"/>
      <c r="AX1113" s="83"/>
      <c r="AY1113" s="83"/>
      <c r="AZ1113" s="83"/>
      <c r="BA1113" s="83"/>
      <c r="BB1113" s="83"/>
      <c r="BC1113" s="54"/>
      <c r="BD1113" s="54" t="str">
        <f t="shared" si="1"/>
        <v/>
      </c>
      <c r="BE1113" s="67"/>
      <c r="BF1113" s="67"/>
      <c r="BG1113" s="67"/>
      <c r="BH1113" s="67"/>
      <c r="BI1113" s="67"/>
      <c r="BJ1113" s="67"/>
      <c r="BK1113" s="67"/>
      <c r="BL1113" s="67"/>
      <c r="BM1113" s="67"/>
      <c r="BN1113" s="100"/>
      <c r="BO1113" s="102"/>
      <c r="BP1113" s="67"/>
      <c r="BQ1113" s="79"/>
      <c r="BR1113" s="67"/>
      <c r="BS1113" s="102"/>
      <c r="BT1113" s="106"/>
      <c r="BU1113" s="107"/>
      <c r="BV1113" s="108" t="str">
        <f t="shared" si="17"/>
        <v/>
      </c>
      <c r="BW1113" s="108" t="str">
        <f t="shared" si="16"/>
        <v/>
      </c>
      <c r="BX1113" s="102" t="str">
        <f t="shared" si="15"/>
        <v/>
      </c>
      <c r="BY1113" s="107" t="str">
        <f t="shared" si="5"/>
        <v/>
      </c>
      <c r="BZ1113" s="107" t="str">
        <f t="array" ref="BZ1113">IF($A1113&lt;&gt;"",INDEX(LISTA!$M$2:$N$27,MATCH($BC1113,LISTA!$N$2:$N$27,0),1),"")</f>
        <v/>
      </c>
      <c r="CA1113" s="67" t="str">
        <f t="shared" si="6"/>
        <v/>
      </c>
      <c r="CB1113" s="114" t="str">
        <f t="shared" si="7"/>
        <v/>
      </c>
      <c r="CC1113" s="114"/>
    </row>
    <row r="1114" ht="22.5" customHeight="1">
      <c r="A1114" s="59"/>
      <c r="B1114" s="115"/>
      <c r="C1114" s="54"/>
      <c r="D1114" s="56"/>
      <c r="E1114" s="69"/>
      <c r="F1114" s="73"/>
      <c r="G1114" s="79"/>
      <c r="H1114" s="79"/>
      <c r="I1114" s="67"/>
      <c r="J1114" s="79"/>
      <c r="K1114" s="67"/>
      <c r="L1114" s="79"/>
      <c r="M1114" s="83"/>
      <c r="N1114" s="78"/>
      <c r="O1114" s="80"/>
      <c r="P1114" s="70"/>
      <c r="Q1114" s="54"/>
      <c r="R1114" s="67"/>
      <c r="S1114" s="67"/>
      <c r="T1114" s="54"/>
      <c r="U1114" s="86"/>
      <c r="V1114" s="54"/>
      <c r="W1114" s="86"/>
      <c r="X1114" s="54"/>
      <c r="Y1114" s="78"/>
      <c r="Z1114" s="54"/>
      <c r="AA1114" s="70"/>
      <c r="AB1114" s="83"/>
      <c r="AC1114" s="83"/>
      <c r="AD1114" s="83"/>
      <c r="AE1114" s="83"/>
      <c r="AF1114" s="83"/>
      <c r="AG1114" s="83"/>
      <c r="AH1114" s="83"/>
      <c r="AI1114" s="83"/>
      <c r="AJ1114" s="83"/>
      <c r="AK1114" s="83"/>
      <c r="AL1114" s="83"/>
      <c r="AM1114" s="83"/>
      <c r="AN1114" s="83"/>
      <c r="AO1114" s="83"/>
      <c r="AP1114" s="83"/>
      <c r="AQ1114" s="54"/>
      <c r="AR1114" s="83"/>
      <c r="AS1114" s="83"/>
      <c r="AT1114" s="93"/>
      <c r="AU1114" s="93"/>
      <c r="AV1114" s="93"/>
      <c r="AW1114" s="83"/>
      <c r="AX1114" s="83"/>
      <c r="AY1114" s="83"/>
      <c r="AZ1114" s="83"/>
      <c r="BA1114" s="83"/>
      <c r="BB1114" s="83"/>
      <c r="BC1114" s="54"/>
      <c r="BD1114" s="54" t="str">
        <f t="shared" si="1"/>
        <v/>
      </c>
      <c r="BE1114" s="67"/>
      <c r="BF1114" s="67"/>
      <c r="BG1114" s="67"/>
      <c r="BH1114" s="67"/>
      <c r="BI1114" s="67"/>
      <c r="BJ1114" s="67"/>
      <c r="BK1114" s="67"/>
      <c r="BL1114" s="67"/>
      <c r="BM1114" s="67"/>
      <c r="BN1114" s="100"/>
      <c r="BO1114" s="102"/>
      <c r="BP1114" s="67"/>
      <c r="BQ1114" s="79"/>
      <c r="BR1114" s="67"/>
      <c r="BS1114" s="102"/>
      <c r="BT1114" s="106"/>
      <c r="BU1114" s="107"/>
      <c r="BV1114" s="108" t="str">
        <f t="shared" si="17"/>
        <v/>
      </c>
      <c r="BW1114" s="108" t="str">
        <f t="shared" si="16"/>
        <v/>
      </c>
      <c r="BX1114" s="102" t="str">
        <f t="shared" si="15"/>
        <v/>
      </c>
      <c r="BY1114" s="107" t="str">
        <f t="shared" si="5"/>
        <v/>
      </c>
      <c r="BZ1114" s="107" t="str">
        <f t="array" ref="BZ1114">IF($A1114&lt;&gt;"",INDEX(LISTA!$M$2:$N$27,MATCH($BC1114,LISTA!$N$2:$N$27,0),1),"")</f>
        <v/>
      </c>
      <c r="CA1114" s="67" t="str">
        <f t="shared" si="6"/>
        <v/>
      </c>
      <c r="CB1114" s="114" t="str">
        <f t="shared" si="7"/>
        <v/>
      </c>
      <c r="CC1114" s="114"/>
    </row>
    <row r="1115" ht="22.5" customHeight="1">
      <c r="A1115" s="59"/>
      <c r="B1115" s="115"/>
      <c r="C1115" s="54"/>
      <c r="D1115" s="56"/>
      <c r="E1115" s="69"/>
      <c r="F1115" s="73"/>
      <c r="G1115" s="79"/>
      <c r="H1115" s="79"/>
      <c r="I1115" s="67"/>
      <c r="J1115" s="79"/>
      <c r="K1115" s="67"/>
      <c r="L1115" s="79"/>
      <c r="M1115" s="83"/>
      <c r="N1115" s="78"/>
      <c r="O1115" s="80"/>
      <c r="P1115" s="70"/>
      <c r="Q1115" s="54"/>
      <c r="R1115" s="67"/>
      <c r="S1115" s="67"/>
      <c r="T1115" s="54"/>
      <c r="U1115" s="86"/>
      <c r="V1115" s="54"/>
      <c r="W1115" s="86"/>
      <c r="X1115" s="54"/>
      <c r="Y1115" s="78"/>
      <c r="Z1115" s="54"/>
      <c r="AA1115" s="70"/>
      <c r="AB1115" s="83"/>
      <c r="AC1115" s="83"/>
      <c r="AD1115" s="83"/>
      <c r="AE1115" s="83"/>
      <c r="AF1115" s="83"/>
      <c r="AG1115" s="83"/>
      <c r="AH1115" s="83"/>
      <c r="AI1115" s="83"/>
      <c r="AJ1115" s="83"/>
      <c r="AK1115" s="83"/>
      <c r="AL1115" s="83"/>
      <c r="AM1115" s="83"/>
      <c r="AN1115" s="83"/>
      <c r="AO1115" s="83"/>
      <c r="AP1115" s="83"/>
      <c r="AQ1115" s="54"/>
      <c r="AR1115" s="83"/>
      <c r="AS1115" s="83"/>
      <c r="AT1115" s="93"/>
      <c r="AU1115" s="93"/>
      <c r="AV1115" s="93"/>
      <c r="AW1115" s="83"/>
      <c r="AX1115" s="83"/>
      <c r="AY1115" s="83"/>
      <c r="AZ1115" s="83"/>
      <c r="BA1115" s="83"/>
      <c r="BB1115" s="83"/>
      <c r="BC1115" s="54"/>
      <c r="BD1115" s="54" t="str">
        <f t="shared" si="1"/>
        <v/>
      </c>
      <c r="BE1115" s="67"/>
      <c r="BF1115" s="67"/>
      <c r="BG1115" s="67"/>
      <c r="BH1115" s="67"/>
      <c r="BI1115" s="67"/>
      <c r="BJ1115" s="67"/>
      <c r="BK1115" s="67"/>
      <c r="BL1115" s="67"/>
      <c r="BM1115" s="67"/>
      <c r="BN1115" s="100"/>
      <c r="BO1115" s="102"/>
      <c r="BP1115" s="67"/>
      <c r="BQ1115" s="79"/>
      <c r="BR1115" s="67"/>
      <c r="BS1115" s="102"/>
      <c r="BT1115" s="106"/>
      <c r="BU1115" s="107"/>
      <c r="BV1115" s="108" t="str">
        <f t="shared" si="17"/>
        <v/>
      </c>
      <c r="BW1115" s="108" t="str">
        <f t="shared" si="16"/>
        <v/>
      </c>
      <c r="BX1115" s="102" t="str">
        <f t="shared" si="15"/>
        <v/>
      </c>
      <c r="BY1115" s="107" t="str">
        <f t="shared" si="5"/>
        <v/>
      </c>
      <c r="BZ1115" s="107" t="str">
        <f t="array" ref="BZ1115">IF($A1115&lt;&gt;"",INDEX(LISTA!$M$2:$N$27,MATCH($BC1115,LISTA!$N$2:$N$27,0),1),"")</f>
        <v/>
      </c>
      <c r="CA1115" s="67" t="str">
        <f t="shared" si="6"/>
        <v/>
      </c>
      <c r="CB1115" s="114" t="str">
        <f t="shared" si="7"/>
        <v/>
      </c>
      <c r="CC1115" s="114"/>
    </row>
    <row r="1116" ht="22.5" customHeight="1">
      <c r="A1116" s="59"/>
      <c r="B1116" s="115"/>
      <c r="C1116" s="54"/>
      <c r="D1116" s="56"/>
      <c r="E1116" s="69"/>
      <c r="F1116" s="73"/>
      <c r="G1116" s="79"/>
      <c r="H1116" s="79"/>
      <c r="I1116" s="67"/>
      <c r="J1116" s="79"/>
      <c r="K1116" s="67"/>
      <c r="L1116" s="79"/>
      <c r="M1116" s="83"/>
      <c r="N1116" s="78"/>
      <c r="O1116" s="80"/>
      <c r="P1116" s="70"/>
      <c r="Q1116" s="54"/>
      <c r="R1116" s="67"/>
      <c r="S1116" s="67"/>
      <c r="T1116" s="54"/>
      <c r="U1116" s="86"/>
      <c r="V1116" s="54"/>
      <c r="W1116" s="86"/>
      <c r="X1116" s="54"/>
      <c r="Y1116" s="78"/>
      <c r="Z1116" s="54"/>
      <c r="AA1116" s="70"/>
      <c r="AB1116" s="83"/>
      <c r="AC1116" s="83"/>
      <c r="AD1116" s="83"/>
      <c r="AE1116" s="83"/>
      <c r="AF1116" s="83"/>
      <c r="AG1116" s="83"/>
      <c r="AH1116" s="83"/>
      <c r="AI1116" s="83"/>
      <c r="AJ1116" s="83"/>
      <c r="AK1116" s="83"/>
      <c r="AL1116" s="83"/>
      <c r="AM1116" s="83"/>
      <c r="AN1116" s="83"/>
      <c r="AO1116" s="83"/>
      <c r="AP1116" s="83"/>
      <c r="AQ1116" s="54"/>
      <c r="AR1116" s="83"/>
      <c r="AS1116" s="83"/>
      <c r="AT1116" s="93"/>
      <c r="AU1116" s="93"/>
      <c r="AV1116" s="93"/>
      <c r="AW1116" s="83"/>
      <c r="AX1116" s="83"/>
      <c r="AY1116" s="83"/>
      <c r="AZ1116" s="83"/>
      <c r="BA1116" s="83"/>
      <c r="BB1116" s="83"/>
      <c r="BC1116" s="54"/>
      <c r="BD1116" s="54" t="str">
        <f t="shared" si="1"/>
        <v/>
      </c>
      <c r="BE1116" s="67"/>
      <c r="BF1116" s="67"/>
      <c r="BG1116" s="67"/>
      <c r="BH1116" s="67"/>
      <c r="BI1116" s="67"/>
      <c r="BJ1116" s="67"/>
      <c r="BK1116" s="67"/>
      <c r="BL1116" s="67"/>
      <c r="BM1116" s="67"/>
      <c r="BN1116" s="100"/>
      <c r="BO1116" s="102"/>
      <c r="BP1116" s="67"/>
      <c r="BQ1116" s="79"/>
      <c r="BR1116" s="67"/>
      <c r="BS1116" s="102"/>
      <c r="BT1116" s="106"/>
      <c r="BU1116" s="107"/>
      <c r="BV1116" s="108" t="str">
        <f t="shared" si="17"/>
        <v/>
      </c>
      <c r="BW1116" s="108" t="str">
        <f t="shared" si="16"/>
        <v/>
      </c>
      <c r="BX1116" s="102" t="str">
        <f t="shared" si="15"/>
        <v/>
      </c>
      <c r="BY1116" s="107" t="str">
        <f t="shared" si="5"/>
        <v/>
      </c>
      <c r="BZ1116" s="107" t="str">
        <f t="array" ref="BZ1116">IF($A1116&lt;&gt;"",INDEX(LISTA!$M$2:$N$27,MATCH($BC1116,LISTA!$N$2:$N$27,0),1),"")</f>
        <v/>
      </c>
      <c r="CA1116" s="67" t="str">
        <f t="shared" si="6"/>
        <v/>
      </c>
      <c r="CB1116" s="114" t="str">
        <f t="shared" si="7"/>
        <v/>
      </c>
      <c r="CC1116" s="114"/>
    </row>
    <row r="1117" ht="22.5" customHeight="1">
      <c r="A1117" s="59"/>
      <c r="B1117" s="115"/>
      <c r="C1117" s="54"/>
      <c r="D1117" s="56"/>
      <c r="E1117" s="69"/>
      <c r="F1117" s="73"/>
      <c r="G1117" s="79"/>
      <c r="H1117" s="79"/>
      <c r="I1117" s="67"/>
      <c r="J1117" s="79"/>
      <c r="K1117" s="67"/>
      <c r="L1117" s="79"/>
      <c r="M1117" s="83"/>
      <c r="N1117" s="78"/>
      <c r="O1117" s="80"/>
      <c r="P1117" s="70"/>
      <c r="Q1117" s="54"/>
      <c r="R1117" s="67"/>
      <c r="S1117" s="67"/>
      <c r="T1117" s="54"/>
      <c r="U1117" s="86"/>
      <c r="V1117" s="54"/>
      <c r="W1117" s="86"/>
      <c r="X1117" s="54"/>
      <c r="Y1117" s="78"/>
      <c r="Z1117" s="54"/>
      <c r="AA1117" s="70"/>
      <c r="AB1117" s="83"/>
      <c r="AC1117" s="83"/>
      <c r="AD1117" s="83"/>
      <c r="AE1117" s="83"/>
      <c r="AF1117" s="83"/>
      <c r="AG1117" s="83"/>
      <c r="AH1117" s="83"/>
      <c r="AI1117" s="83"/>
      <c r="AJ1117" s="83"/>
      <c r="AK1117" s="83"/>
      <c r="AL1117" s="83"/>
      <c r="AM1117" s="83"/>
      <c r="AN1117" s="83"/>
      <c r="AO1117" s="83"/>
      <c r="AP1117" s="83"/>
      <c r="AQ1117" s="54"/>
      <c r="AR1117" s="83"/>
      <c r="AS1117" s="83"/>
      <c r="AT1117" s="93"/>
      <c r="AU1117" s="93"/>
      <c r="AV1117" s="93"/>
      <c r="AW1117" s="83"/>
      <c r="AX1117" s="83"/>
      <c r="AY1117" s="83"/>
      <c r="AZ1117" s="83"/>
      <c r="BA1117" s="83"/>
      <c r="BB1117" s="83"/>
      <c r="BC1117" s="54"/>
      <c r="BD1117" s="54" t="str">
        <f t="shared" si="1"/>
        <v/>
      </c>
      <c r="BE1117" s="67"/>
      <c r="BF1117" s="67"/>
      <c r="BG1117" s="67"/>
      <c r="BH1117" s="67"/>
      <c r="BI1117" s="67"/>
      <c r="BJ1117" s="67"/>
      <c r="BK1117" s="67"/>
      <c r="BL1117" s="67"/>
      <c r="BM1117" s="67"/>
      <c r="BN1117" s="100"/>
      <c r="BO1117" s="102"/>
      <c r="BP1117" s="67"/>
      <c r="BQ1117" s="79"/>
      <c r="BR1117" s="67"/>
      <c r="BS1117" s="102"/>
      <c r="BT1117" s="106"/>
      <c r="BU1117" s="107"/>
      <c r="BV1117" s="108" t="str">
        <f t="shared" si="17"/>
        <v/>
      </c>
      <c r="BW1117" s="108" t="str">
        <f t="shared" si="16"/>
        <v/>
      </c>
      <c r="BX1117" s="102" t="str">
        <f t="shared" si="15"/>
        <v/>
      </c>
      <c r="BY1117" s="107" t="str">
        <f t="shared" si="5"/>
        <v/>
      </c>
      <c r="BZ1117" s="107" t="str">
        <f t="array" ref="BZ1117">IF($A1117&lt;&gt;"",INDEX(LISTA!$M$2:$N$27,MATCH($BC1117,LISTA!$N$2:$N$27,0),1),"")</f>
        <v/>
      </c>
      <c r="CA1117" s="67" t="str">
        <f t="shared" si="6"/>
        <v/>
      </c>
      <c r="CB1117" s="114" t="str">
        <f t="shared" si="7"/>
        <v/>
      </c>
      <c r="CC1117" s="114"/>
    </row>
    <row r="1118" ht="22.5" customHeight="1">
      <c r="A1118" s="59"/>
      <c r="B1118" s="115"/>
      <c r="C1118" s="54"/>
      <c r="D1118" s="56"/>
      <c r="E1118" s="69"/>
      <c r="F1118" s="73"/>
      <c r="G1118" s="79"/>
      <c r="H1118" s="79"/>
      <c r="I1118" s="67"/>
      <c r="J1118" s="79"/>
      <c r="K1118" s="67"/>
      <c r="L1118" s="79"/>
      <c r="M1118" s="83"/>
      <c r="N1118" s="78"/>
      <c r="O1118" s="80"/>
      <c r="P1118" s="70"/>
      <c r="Q1118" s="54"/>
      <c r="R1118" s="67"/>
      <c r="S1118" s="67"/>
      <c r="T1118" s="54"/>
      <c r="U1118" s="86"/>
      <c r="V1118" s="54"/>
      <c r="W1118" s="86"/>
      <c r="X1118" s="54"/>
      <c r="Y1118" s="78"/>
      <c r="Z1118" s="54"/>
      <c r="AA1118" s="70"/>
      <c r="AB1118" s="83"/>
      <c r="AC1118" s="83"/>
      <c r="AD1118" s="83"/>
      <c r="AE1118" s="83"/>
      <c r="AF1118" s="83"/>
      <c r="AG1118" s="83"/>
      <c r="AH1118" s="83"/>
      <c r="AI1118" s="83"/>
      <c r="AJ1118" s="83"/>
      <c r="AK1118" s="83"/>
      <c r="AL1118" s="83"/>
      <c r="AM1118" s="83"/>
      <c r="AN1118" s="83"/>
      <c r="AO1118" s="83"/>
      <c r="AP1118" s="83"/>
      <c r="AQ1118" s="54"/>
      <c r="AR1118" s="83"/>
      <c r="AS1118" s="83"/>
      <c r="AT1118" s="93"/>
      <c r="AU1118" s="93"/>
      <c r="AV1118" s="93"/>
      <c r="AW1118" s="83"/>
      <c r="AX1118" s="83"/>
      <c r="AY1118" s="83"/>
      <c r="AZ1118" s="83"/>
      <c r="BA1118" s="83"/>
      <c r="BB1118" s="83"/>
      <c r="BC1118" s="54"/>
      <c r="BD1118" s="54" t="str">
        <f t="shared" si="1"/>
        <v/>
      </c>
      <c r="BE1118" s="67"/>
      <c r="BF1118" s="67"/>
      <c r="BG1118" s="67"/>
      <c r="BH1118" s="67"/>
      <c r="BI1118" s="67"/>
      <c r="BJ1118" s="67"/>
      <c r="BK1118" s="67"/>
      <c r="BL1118" s="67"/>
      <c r="BM1118" s="67"/>
      <c r="BN1118" s="100"/>
      <c r="BO1118" s="102"/>
      <c r="BP1118" s="67"/>
      <c r="BQ1118" s="79"/>
      <c r="BR1118" s="67"/>
      <c r="BS1118" s="102"/>
      <c r="BT1118" s="106"/>
      <c r="BU1118" s="107"/>
      <c r="BV1118" s="108" t="str">
        <f t="shared" si="17"/>
        <v/>
      </c>
      <c r="BW1118" s="108" t="str">
        <f t="shared" si="16"/>
        <v/>
      </c>
      <c r="BX1118" s="102" t="str">
        <f t="shared" si="15"/>
        <v/>
      </c>
      <c r="BY1118" s="107" t="str">
        <f t="shared" si="5"/>
        <v/>
      </c>
      <c r="BZ1118" s="107" t="str">
        <f t="array" ref="BZ1118">IF($A1118&lt;&gt;"",INDEX(LISTA!$M$2:$N$27,MATCH($BC1118,LISTA!$N$2:$N$27,0),1),"")</f>
        <v/>
      </c>
      <c r="CA1118" s="67" t="str">
        <f t="shared" si="6"/>
        <v/>
      </c>
      <c r="CB1118" s="114" t="str">
        <f t="shared" si="7"/>
        <v/>
      </c>
      <c r="CC1118" s="114"/>
    </row>
    <row r="1119" ht="22.5" customHeight="1">
      <c r="A1119" s="59"/>
      <c r="B1119" s="115"/>
      <c r="C1119" s="54"/>
      <c r="D1119" s="56"/>
      <c r="E1119" s="69"/>
      <c r="F1119" s="73"/>
      <c r="G1119" s="79"/>
      <c r="H1119" s="79"/>
      <c r="I1119" s="67"/>
      <c r="J1119" s="79"/>
      <c r="K1119" s="67"/>
      <c r="L1119" s="79"/>
      <c r="M1119" s="83"/>
      <c r="N1119" s="78"/>
      <c r="O1119" s="80"/>
      <c r="P1119" s="70"/>
      <c r="Q1119" s="54"/>
      <c r="R1119" s="67"/>
      <c r="S1119" s="67"/>
      <c r="T1119" s="54"/>
      <c r="U1119" s="86"/>
      <c r="V1119" s="54"/>
      <c r="W1119" s="86"/>
      <c r="X1119" s="54"/>
      <c r="Y1119" s="78"/>
      <c r="Z1119" s="54"/>
      <c r="AA1119" s="70"/>
      <c r="AB1119" s="83"/>
      <c r="AC1119" s="83"/>
      <c r="AD1119" s="83"/>
      <c r="AE1119" s="83"/>
      <c r="AF1119" s="83"/>
      <c r="AG1119" s="83"/>
      <c r="AH1119" s="83"/>
      <c r="AI1119" s="83"/>
      <c r="AJ1119" s="83"/>
      <c r="AK1119" s="83"/>
      <c r="AL1119" s="83"/>
      <c r="AM1119" s="83"/>
      <c r="AN1119" s="83"/>
      <c r="AO1119" s="83"/>
      <c r="AP1119" s="83"/>
      <c r="AQ1119" s="54"/>
      <c r="AR1119" s="83"/>
      <c r="AS1119" s="83"/>
      <c r="AT1119" s="93"/>
      <c r="AU1119" s="93"/>
      <c r="AV1119" s="93"/>
      <c r="AW1119" s="83"/>
      <c r="AX1119" s="83"/>
      <c r="AY1119" s="83"/>
      <c r="AZ1119" s="83"/>
      <c r="BA1119" s="83"/>
      <c r="BB1119" s="83"/>
      <c r="BC1119" s="54"/>
      <c r="BD1119" s="54" t="str">
        <f t="shared" si="1"/>
        <v/>
      </c>
      <c r="BE1119" s="67"/>
      <c r="BF1119" s="67"/>
      <c r="BG1119" s="67"/>
      <c r="BH1119" s="67"/>
      <c r="BI1119" s="67"/>
      <c r="BJ1119" s="67"/>
      <c r="BK1119" s="67"/>
      <c r="BL1119" s="67"/>
      <c r="BM1119" s="67"/>
      <c r="BN1119" s="100"/>
      <c r="BO1119" s="102"/>
      <c r="BP1119" s="67"/>
      <c r="BQ1119" s="79"/>
      <c r="BR1119" s="67"/>
      <c r="BS1119" s="102"/>
      <c r="BT1119" s="106"/>
      <c r="BU1119" s="107"/>
      <c r="BV1119" s="108" t="str">
        <f t="shared" si="17"/>
        <v/>
      </c>
      <c r="BW1119" s="108" t="str">
        <f t="shared" si="16"/>
        <v/>
      </c>
      <c r="BX1119" s="102" t="str">
        <f t="shared" si="15"/>
        <v/>
      </c>
      <c r="BY1119" s="107" t="str">
        <f t="shared" si="5"/>
        <v/>
      </c>
      <c r="BZ1119" s="107" t="str">
        <f t="array" ref="BZ1119">IF($A1119&lt;&gt;"",INDEX(LISTA!$M$2:$N$27,MATCH($BC1119,LISTA!$N$2:$N$27,0),1),"")</f>
        <v/>
      </c>
      <c r="CA1119" s="67" t="str">
        <f t="shared" si="6"/>
        <v/>
      </c>
      <c r="CB1119" s="114" t="str">
        <f t="shared" si="7"/>
        <v/>
      </c>
      <c r="CC1119" s="114"/>
    </row>
    <row r="1120" ht="22.5" customHeight="1">
      <c r="A1120" s="59"/>
      <c r="B1120" s="115"/>
      <c r="C1120" s="54"/>
      <c r="D1120" s="56"/>
      <c r="E1120" s="69"/>
      <c r="F1120" s="73"/>
      <c r="G1120" s="79"/>
      <c r="H1120" s="79"/>
      <c r="I1120" s="67"/>
      <c r="J1120" s="79"/>
      <c r="K1120" s="67"/>
      <c r="L1120" s="79"/>
      <c r="M1120" s="83"/>
      <c r="N1120" s="78"/>
      <c r="O1120" s="80"/>
      <c r="P1120" s="70"/>
      <c r="Q1120" s="54"/>
      <c r="R1120" s="67"/>
      <c r="S1120" s="67"/>
      <c r="T1120" s="54"/>
      <c r="U1120" s="86"/>
      <c r="V1120" s="54"/>
      <c r="W1120" s="86"/>
      <c r="X1120" s="54"/>
      <c r="Y1120" s="78"/>
      <c r="Z1120" s="54"/>
      <c r="AA1120" s="70"/>
      <c r="AB1120" s="83"/>
      <c r="AC1120" s="83"/>
      <c r="AD1120" s="83"/>
      <c r="AE1120" s="83"/>
      <c r="AF1120" s="83"/>
      <c r="AG1120" s="83"/>
      <c r="AH1120" s="83"/>
      <c r="AI1120" s="83"/>
      <c r="AJ1120" s="83"/>
      <c r="AK1120" s="83"/>
      <c r="AL1120" s="83"/>
      <c r="AM1120" s="83"/>
      <c r="AN1120" s="83"/>
      <c r="AO1120" s="83"/>
      <c r="AP1120" s="83"/>
      <c r="AQ1120" s="54"/>
      <c r="AR1120" s="83"/>
      <c r="AS1120" s="83"/>
      <c r="AT1120" s="93"/>
      <c r="AU1120" s="93"/>
      <c r="AV1120" s="93"/>
      <c r="AW1120" s="83"/>
      <c r="AX1120" s="83"/>
      <c r="AY1120" s="83"/>
      <c r="AZ1120" s="83"/>
      <c r="BA1120" s="83"/>
      <c r="BB1120" s="83"/>
      <c r="BC1120" s="54"/>
      <c r="BD1120" s="54" t="str">
        <f t="shared" si="1"/>
        <v/>
      </c>
      <c r="BE1120" s="67"/>
      <c r="BF1120" s="67"/>
      <c r="BG1120" s="67"/>
      <c r="BH1120" s="67"/>
      <c r="BI1120" s="67"/>
      <c r="BJ1120" s="67"/>
      <c r="BK1120" s="67"/>
      <c r="BL1120" s="67"/>
      <c r="BM1120" s="67"/>
      <c r="BN1120" s="100"/>
      <c r="BO1120" s="102"/>
      <c r="BP1120" s="67"/>
      <c r="BQ1120" s="79"/>
      <c r="BR1120" s="67"/>
      <c r="BS1120" s="102"/>
      <c r="BT1120" s="106"/>
      <c r="BU1120" s="107"/>
      <c r="BV1120" s="108" t="str">
        <f t="shared" si="17"/>
        <v/>
      </c>
      <c r="BW1120" s="108" t="str">
        <f t="shared" si="16"/>
        <v/>
      </c>
      <c r="BX1120" s="102" t="str">
        <f t="shared" si="15"/>
        <v/>
      </c>
      <c r="BY1120" s="107" t="str">
        <f t="shared" si="5"/>
        <v/>
      </c>
      <c r="BZ1120" s="107" t="str">
        <f t="array" ref="BZ1120">IF($A1120&lt;&gt;"",INDEX(LISTA!$M$2:$N$27,MATCH($BC1120,LISTA!$N$2:$N$27,0),1),"")</f>
        <v/>
      </c>
      <c r="CA1120" s="67" t="str">
        <f t="shared" si="6"/>
        <v/>
      </c>
      <c r="CB1120" s="114" t="str">
        <f t="shared" si="7"/>
        <v/>
      </c>
      <c r="CC1120" s="114"/>
    </row>
    <row r="1121" ht="22.5" customHeight="1">
      <c r="A1121" s="59"/>
      <c r="B1121" s="115"/>
      <c r="C1121" s="54"/>
      <c r="D1121" s="56"/>
      <c r="E1121" s="69"/>
      <c r="F1121" s="73"/>
      <c r="G1121" s="79"/>
      <c r="H1121" s="79"/>
      <c r="I1121" s="67"/>
      <c r="J1121" s="79"/>
      <c r="K1121" s="67"/>
      <c r="L1121" s="79"/>
      <c r="M1121" s="83"/>
      <c r="N1121" s="78"/>
      <c r="O1121" s="80"/>
      <c r="P1121" s="70"/>
      <c r="Q1121" s="54"/>
      <c r="R1121" s="67"/>
      <c r="S1121" s="67"/>
      <c r="T1121" s="54"/>
      <c r="U1121" s="86"/>
      <c r="V1121" s="54"/>
      <c r="W1121" s="86"/>
      <c r="X1121" s="54"/>
      <c r="Y1121" s="78"/>
      <c r="Z1121" s="54"/>
      <c r="AA1121" s="70"/>
      <c r="AB1121" s="83"/>
      <c r="AC1121" s="83"/>
      <c r="AD1121" s="83"/>
      <c r="AE1121" s="83"/>
      <c r="AF1121" s="83"/>
      <c r="AG1121" s="83"/>
      <c r="AH1121" s="83"/>
      <c r="AI1121" s="83"/>
      <c r="AJ1121" s="83"/>
      <c r="AK1121" s="83"/>
      <c r="AL1121" s="83"/>
      <c r="AM1121" s="83"/>
      <c r="AN1121" s="83"/>
      <c r="AO1121" s="83"/>
      <c r="AP1121" s="83"/>
      <c r="AQ1121" s="54"/>
      <c r="AR1121" s="83"/>
      <c r="AS1121" s="83"/>
      <c r="AT1121" s="93"/>
      <c r="AU1121" s="93"/>
      <c r="AV1121" s="93"/>
      <c r="AW1121" s="83"/>
      <c r="AX1121" s="83"/>
      <c r="AY1121" s="83"/>
      <c r="AZ1121" s="83"/>
      <c r="BA1121" s="83"/>
      <c r="BB1121" s="83"/>
      <c r="BC1121" s="54"/>
      <c r="BD1121" s="54" t="str">
        <f t="shared" si="1"/>
        <v/>
      </c>
      <c r="BE1121" s="67"/>
      <c r="BF1121" s="67"/>
      <c r="BG1121" s="67"/>
      <c r="BH1121" s="67"/>
      <c r="BI1121" s="67"/>
      <c r="BJ1121" s="67"/>
      <c r="BK1121" s="67"/>
      <c r="BL1121" s="67"/>
      <c r="BM1121" s="67"/>
      <c r="BN1121" s="100"/>
      <c r="BO1121" s="102"/>
      <c r="BP1121" s="67"/>
      <c r="BQ1121" s="79"/>
      <c r="BR1121" s="67"/>
      <c r="BS1121" s="102"/>
      <c r="BT1121" s="106"/>
      <c r="BU1121" s="107"/>
      <c r="BV1121" s="108" t="str">
        <f t="shared" si="17"/>
        <v/>
      </c>
      <c r="BW1121" s="108" t="str">
        <f t="shared" si="16"/>
        <v/>
      </c>
      <c r="BX1121" s="102" t="str">
        <f t="shared" si="15"/>
        <v/>
      </c>
      <c r="BY1121" s="107" t="str">
        <f t="shared" si="5"/>
        <v/>
      </c>
      <c r="BZ1121" s="107" t="str">
        <f t="array" ref="BZ1121">IF($A1121&lt;&gt;"",INDEX(LISTA!$M$2:$N$27,MATCH($BC1121,LISTA!$N$2:$N$27,0),1),"")</f>
        <v/>
      </c>
      <c r="CA1121" s="67" t="str">
        <f t="shared" si="6"/>
        <v/>
      </c>
      <c r="CB1121" s="114" t="str">
        <f t="shared" si="7"/>
        <v/>
      </c>
      <c r="CC1121" s="114"/>
    </row>
    <row r="1122" ht="22.5" customHeight="1">
      <c r="A1122" s="59"/>
      <c r="B1122" s="115"/>
      <c r="C1122" s="54"/>
      <c r="D1122" s="56"/>
      <c r="E1122" s="69"/>
      <c r="F1122" s="73"/>
      <c r="G1122" s="79"/>
      <c r="H1122" s="79"/>
      <c r="I1122" s="67"/>
      <c r="J1122" s="79"/>
      <c r="K1122" s="67"/>
      <c r="L1122" s="79"/>
      <c r="M1122" s="83"/>
      <c r="N1122" s="78"/>
      <c r="O1122" s="80"/>
      <c r="P1122" s="70"/>
      <c r="Q1122" s="54"/>
      <c r="R1122" s="67"/>
      <c r="S1122" s="67"/>
      <c r="T1122" s="54"/>
      <c r="U1122" s="86"/>
      <c r="V1122" s="54"/>
      <c r="W1122" s="86"/>
      <c r="X1122" s="54"/>
      <c r="Y1122" s="78"/>
      <c r="Z1122" s="54"/>
      <c r="AA1122" s="70"/>
      <c r="AB1122" s="83"/>
      <c r="AC1122" s="83"/>
      <c r="AD1122" s="83"/>
      <c r="AE1122" s="83"/>
      <c r="AF1122" s="83"/>
      <c r="AG1122" s="83"/>
      <c r="AH1122" s="83"/>
      <c r="AI1122" s="83"/>
      <c r="AJ1122" s="83"/>
      <c r="AK1122" s="83"/>
      <c r="AL1122" s="83"/>
      <c r="AM1122" s="83"/>
      <c r="AN1122" s="83"/>
      <c r="AO1122" s="83"/>
      <c r="AP1122" s="83"/>
      <c r="AQ1122" s="54"/>
      <c r="AR1122" s="83"/>
      <c r="AS1122" s="83"/>
      <c r="AT1122" s="93"/>
      <c r="AU1122" s="93"/>
      <c r="AV1122" s="93"/>
      <c r="AW1122" s="83"/>
      <c r="AX1122" s="83"/>
      <c r="AY1122" s="83"/>
      <c r="AZ1122" s="83"/>
      <c r="BA1122" s="83"/>
      <c r="BB1122" s="83"/>
      <c r="BC1122" s="54"/>
      <c r="BD1122" s="54" t="str">
        <f t="shared" si="1"/>
        <v/>
      </c>
      <c r="BE1122" s="67"/>
      <c r="BF1122" s="67"/>
      <c r="BG1122" s="67"/>
      <c r="BH1122" s="67"/>
      <c r="BI1122" s="67"/>
      <c r="BJ1122" s="67"/>
      <c r="BK1122" s="67"/>
      <c r="BL1122" s="67"/>
      <c r="BM1122" s="67"/>
      <c r="BN1122" s="100"/>
      <c r="BO1122" s="102"/>
      <c r="BP1122" s="67"/>
      <c r="BQ1122" s="79"/>
      <c r="BR1122" s="67"/>
      <c r="BS1122" s="102"/>
      <c r="BT1122" s="106"/>
      <c r="BU1122" s="107"/>
      <c r="BV1122" s="108" t="str">
        <f t="shared" si="17"/>
        <v/>
      </c>
      <c r="BW1122" s="108" t="str">
        <f t="shared" si="16"/>
        <v/>
      </c>
      <c r="BX1122" s="102" t="str">
        <f t="shared" si="15"/>
        <v/>
      </c>
      <c r="BY1122" s="107" t="str">
        <f t="shared" si="5"/>
        <v/>
      </c>
      <c r="BZ1122" s="107" t="str">
        <f t="array" ref="BZ1122">IF($A1122&lt;&gt;"",INDEX(LISTA!$M$2:$N$27,MATCH($BC1122,LISTA!$N$2:$N$27,0),1),"")</f>
        <v/>
      </c>
      <c r="CA1122" s="67" t="str">
        <f t="shared" si="6"/>
        <v/>
      </c>
      <c r="CB1122" s="114" t="str">
        <f t="shared" si="7"/>
        <v/>
      </c>
      <c r="CC1122" s="114"/>
    </row>
    <row r="1123" ht="22.5" customHeight="1">
      <c r="A1123" s="59"/>
      <c r="B1123" s="115"/>
      <c r="C1123" s="54"/>
      <c r="D1123" s="56"/>
      <c r="E1123" s="69"/>
      <c r="F1123" s="73"/>
      <c r="G1123" s="79"/>
      <c r="H1123" s="79"/>
      <c r="I1123" s="67"/>
      <c r="J1123" s="79"/>
      <c r="K1123" s="67"/>
      <c r="L1123" s="79"/>
      <c r="M1123" s="83"/>
      <c r="N1123" s="78"/>
      <c r="O1123" s="80"/>
      <c r="P1123" s="70"/>
      <c r="Q1123" s="54"/>
      <c r="R1123" s="67"/>
      <c r="S1123" s="67"/>
      <c r="T1123" s="54"/>
      <c r="U1123" s="86"/>
      <c r="V1123" s="54"/>
      <c r="W1123" s="86"/>
      <c r="X1123" s="54"/>
      <c r="Y1123" s="78"/>
      <c r="Z1123" s="54"/>
      <c r="AA1123" s="70"/>
      <c r="AB1123" s="83"/>
      <c r="AC1123" s="83"/>
      <c r="AD1123" s="83"/>
      <c r="AE1123" s="83"/>
      <c r="AF1123" s="83"/>
      <c r="AG1123" s="83"/>
      <c r="AH1123" s="83"/>
      <c r="AI1123" s="83"/>
      <c r="AJ1123" s="83"/>
      <c r="AK1123" s="83"/>
      <c r="AL1123" s="83"/>
      <c r="AM1123" s="83"/>
      <c r="AN1123" s="83"/>
      <c r="AO1123" s="83"/>
      <c r="AP1123" s="83"/>
      <c r="AQ1123" s="54"/>
      <c r="AR1123" s="83"/>
      <c r="AS1123" s="83"/>
      <c r="AT1123" s="93"/>
      <c r="AU1123" s="93"/>
      <c r="AV1123" s="93"/>
      <c r="AW1123" s="83"/>
      <c r="AX1123" s="83"/>
      <c r="AY1123" s="83"/>
      <c r="AZ1123" s="83"/>
      <c r="BA1123" s="83"/>
      <c r="BB1123" s="83"/>
      <c r="BC1123" s="54"/>
      <c r="BD1123" s="54" t="str">
        <f t="shared" si="1"/>
        <v/>
      </c>
      <c r="BE1123" s="67"/>
      <c r="BF1123" s="67"/>
      <c r="BG1123" s="67"/>
      <c r="BH1123" s="67"/>
      <c r="BI1123" s="67"/>
      <c r="BJ1123" s="67"/>
      <c r="BK1123" s="67"/>
      <c r="BL1123" s="67"/>
      <c r="BM1123" s="67"/>
      <c r="BN1123" s="100"/>
      <c r="BO1123" s="102"/>
      <c r="BP1123" s="67"/>
      <c r="BQ1123" s="79"/>
      <c r="BR1123" s="67"/>
      <c r="BS1123" s="102"/>
      <c r="BT1123" s="106"/>
      <c r="BU1123" s="107"/>
      <c r="BV1123" s="108" t="str">
        <f t="shared" si="17"/>
        <v/>
      </c>
      <c r="BW1123" s="108" t="str">
        <f t="shared" si="16"/>
        <v/>
      </c>
      <c r="BX1123" s="102" t="str">
        <f t="shared" si="15"/>
        <v/>
      </c>
      <c r="BY1123" s="107" t="str">
        <f t="shared" si="5"/>
        <v/>
      </c>
      <c r="BZ1123" s="107" t="str">
        <f t="array" ref="BZ1123">IF($A1123&lt;&gt;"",INDEX(LISTA!$M$2:$N$27,MATCH($BC1123,LISTA!$N$2:$N$27,0),1),"")</f>
        <v/>
      </c>
      <c r="CA1123" s="67" t="str">
        <f t="shared" si="6"/>
        <v/>
      </c>
      <c r="CB1123" s="114" t="str">
        <f t="shared" si="7"/>
        <v/>
      </c>
      <c r="CC1123" s="114"/>
    </row>
    <row r="1124" ht="22.5" customHeight="1">
      <c r="A1124" s="59"/>
      <c r="B1124" s="115"/>
      <c r="C1124" s="54"/>
      <c r="D1124" s="56"/>
      <c r="E1124" s="69"/>
      <c r="F1124" s="73"/>
      <c r="G1124" s="79"/>
      <c r="H1124" s="79"/>
      <c r="I1124" s="67"/>
      <c r="J1124" s="79"/>
      <c r="K1124" s="67"/>
      <c r="L1124" s="79"/>
      <c r="M1124" s="83"/>
      <c r="N1124" s="78"/>
      <c r="O1124" s="80"/>
      <c r="P1124" s="70"/>
      <c r="Q1124" s="54"/>
      <c r="R1124" s="67"/>
      <c r="S1124" s="67"/>
      <c r="T1124" s="54"/>
      <c r="U1124" s="86"/>
      <c r="V1124" s="54"/>
      <c r="W1124" s="86"/>
      <c r="X1124" s="54"/>
      <c r="Y1124" s="78"/>
      <c r="Z1124" s="54"/>
      <c r="AA1124" s="70"/>
      <c r="AB1124" s="83"/>
      <c r="AC1124" s="83"/>
      <c r="AD1124" s="83"/>
      <c r="AE1124" s="83"/>
      <c r="AF1124" s="83"/>
      <c r="AG1124" s="83"/>
      <c r="AH1124" s="83"/>
      <c r="AI1124" s="83"/>
      <c r="AJ1124" s="83"/>
      <c r="AK1124" s="83"/>
      <c r="AL1124" s="83"/>
      <c r="AM1124" s="83"/>
      <c r="AN1124" s="83"/>
      <c r="AO1124" s="83"/>
      <c r="AP1124" s="83"/>
      <c r="AQ1124" s="54"/>
      <c r="AR1124" s="83"/>
      <c r="AS1124" s="83"/>
      <c r="AT1124" s="93"/>
      <c r="AU1124" s="93"/>
      <c r="AV1124" s="93"/>
      <c r="AW1124" s="83"/>
      <c r="AX1124" s="83"/>
      <c r="AY1124" s="83"/>
      <c r="AZ1124" s="83"/>
      <c r="BA1124" s="83"/>
      <c r="BB1124" s="83"/>
      <c r="BC1124" s="54"/>
      <c r="BD1124" s="54" t="str">
        <f t="shared" si="1"/>
        <v/>
      </c>
      <c r="BE1124" s="67"/>
      <c r="BF1124" s="67"/>
      <c r="BG1124" s="67"/>
      <c r="BH1124" s="67"/>
      <c r="BI1124" s="67"/>
      <c r="BJ1124" s="67"/>
      <c r="BK1124" s="67"/>
      <c r="BL1124" s="67"/>
      <c r="BM1124" s="67"/>
      <c r="BN1124" s="100"/>
      <c r="BO1124" s="102"/>
      <c r="BP1124" s="67"/>
      <c r="BQ1124" s="79"/>
      <c r="BR1124" s="67"/>
      <c r="BS1124" s="102"/>
      <c r="BT1124" s="106"/>
      <c r="BU1124" s="107"/>
      <c r="BV1124" s="108" t="str">
        <f t="shared" si="17"/>
        <v/>
      </c>
      <c r="BW1124" s="108" t="str">
        <f t="shared" si="16"/>
        <v/>
      </c>
      <c r="BX1124" s="102" t="str">
        <f t="shared" si="15"/>
        <v/>
      </c>
      <c r="BY1124" s="107" t="str">
        <f t="shared" si="5"/>
        <v/>
      </c>
      <c r="BZ1124" s="107" t="str">
        <f t="array" ref="BZ1124">IF($A1124&lt;&gt;"",INDEX(LISTA!$M$2:$N$27,MATCH($BC1124,LISTA!$N$2:$N$27,0),1),"")</f>
        <v/>
      </c>
      <c r="CA1124" s="67" t="str">
        <f t="shared" si="6"/>
        <v/>
      </c>
      <c r="CB1124" s="114" t="str">
        <f t="shared" si="7"/>
        <v/>
      </c>
      <c r="CC1124" s="114"/>
    </row>
    <row r="1125" ht="22.5" customHeight="1">
      <c r="A1125" s="59"/>
      <c r="B1125" s="115"/>
      <c r="C1125" s="54"/>
      <c r="D1125" s="56"/>
      <c r="E1125" s="69"/>
      <c r="F1125" s="73"/>
      <c r="G1125" s="79"/>
      <c r="H1125" s="79"/>
      <c r="I1125" s="67"/>
      <c r="J1125" s="79"/>
      <c r="K1125" s="67"/>
      <c r="L1125" s="79"/>
      <c r="M1125" s="83"/>
      <c r="N1125" s="78"/>
      <c r="O1125" s="80"/>
      <c r="P1125" s="70"/>
      <c r="Q1125" s="54"/>
      <c r="R1125" s="67"/>
      <c r="S1125" s="67"/>
      <c r="T1125" s="54"/>
      <c r="U1125" s="86"/>
      <c r="V1125" s="54"/>
      <c r="W1125" s="86"/>
      <c r="X1125" s="54"/>
      <c r="Y1125" s="78"/>
      <c r="Z1125" s="54"/>
      <c r="AA1125" s="70"/>
      <c r="AB1125" s="83"/>
      <c r="AC1125" s="83"/>
      <c r="AD1125" s="83"/>
      <c r="AE1125" s="83"/>
      <c r="AF1125" s="83"/>
      <c r="AG1125" s="83"/>
      <c r="AH1125" s="83"/>
      <c r="AI1125" s="83"/>
      <c r="AJ1125" s="83"/>
      <c r="AK1125" s="83"/>
      <c r="AL1125" s="83"/>
      <c r="AM1125" s="83"/>
      <c r="AN1125" s="83"/>
      <c r="AO1125" s="83"/>
      <c r="AP1125" s="83"/>
      <c r="AQ1125" s="54"/>
      <c r="AR1125" s="83"/>
      <c r="AS1125" s="83"/>
      <c r="AT1125" s="93"/>
      <c r="AU1125" s="93"/>
      <c r="AV1125" s="93"/>
      <c r="AW1125" s="83"/>
      <c r="AX1125" s="83"/>
      <c r="AY1125" s="83"/>
      <c r="AZ1125" s="83"/>
      <c r="BA1125" s="83"/>
      <c r="BB1125" s="83"/>
      <c r="BC1125" s="54"/>
      <c r="BD1125" s="54" t="str">
        <f t="shared" si="1"/>
        <v/>
      </c>
      <c r="BE1125" s="67"/>
      <c r="BF1125" s="67"/>
      <c r="BG1125" s="67"/>
      <c r="BH1125" s="67"/>
      <c r="BI1125" s="67"/>
      <c r="BJ1125" s="67"/>
      <c r="BK1125" s="67"/>
      <c r="BL1125" s="67"/>
      <c r="BM1125" s="67"/>
      <c r="BN1125" s="100"/>
      <c r="BO1125" s="102"/>
      <c r="BP1125" s="67"/>
      <c r="BQ1125" s="79"/>
      <c r="BR1125" s="67"/>
      <c r="BS1125" s="102"/>
      <c r="BT1125" s="106"/>
      <c r="BU1125" s="107"/>
      <c r="BV1125" s="108" t="str">
        <f t="shared" si="17"/>
        <v/>
      </c>
      <c r="BW1125" s="108" t="str">
        <f t="shared" si="16"/>
        <v/>
      </c>
      <c r="BX1125" s="102" t="str">
        <f t="shared" si="15"/>
        <v/>
      </c>
      <c r="BY1125" s="107" t="str">
        <f t="shared" si="5"/>
        <v/>
      </c>
      <c r="BZ1125" s="107" t="str">
        <f t="array" ref="BZ1125">IF($A1125&lt;&gt;"",INDEX(LISTA!$M$2:$N$27,MATCH($BC1125,LISTA!$N$2:$N$27,0),1),"")</f>
        <v/>
      </c>
      <c r="CA1125" s="67" t="str">
        <f t="shared" si="6"/>
        <v/>
      </c>
      <c r="CB1125" s="114" t="str">
        <f t="shared" si="7"/>
        <v/>
      </c>
      <c r="CC1125" s="114"/>
    </row>
    <row r="1126" ht="22.5" customHeight="1">
      <c r="A1126" s="59"/>
      <c r="B1126" s="115"/>
      <c r="C1126" s="54"/>
      <c r="D1126" s="56"/>
      <c r="E1126" s="69"/>
      <c r="F1126" s="73"/>
      <c r="G1126" s="79"/>
      <c r="H1126" s="79"/>
      <c r="I1126" s="67"/>
      <c r="J1126" s="79"/>
      <c r="K1126" s="67"/>
      <c r="L1126" s="79"/>
      <c r="M1126" s="83"/>
      <c r="N1126" s="78"/>
      <c r="O1126" s="80"/>
      <c r="P1126" s="70"/>
      <c r="Q1126" s="54"/>
      <c r="R1126" s="67"/>
      <c r="S1126" s="67"/>
      <c r="T1126" s="54"/>
      <c r="U1126" s="86"/>
      <c r="V1126" s="54"/>
      <c r="W1126" s="86"/>
      <c r="X1126" s="54"/>
      <c r="Y1126" s="78"/>
      <c r="Z1126" s="54"/>
      <c r="AA1126" s="70"/>
      <c r="AB1126" s="83"/>
      <c r="AC1126" s="83"/>
      <c r="AD1126" s="83"/>
      <c r="AE1126" s="83"/>
      <c r="AF1126" s="83"/>
      <c r="AG1126" s="83"/>
      <c r="AH1126" s="83"/>
      <c r="AI1126" s="83"/>
      <c r="AJ1126" s="83"/>
      <c r="AK1126" s="83"/>
      <c r="AL1126" s="83"/>
      <c r="AM1126" s="83"/>
      <c r="AN1126" s="83"/>
      <c r="AO1126" s="83"/>
      <c r="AP1126" s="83"/>
      <c r="AQ1126" s="54"/>
      <c r="AR1126" s="83"/>
      <c r="AS1126" s="83"/>
      <c r="AT1126" s="93"/>
      <c r="AU1126" s="93"/>
      <c r="AV1126" s="93"/>
      <c r="AW1126" s="83"/>
      <c r="AX1126" s="83"/>
      <c r="AY1126" s="83"/>
      <c r="AZ1126" s="83"/>
      <c r="BA1126" s="83"/>
      <c r="BB1126" s="83"/>
      <c r="BC1126" s="54"/>
      <c r="BD1126" s="54" t="str">
        <f t="shared" si="1"/>
        <v/>
      </c>
      <c r="BE1126" s="67"/>
      <c r="BF1126" s="67"/>
      <c r="BG1126" s="67"/>
      <c r="BH1126" s="67"/>
      <c r="BI1126" s="67"/>
      <c r="BJ1126" s="67"/>
      <c r="BK1126" s="67"/>
      <c r="BL1126" s="67"/>
      <c r="BM1126" s="67"/>
      <c r="BN1126" s="100"/>
      <c r="BO1126" s="102"/>
      <c r="BP1126" s="67"/>
      <c r="BQ1126" s="79"/>
      <c r="BR1126" s="67"/>
      <c r="BS1126" s="102"/>
      <c r="BT1126" s="106"/>
      <c r="BU1126" s="107"/>
      <c r="BV1126" s="108" t="str">
        <f t="shared" si="17"/>
        <v/>
      </c>
      <c r="BW1126" s="108" t="str">
        <f t="shared" si="16"/>
        <v/>
      </c>
      <c r="BX1126" s="102" t="str">
        <f t="shared" si="15"/>
        <v/>
      </c>
      <c r="BY1126" s="107" t="str">
        <f t="shared" si="5"/>
        <v/>
      </c>
      <c r="BZ1126" s="107" t="str">
        <f t="array" ref="BZ1126">IF($A1126&lt;&gt;"",INDEX(LISTA!$M$2:$N$27,MATCH($BC1126,LISTA!$N$2:$N$27,0),1),"")</f>
        <v/>
      </c>
      <c r="CA1126" s="67" t="str">
        <f t="shared" si="6"/>
        <v/>
      </c>
      <c r="CB1126" s="114" t="str">
        <f t="shared" si="7"/>
        <v/>
      </c>
      <c r="CC1126" s="114"/>
    </row>
    <row r="1127" ht="22.5" customHeight="1">
      <c r="A1127" s="59"/>
      <c r="B1127" s="115"/>
      <c r="C1127" s="54"/>
      <c r="D1127" s="56"/>
      <c r="E1127" s="69"/>
      <c r="F1127" s="73"/>
      <c r="G1127" s="79"/>
      <c r="H1127" s="79"/>
      <c r="I1127" s="67"/>
      <c r="J1127" s="79"/>
      <c r="K1127" s="67"/>
      <c r="L1127" s="79"/>
      <c r="M1127" s="83"/>
      <c r="N1127" s="78"/>
      <c r="O1127" s="80"/>
      <c r="P1127" s="70"/>
      <c r="Q1127" s="54"/>
      <c r="R1127" s="67"/>
      <c r="S1127" s="67"/>
      <c r="T1127" s="54"/>
      <c r="U1127" s="86"/>
      <c r="V1127" s="54"/>
      <c r="W1127" s="86"/>
      <c r="X1127" s="54"/>
      <c r="Y1127" s="78"/>
      <c r="Z1127" s="54"/>
      <c r="AA1127" s="70"/>
      <c r="AB1127" s="83"/>
      <c r="AC1127" s="83"/>
      <c r="AD1127" s="83"/>
      <c r="AE1127" s="83"/>
      <c r="AF1127" s="83"/>
      <c r="AG1127" s="83"/>
      <c r="AH1127" s="83"/>
      <c r="AI1127" s="83"/>
      <c r="AJ1127" s="83"/>
      <c r="AK1127" s="83"/>
      <c r="AL1127" s="83"/>
      <c r="AM1127" s="83"/>
      <c r="AN1127" s="83"/>
      <c r="AO1127" s="83"/>
      <c r="AP1127" s="83"/>
      <c r="AQ1127" s="54"/>
      <c r="AR1127" s="83"/>
      <c r="AS1127" s="83"/>
      <c r="AT1127" s="93"/>
      <c r="AU1127" s="93"/>
      <c r="AV1127" s="93"/>
      <c r="AW1127" s="83"/>
      <c r="AX1127" s="83"/>
      <c r="AY1127" s="83"/>
      <c r="AZ1127" s="83"/>
      <c r="BA1127" s="83"/>
      <c r="BB1127" s="83"/>
      <c r="BC1127" s="54"/>
      <c r="BD1127" s="54" t="str">
        <f t="shared" si="1"/>
        <v/>
      </c>
      <c r="BE1127" s="67"/>
      <c r="BF1127" s="67"/>
      <c r="BG1127" s="67"/>
      <c r="BH1127" s="67"/>
      <c r="BI1127" s="67"/>
      <c r="BJ1127" s="67"/>
      <c r="BK1127" s="67"/>
      <c r="BL1127" s="67"/>
      <c r="BM1127" s="67"/>
      <c r="BN1127" s="100"/>
      <c r="BO1127" s="102"/>
      <c r="BP1127" s="67"/>
      <c r="BQ1127" s="79"/>
      <c r="BR1127" s="67"/>
      <c r="BS1127" s="102"/>
      <c r="BT1127" s="106"/>
      <c r="BU1127" s="107"/>
      <c r="BV1127" s="108" t="str">
        <f t="shared" si="17"/>
        <v/>
      </c>
      <c r="BW1127" s="108" t="str">
        <f t="shared" si="16"/>
        <v/>
      </c>
      <c r="BX1127" s="102" t="str">
        <f t="shared" si="15"/>
        <v/>
      </c>
      <c r="BY1127" s="107" t="str">
        <f t="shared" si="5"/>
        <v/>
      </c>
      <c r="BZ1127" s="107" t="str">
        <f t="array" ref="BZ1127">IF($A1127&lt;&gt;"",INDEX(LISTA!$M$2:$N$27,MATCH($BC1127,LISTA!$N$2:$N$27,0),1),"")</f>
        <v/>
      </c>
      <c r="CA1127" s="67" t="str">
        <f t="shared" si="6"/>
        <v/>
      </c>
      <c r="CB1127" s="114" t="str">
        <f t="shared" si="7"/>
        <v/>
      </c>
      <c r="CC1127" s="114"/>
    </row>
    <row r="1128" ht="22.5" customHeight="1">
      <c r="A1128" s="59"/>
      <c r="B1128" s="115"/>
      <c r="C1128" s="54"/>
      <c r="D1128" s="56"/>
      <c r="E1128" s="69"/>
      <c r="F1128" s="73"/>
      <c r="G1128" s="79"/>
      <c r="H1128" s="79"/>
      <c r="I1128" s="67"/>
      <c r="J1128" s="79"/>
      <c r="K1128" s="67"/>
      <c r="L1128" s="79"/>
      <c r="M1128" s="83"/>
      <c r="N1128" s="78"/>
      <c r="O1128" s="80"/>
      <c r="P1128" s="70"/>
      <c r="Q1128" s="54"/>
      <c r="R1128" s="67"/>
      <c r="S1128" s="67"/>
      <c r="T1128" s="54"/>
      <c r="U1128" s="86"/>
      <c r="V1128" s="54"/>
      <c r="W1128" s="86"/>
      <c r="X1128" s="54"/>
      <c r="Y1128" s="78"/>
      <c r="Z1128" s="54"/>
      <c r="AA1128" s="70"/>
      <c r="AB1128" s="83"/>
      <c r="AC1128" s="83"/>
      <c r="AD1128" s="83"/>
      <c r="AE1128" s="83"/>
      <c r="AF1128" s="83"/>
      <c r="AG1128" s="83"/>
      <c r="AH1128" s="83"/>
      <c r="AI1128" s="83"/>
      <c r="AJ1128" s="83"/>
      <c r="AK1128" s="83"/>
      <c r="AL1128" s="83"/>
      <c r="AM1128" s="83"/>
      <c r="AN1128" s="83"/>
      <c r="AO1128" s="83"/>
      <c r="AP1128" s="83"/>
      <c r="AQ1128" s="54"/>
      <c r="AR1128" s="83"/>
      <c r="AS1128" s="83"/>
      <c r="AT1128" s="93"/>
      <c r="AU1128" s="93"/>
      <c r="AV1128" s="93"/>
      <c r="AW1128" s="83"/>
      <c r="AX1128" s="83"/>
      <c r="AY1128" s="83"/>
      <c r="AZ1128" s="83"/>
      <c r="BA1128" s="83"/>
      <c r="BB1128" s="83"/>
      <c r="BC1128" s="54"/>
      <c r="BD1128" s="54" t="str">
        <f t="shared" si="1"/>
        <v/>
      </c>
      <c r="BE1128" s="67"/>
      <c r="BF1128" s="67"/>
      <c r="BG1128" s="67"/>
      <c r="BH1128" s="67"/>
      <c r="BI1128" s="67"/>
      <c r="BJ1128" s="67"/>
      <c r="BK1128" s="67"/>
      <c r="BL1128" s="67"/>
      <c r="BM1128" s="67"/>
      <c r="BN1128" s="100"/>
      <c r="BO1128" s="102"/>
      <c r="BP1128" s="67"/>
      <c r="BQ1128" s="79"/>
      <c r="BR1128" s="67"/>
      <c r="BS1128" s="102"/>
      <c r="BT1128" s="106"/>
      <c r="BU1128" s="107"/>
      <c r="BV1128" s="108" t="str">
        <f t="shared" si="17"/>
        <v/>
      </c>
      <c r="BW1128" s="108" t="str">
        <f t="shared" si="16"/>
        <v/>
      </c>
      <c r="BX1128" s="102" t="str">
        <f t="shared" si="15"/>
        <v/>
      </c>
      <c r="BY1128" s="107" t="str">
        <f t="shared" si="5"/>
        <v/>
      </c>
      <c r="BZ1128" s="107" t="str">
        <f t="array" ref="BZ1128">IF($A1128&lt;&gt;"",INDEX(LISTA!$M$2:$N$27,MATCH($BC1128,LISTA!$N$2:$N$27,0),1),"")</f>
        <v/>
      </c>
      <c r="CA1128" s="67" t="str">
        <f t="shared" si="6"/>
        <v/>
      </c>
      <c r="CB1128" s="114" t="str">
        <f t="shared" si="7"/>
        <v/>
      </c>
      <c r="CC1128" s="114"/>
    </row>
    <row r="1129" ht="22.5" customHeight="1">
      <c r="A1129" s="59"/>
      <c r="B1129" s="115"/>
      <c r="C1129" s="54"/>
      <c r="D1129" s="56"/>
      <c r="E1129" s="69"/>
      <c r="F1129" s="73"/>
      <c r="G1129" s="79"/>
      <c r="H1129" s="79"/>
      <c r="I1129" s="67"/>
      <c r="J1129" s="79"/>
      <c r="K1129" s="67"/>
      <c r="L1129" s="79"/>
      <c r="M1129" s="83"/>
      <c r="N1129" s="78"/>
      <c r="O1129" s="80"/>
      <c r="P1129" s="70"/>
      <c r="Q1129" s="54"/>
      <c r="R1129" s="67"/>
      <c r="S1129" s="67"/>
      <c r="T1129" s="54"/>
      <c r="U1129" s="86"/>
      <c r="V1129" s="54"/>
      <c r="W1129" s="86"/>
      <c r="X1129" s="54"/>
      <c r="Y1129" s="78"/>
      <c r="Z1129" s="54"/>
      <c r="AA1129" s="70"/>
      <c r="AB1129" s="83"/>
      <c r="AC1129" s="83"/>
      <c r="AD1129" s="83"/>
      <c r="AE1129" s="83"/>
      <c r="AF1129" s="83"/>
      <c r="AG1129" s="83"/>
      <c r="AH1129" s="83"/>
      <c r="AI1129" s="83"/>
      <c r="AJ1129" s="83"/>
      <c r="AK1129" s="83"/>
      <c r="AL1129" s="83"/>
      <c r="AM1129" s="83"/>
      <c r="AN1129" s="83"/>
      <c r="AO1129" s="83"/>
      <c r="AP1129" s="83"/>
      <c r="AQ1129" s="54"/>
      <c r="AR1129" s="83"/>
      <c r="AS1129" s="83"/>
      <c r="AT1129" s="93"/>
      <c r="AU1129" s="93"/>
      <c r="AV1129" s="93"/>
      <c r="AW1129" s="83"/>
      <c r="AX1129" s="83"/>
      <c r="AY1129" s="83"/>
      <c r="AZ1129" s="83"/>
      <c r="BA1129" s="83"/>
      <c r="BB1129" s="83"/>
      <c r="BC1129" s="54"/>
      <c r="BD1129" s="54" t="str">
        <f t="shared" si="1"/>
        <v/>
      </c>
      <c r="BE1129" s="67"/>
      <c r="BF1129" s="67"/>
      <c r="BG1129" s="67"/>
      <c r="BH1129" s="67"/>
      <c r="BI1129" s="67"/>
      <c r="BJ1129" s="67"/>
      <c r="BK1129" s="67"/>
      <c r="BL1129" s="67"/>
      <c r="BM1129" s="67"/>
      <c r="BN1129" s="100"/>
      <c r="BO1129" s="102"/>
      <c r="BP1129" s="67"/>
      <c r="BQ1129" s="79"/>
      <c r="BR1129" s="67"/>
      <c r="BS1129" s="102"/>
      <c r="BT1129" s="106"/>
      <c r="BU1129" s="107"/>
      <c r="BV1129" s="108" t="str">
        <f t="shared" si="17"/>
        <v/>
      </c>
      <c r="BW1129" s="108" t="str">
        <f t="shared" si="16"/>
        <v/>
      </c>
      <c r="BX1129" s="102" t="str">
        <f t="shared" si="15"/>
        <v/>
      </c>
      <c r="BY1129" s="107" t="str">
        <f t="shared" si="5"/>
        <v/>
      </c>
      <c r="BZ1129" s="107" t="str">
        <f t="array" ref="BZ1129">IF($A1129&lt;&gt;"",INDEX(LISTA!$M$2:$N$27,MATCH($BC1129,LISTA!$N$2:$N$27,0),1),"")</f>
        <v/>
      </c>
      <c r="CA1129" s="67" t="str">
        <f t="shared" si="6"/>
        <v/>
      </c>
      <c r="CB1129" s="114" t="str">
        <f t="shared" si="7"/>
        <v/>
      </c>
      <c r="CC1129" s="114"/>
    </row>
    <row r="1130" ht="22.5" customHeight="1">
      <c r="A1130" s="59"/>
      <c r="B1130" s="115"/>
      <c r="C1130" s="54"/>
      <c r="D1130" s="56"/>
      <c r="E1130" s="69"/>
      <c r="F1130" s="73"/>
      <c r="G1130" s="79"/>
      <c r="H1130" s="79"/>
      <c r="I1130" s="67"/>
      <c r="J1130" s="79"/>
      <c r="K1130" s="67"/>
      <c r="L1130" s="79"/>
      <c r="M1130" s="83"/>
      <c r="N1130" s="78"/>
      <c r="O1130" s="80"/>
      <c r="P1130" s="70"/>
      <c r="Q1130" s="54"/>
      <c r="R1130" s="67"/>
      <c r="S1130" s="67"/>
      <c r="T1130" s="54"/>
      <c r="U1130" s="86"/>
      <c r="V1130" s="54"/>
      <c r="W1130" s="86"/>
      <c r="X1130" s="54"/>
      <c r="Y1130" s="78"/>
      <c r="Z1130" s="54"/>
      <c r="AA1130" s="70"/>
      <c r="AB1130" s="83"/>
      <c r="AC1130" s="83"/>
      <c r="AD1130" s="83"/>
      <c r="AE1130" s="83"/>
      <c r="AF1130" s="83"/>
      <c r="AG1130" s="83"/>
      <c r="AH1130" s="83"/>
      <c r="AI1130" s="83"/>
      <c r="AJ1130" s="83"/>
      <c r="AK1130" s="83"/>
      <c r="AL1130" s="83"/>
      <c r="AM1130" s="83"/>
      <c r="AN1130" s="83"/>
      <c r="AO1130" s="83"/>
      <c r="AP1130" s="83"/>
      <c r="AQ1130" s="54"/>
      <c r="AR1130" s="83"/>
      <c r="AS1130" s="83"/>
      <c r="AT1130" s="93"/>
      <c r="AU1130" s="93"/>
      <c r="AV1130" s="93"/>
      <c r="AW1130" s="83"/>
      <c r="AX1130" s="83"/>
      <c r="AY1130" s="83"/>
      <c r="AZ1130" s="83"/>
      <c r="BA1130" s="83"/>
      <c r="BB1130" s="83"/>
      <c r="BC1130" s="54"/>
      <c r="BD1130" s="54" t="str">
        <f t="shared" si="1"/>
        <v/>
      </c>
      <c r="BE1130" s="67"/>
      <c r="BF1130" s="67"/>
      <c r="BG1130" s="67"/>
      <c r="BH1130" s="67"/>
      <c r="BI1130" s="67"/>
      <c r="BJ1130" s="67"/>
      <c r="BK1130" s="67"/>
      <c r="BL1130" s="67"/>
      <c r="BM1130" s="67"/>
      <c r="BN1130" s="100"/>
      <c r="BO1130" s="102"/>
      <c r="BP1130" s="67"/>
      <c r="BQ1130" s="79"/>
      <c r="BR1130" s="67"/>
      <c r="BS1130" s="102"/>
      <c r="BT1130" s="106"/>
      <c r="BU1130" s="107"/>
      <c r="BV1130" s="108" t="str">
        <f t="shared" si="17"/>
        <v/>
      </c>
      <c r="BW1130" s="108" t="str">
        <f t="shared" si="16"/>
        <v/>
      </c>
      <c r="BX1130" s="102" t="str">
        <f t="shared" si="15"/>
        <v/>
      </c>
      <c r="BY1130" s="107" t="str">
        <f t="shared" si="5"/>
        <v/>
      </c>
      <c r="BZ1130" s="107" t="str">
        <f t="array" ref="BZ1130">IF($A1130&lt;&gt;"",INDEX(LISTA!$M$2:$N$27,MATCH($BC1130,LISTA!$N$2:$N$27,0),1),"")</f>
        <v/>
      </c>
      <c r="CA1130" s="67" t="str">
        <f t="shared" si="6"/>
        <v/>
      </c>
      <c r="CB1130" s="114" t="str">
        <f t="shared" si="7"/>
        <v/>
      </c>
      <c r="CC1130" s="114"/>
    </row>
    <row r="1131" ht="22.5" customHeight="1">
      <c r="A1131" s="59"/>
      <c r="B1131" s="115"/>
      <c r="C1131" s="54"/>
      <c r="D1131" s="56"/>
      <c r="E1131" s="69"/>
      <c r="F1131" s="73"/>
      <c r="G1131" s="79"/>
      <c r="H1131" s="79"/>
      <c r="I1131" s="67"/>
      <c r="J1131" s="79"/>
      <c r="K1131" s="67"/>
      <c r="L1131" s="79"/>
      <c r="M1131" s="83"/>
      <c r="N1131" s="78"/>
      <c r="O1131" s="80"/>
      <c r="P1131" s="70"/>
      <c r="Q1131" s="54"/>
      <c r="R1131" s="67"/>
      <c r="S1131" s="67"/>
      <c r="T1131" s="54"/>
      <c r="U1131" s="86"/>
      <c r="V1131" s="54"/>
      <c r="W1131" s="86"/>
      <c r="X1131" s="54"/>
      <c r="Y1131" s="78"/>
      <c r="Z1131" s="54"/>
      <c r="AA1131" s="70"/>
      <c r="AB1131" s="83"/>
      <c r="AC1131" s="83"/>
      <c r="AD1131" s="83"/>
      <c r="AE1131" s="83"/>
      <c r="AF1131" s="83"/>
      <c r="AG1131" s="83"/>
      <c r="AH1131" s="83"/>
      <c r="AI1131" s="83"/>
      <c r="AJ1131" s="83"/>
      <c r="AK1131" s="83"/>
      <c r="AL1131" s="83"/>
      <c r="AM1131" s="83"/>
      <c r="AN1131" s="83"/>
      <c r="AO1131" s="83"/>
      <c r="AP1131" s="83"/>
      <c r="AQ1131" s="54"/>
      <c r="AR1131" s="83"/>
      <c r="AS1131" s="83"/>
      <c r="AT1131" s="93"/>
      <c r="AU1131" s="93"/>
      <c r="AV1131" s="93"/>
      <c r="AW1131" s="83"/>
      <c r="AX1131" s="83"/>
      <c r="AY1131" s="83"/>
      <c r="AZ1131" s="83"/>
      <c r="BA1131" s="83"/>
      <c r="BB1131" s="83"/>
      <c r="BC1131" s="54"/>
      <c r="BD1131" s="54" t="str">
        <f t="shared" si="1"/>
        <v/>
      </c>
      <c r="BE1131" s="67"/>
      <c r="BF1131" s="67"/>
      <c r="BG1131" s="67"/>
      <c r="BH1131" s="67"/>
      <c r="BI1131" s="67"/>
      <c r="BJ1131" s="67"/>
      <c r="BK1131" s="67"/>
      <c r="BL1131" s="67"/>
      <c r="BM1131" s="67"/>
      <c r="BN1131" s="100"/>
      <c r="BO1131" s="102"/>
      <c r="BP1131" s="67"/>
      <c r="BQ1131" s="79"/>
      <c r="BR1131" s="67"/>
      <c r="BS1131" s="102"/>
      <c r="BT1131" s="106"/>
      <c r="BU1131" s="107"/>
      <c r="BV1131" s="108" t="str">
        <f t="shared" si="17"/>
        <v/>
      </c>
      <c r="BW1131" s="108" t="str">
        <f t="shared" si="16"/>
        <v/>
      </c>
      <c r="BX1131" s="102" t="str">
        <f t="shared" si="15"/>
        <v/>
      </c>
      <c r="BY1131" s="107" t="str">
        <f t="shared" si="5"/>
        <v/>
      </c>
      <c r="BZ1131" s="107" t="str">
        <f t="array" ref="BZ1131">IF($A1131&lt;&gt;"",INDEX(LISTA!$M$2:$N$27,MATCH($BC1131,LISTA!$N$2:$N$27,0),1),"")</f>
        <v/>
      </c>
      <c r="CA1131" s="67" t="str">
        <f t="shared" si="6"/>
        <v/>
      </c>
      <c r="CB1131" s="114" t="str">
        <f t="shared" si="7"/>
        <v/>
      </c>
      <c r="CC1131" s="114"/>
    </row>
    <row r="1132" ht="22.5" customHeight="1">
      <c r="A1132" s="59"/>
      <c r="B1132" s="115"/>
      <c r="C1132" s="54"/>
      <c r="D1132" s="56"/>
      <c r="E1132" s="69"/>
      <c r="F1132" s="73"/>
      <c r="G1132" s="79"/>
      <c r="H1132" s="79"/>
      <c r="I1132" s="67"/>
      <c r="J1132" s="79"/>
      <c r="K1132" s="67"/>
      <c r="L1132" s="79"/>
      <c r="M1132" s="83"/>
      <c r="N1132" s="78"/>
      <c r="O1132" s="80"/>
      <c r="P1132" s="70"/>
      <c r="Q1132" s="54"/>
      <c r="R1132" s="67"/>
      <c r="S1132" s="67"/>
      <c r="T1132" s="54"/>
      <c r="U1132" s="86"/>
      <c r="V1132" s="54"/>
      <c r="W1132" s="86"/>
      <c r="X1132" s="54"/>
      <c r="Y1132" s="78"/>
      <c r="Z1132" s="54"/>
      <c r="AA1132" s="70"/>
      <c r="AB1132" s="83"/>
      <c r="AC1132" s="83"/>
      <c r="AD1132" s="83"/>
      <c r="AE1132" s="83"/>
      <c r="AF1132" s="83"/>
      <c r="AG1132" s="83"/>
      <c r="AH1132" s="83"/>
      <c r="AI1132" s="83"/>
      <c r="AJ1132" s="83"/>
      <c r="AK1132" s="83"/>
      <c r="AL1132" s="83"/>
      <c r="AM1132" s="83"/>
      <c r="AN1132" s="83"/>
      <c r="AO1132" s="83"/>
      <c r="AP1132" s="83"/>
      <c r="AQ1132" s="54"/>
      <c r="AR1132" s="83"/>
      <c r="AS1132" s="83"/>
      <c r="AT1132" s="93"/>
      <c r="AU1132" s="93"/>
      <c r="AV1132" s="93"/>
      <c r="AW1132" s="83"/>
      <c r="AX1132" s="83"/>
      <c r="AY1132" s="83"/>
      <c r="AZ1132" s="83"/>
      <c r="BA1132" s="83"/>
      <c r="BB1132" s="83"/>
      <c r="BC1132" s="54"/>
      <c r="BD1132" s="54" t="str">
        <f t="shared" si="1"/>
        <v/>
      </c>
      <c r="BE1132" s="67"/>
      <c r="BF1132" s="67"/>
      <c r="BG1132" s="67"/>
      <c r="BH1132" s="67"/>
      <c r="BI1132" s="67"/>
      <c r="BJ1132" s="67"/>
      <c r="BK1132" s="67"/>
      <c r="BL1132" s="67"/>
      <c r="BM1132" s="67"/>
      <c r="BN1132" s="100"/>
      <c r="BO1132" s="102"/>
      <c r="BP1132" s="67"/>
      <c r="BQ1132" s="79"/>
      <c r="BR1132" s="67"/>
      <c r="BS1132" s="102"/>
      <c r="BT1132" s="106"/>
      <c r="BU1132" s="107"/>
      <c r="BV1132" s="108" t="str">
        <f t="shared" si="17"/>
        <v/>
      </c>
      <c r="BW1132" s="108" t="str">
        <f t="shared" si="16"/>
        <v/>
      </c>
      <c r="BX1132" s="102" t="str">
        <f t="shared" si="15"/>
        <v/>
      </c>
      <c r="BY1132" s="107" t="str">
        <f t="shared" si="5"/>
        <v/>
      </c>
      <c r="BZ1132" s="107" t="str">
        <f t="array" ref="BZ1132">IF($A1132&lt;&gt;"",INDEX(LISTA!$M$2:$N$27,MATCH($BC1132,LISTA!$N$2:$N$27,0),1),"")</f>
        <v/>
      </c>
      <c r="CA1132" s="67" t="str">
        <f t="shared" si="6"/>
        <v/>
      </c>
      <c r="CB1132" s="114" t="str">
        <f t="shared" si="7"/>
        <v/>
      </c>
      <c r="CC1132" s="114"/>
    </row>
    <row r="1133" ht="22.5" customHeight="1">
      <c r="A1133" s="59"/>
      <c r="B1133" s="115"/>
      <c r="C1133" s="54"/>
      <c r="D1133" s="56"/>
      <c r="E1133" s="69"/>
      <c r="F1133" s="73"/>
      <c r="G1133" s="79"/>
      <c r="H1133" s="79"/>
      <c r="I1133" s="67"/>
      <c r="J1133" s="79"/>
      <c r="K1133" s="67"/>
      <c r="L1133" s="79"/>
      <c r="M1133" s="83"/>
      <c r="N1133" s="78"/>
      <c r="O1133" s="80"/>
      <c r="P1133" s="70"/>
      <c r="Q1133" s="54"/>
      <c r="R1133" s="67"/>
      <c r="S1133" s="67"/>
      <c r="T1133" s="54"/>
      <c r="U1133" s="86"/>
      <c r="V1133" s="54"/>
      <c r="W1133" s="86"/>
      <c r="X1133" s="54"/>
      <c r="Y1133" s="78"/>
      <c r="Z1133" s="54"/>
      <c r="AA1133" s="70"/>
      <c r="AB1133" s="83"/>
      <c r="AC1133" s="83"/>
      <c r="AD1133" s="83"/>
      <c r="AE1133" s="83"/>
      <c r="AF1133" s="83"/>
      <c r="AG1133" s="83"/>
      <c r="AH1133" s="83"/>
      <c r="AI1133" s="83"/>
      <c r="AJ1133" s="83"/>
      <c r="AK1133" s="83"/>
      <c r="AL1133" s="83"/>
      <c r="AM1133" s="83"/>
      <c r="AN1133" s="83"/>
      <c r="AO1133" s="83"/>
      <c r="AP1133" s="83"/>
      <c r="AQ1133" s="54"/>
      <c r="AR1133" s="83"/>
      <c r="AS1133" s="83"/>
      <c r="AT1133" s="93"/>
      <c r="AU1133" s="93"/>
      <c r="AV1133" s="93"/>
      <c r="AW1133" s="83"/>
      <c r="AX1133" s="83"/>
      <c r="AY1133" s="83"/>
      <c r="AZ1133" s="83"/>
      <c r="BA1133" s="83"/>
      <c r="BB1133" s="83"/>
      <c r="BC1133" s="54"/>
      <c r="BD1133" s="54" t="str">
        <f t="shared" si="1"/>
        <v/>
      </c>
      <c r="BE1133" s="67"/>
      <c r="BF1133" s="67"/>
      <c r="BG1133" s="67"/>
      <c r="BH1133" s="67"/>
      <c r="BI1133" s="67"/>
      <c r="BJ1133" s="67"/>
      <c r="BK1133" s="67"/>
      <c r="BL1133" s="67"/>
      <c r="BM1133" s="67"/>
      <c r="BN1133" s="100"/>
      <c r="BO1133" s="102"/>
      <c r="BP1133" s="67"/>
      <c r="BQ1133" s="79"/>
      <c r="BR1133" s="67"/>
      <c r="BS1133" s="102"/>
      <c r="BT1133" s="106"/>
      <c r="BU1133" s="107"/>
      <c r="BV1133" s="108" t="str">
        <f t="shared" si="17"/>
        <v/>
      </c>
      <c r="BW1133" s="108" t="str">
        <f t="shared" si="16"/>
        <v/>
      </c>
      <c r="BX1133" s="102" t="str">
        <f t="shared" si="15"/>
        <v/>
      </c>
      <c r="BY1133" s="107" t="str">
        <f t="shared" si="5"/>
        <v/>
      </c>
      <c r="BZ1133" s="107" t="str">
        <f t="array" ref="BZ1133">IF($A1133&lt;&gt;"",INDEX(LISTA!$M$2:$N$27,MATCH($BC1133,LISTA!$N$2:$N$27,0),1),"")</f>
        <v/>
      </c>
      <c r="CA1133" s="67" t="str">
        <f t="shared" si="6"/>
        <v/>
      </c>
      <c r="CB1133" s="114" t="str">
        <f t="shared" si="7"/>
        <v/>
      </c>
      <c r="CC1133" s="114"/>
    </row>
    <row r="1134" ht="22.5" customHeight="1">
      <c r="A1134" s="59"/>
      <c r="B1134" s="115"/>
      <c r="C1134" s="54"/>
      <c r="D1134" s="56"/>
      <c r="E1134" s="69"/>
      <c r="F1134" s="73"/>
      <c r="G1134" s="79"/>
      <c r="H1134" s="79"/>
      <c r="I1134" s="67"/>
      <c r="J1134" s="79"/>
      <c r="K1134" s="67"/>
      <c r="L1134" s="79"/>
      <c r="M1134" s="83"/>
      <c r="N1134" s="78"/>
      <c r="O1134" s="80"/>
      <c r="P1134" s="70"/>
      <c r="Q1134" s="54"/>
      <c r="R1134" s="67"/>
      <c r="S1134" s="67"/>
      <c r="T1134" s="54"/>
      <c r="U1134" s="86"/>
      <c r="V1134" s="54"/>
      <c r="W1134" s="86"/>
      <c r="X1134" s="54"/>
      <c r="Y1134" s="78"/>
      <c r="Z1134" s="54"/>
      <c r="AA1134" s="70"/>
      <c r="AB1134" s="83"/>
      <c r="AC1134" s="83"/>
      <c r="AD1134" s="83"/>
      <c r="AE1134" s="83"/>
      <c r="AF1134" s="83"/>
      <c r="AG1134" s="83"/>
      <c r="AH1134" s="83"/>
      <c r="AI1134" s="83"/>
      <c r="AJ1134" s="83"/>
      <c r="AK1134" s="83"/>
      <c r="AL1134" s="83"/>
      <c r="AM1134" s="83"/>
      <c r="AN1134" s="83"/>
      <c r="AO1134" s="83"/>
      <c r="AP1134" s="83"/>
      <c r="AQ1134" s="54"/>
      <c r="AR1134" s="83"/>
      <c r="AS1134" s="83"/>
      <c r="AT1134" s="93"/>
      <c r="AU1134" s="93"/>
      <c r="AV1134" s="93"/>
      <c r="AW1134" s="83"/>
      <c r="AX1134" s="83"/>
      <c r="AY1134" s="83"/>
      <c r="AZ1134" s="83"/>
      <c r="BA1134" s="83"/>
      <c r="BB1134" s="83"/>
      <c r="BC1134" s="54"/>
      <c r="BD1134" s="54" t="str">
        <f t="shared" si="1"/>
        <v/>
      </c>
      <c r="BE1134" s="67"/>
      <c r="BF1134" s="67"/>
      <c r="BG1134" s="67"/>
      <c r="BH1134" s="67"/>
      <c r="BI1134" s="67"/>
      <c r="BJ1134" s="67"/>
      <c r="BK1134" s="67"/>
      <c r="BL1134" s="67"/>
      <c r="BM1134" s="67"/>
      <c r="BN1134" s="100"/>
      <c r="BO1134" s="102"/>
      <c r="BP1134" s="67"/>
      <c r="BQ1134" s="79"/>
      <c r="BR1134" s="67"/>
      <c r="BS1134" s="102"/>
      <c r="BT1134" s="106"/>
      <c r="BU1134" s="107"/>
      <c r="BV1134" s="108" t="str">
        <f t="shared" si="17"/>
        <v/>
      </c>
      <c r="BW1134" s="108" t="str">
        <f t="shared" si="16"/>
        <v/>
      </c>
      <c r="BX1134" s="102" t="str">
        <f t="shared" si="15"/>
        <v/>
      </c>
      <c r="BY1134" s="107" t="str">
        <f t="shared" si="5"/>
        <v/>
      </c>
      <c r="BZ1134" s="107" t="str">
        <f t="array" ref="BZ1134">IF($A1134&lt;&gt;"",INDEX(LISTA!$M$2:$N$27,MATCH($BC1134,LISTA!$N$2:$N$27,0),1),"")</f>
        <v/>
      </c>
      <c r="CA1134" s="67" t="str">
        <f t="shared" si="6"/>
        <v/>
      </c>
      <c r="CB1134" s="114" t="str">
        <f t="shared" si="7"/>
        <v/>
      </c>
      <c r="CC1134" s="114"/>
    </row>
    <row r="1135" ht="22.5" customHeight="1">
      <c r="A1135" s="59"/>
      <c r="B1135" s="115"/>
      <c r="C1135" s="54"/>
      <c r="D1135" s="56"/>
      <c r="E1135" s="69"/>
      <c r="F1135" s="73"/>
      <c r="G1135" s="79"/>
      <c r="H1135" s="79"/>
      <c r="I1135" s="67"/>
      <c r="J1135" s="79"/>
      <c r="K1135" s="67"/>
      <c r="L1135" s="79"/>
      <c r="M1135" s="83"/>
      <c r="N1135" s="78"/>
      <c r="O1135" s="80"/>
      <c r="P1135" s="70"/>
      <c r="Q1135" s="54"/>
      <c r="R1135" s="67"/>
      <c r="S1135" s="67"/>
      <c r="T1135" s="54"/>
      <c r="U1135" s="86"/>
      <c r="V1135" s="54"/>
      <c r="W1135" s="86"/>
      <c r="X1135" s="54"/>
      <c r="Y1135" s="78"/>
      <c r="Z1135" s="54"/>
      <c r="AA1135" s="70"/>
      <c r="AB1135" s="83"/>
      <c r="AC1135" s="83"/>
      <c r="AD1135" s="83"/>
      <c r="AE1135" s="83"/>
      <c r="AF1135" s="83"/>
      <c r="AG1135" s="83"/>
      <c r="AH1135" s="83"/>
      <c r="AI1135" s="83"/>
      <c r="AJ1135" s="83"/>
      <c r="AK1135" s="83"/>
      <c r="AL1135" s="83"/>
      <c r="AM1135" s="83"/>
      <c r="AN1135" s="83"/>
      <c r="AO1135" s="83"/>
      <c r="AP1135" s="83"/>
      <c r="AQ1135" s="54"/>
      <c r="AR1135" s="83"/>
      <c r="AS1135" s="83"/>
      <c r="AT1135" s="93"/>
      <c r="AU1135" s="93"/>
      <c r="AV1135" s="93"/>
      <c r="AW1135" s="83"/>
      <c r="AX1135" s="83"/>
      <c r="AY1135" s="83"/>
      <c r="AZ1135" s="83"/>
      <c r="BA1135" s="83"/>
      <c r="BB1135" s="83"/>
      <c r="BC1135" s="54"/>
      <c r="BD1135" s="54" t="str">
        <f t="shared" si="1"/>
        <v/>
      </c>
      <c r="BE1135" s="67"/>
      <c r="BF1135" s="67"/>
      <c r="BG1135" s="67"/>
      <c r="BH1135" s="67"/>
      <c r="BI1135" s="67"/>
      <c r="BJ1135" s="67"/>
      <c r="BK1135" s="67"/>
      <c r="BL1135" s="67"/>
      <c r="BM1135" s="67"/>
      <c r="BN1135" s="100"/>
      <c r="BO1135" s="102"/>
      <c r="BP1135" s="67"/>
      <c r="BQ1135" s="79"/>
      <c r="BR1135" s="67"/>
      <c r="BS1135" s="102"/>
      <c r="BT1135" s="106"/>
      <c r="BU1135" s="107"/>
      <c r="BV1135" s="108" t="str">
        <f t="shared" si="17"/>
        <v/>
      </c>
      <c r="BW1135" s="108" t="str">
        <f t="shared" si="16"/>
        <v/>
      </c>
      <c r="BX1135" s="102" t="str">
        <f t="shared" si="15"/>
        <v/>
      </c>
      <c r="BY1135" s="107" t="str">
        <f t="shared" si="5"/>
        <v/>
      </c>
      <c r="BZ1135" s="107" t="str">
        <f t="array" ref="BZ1135">IF($A1135&lt;&gt;"",INDEX(LISTA!$M$2:$N$27,MATCH($BC1135,LISTA!$N$2:$N$27,0),1),"")</f>
        <v/>
      </c>
      <c r="CA1135" s="67" t="str">
        <f t="shared" si="6"/>
        <v/>
      </c>
      <c r="CB1135" s="114" t="str">
        <f t="shared" si="7"/>
        <v/>
      </c>
      <c r="CC1135" s="114"/>
    </row>
    <row r="1136" ht="22.5" customHeight="1">
      <c r="A1136" s="59"/>
      <c r="B1136" s="115"/>
      <c r="C1136" s="54"/>
      <c r="D1136" s="56"/>
      <c r="E1136" s="69"/>
      <c r="F1136" s="73"/>
      <c r="G1136" s="79"/>
      <c r="H1136" s="79"/>
      <c r="I1136" s="67"/>
      <c r="J1136" s="79"/>
      <c r="K1136" s="67"/>
      <c r="L1136" s="79"/>
      <c r="M1136" s="83"/>
      <c r="N1136" s="78"/>
      <c r="O1136" s="80"/>
      <c r="P1136" s="70"/>
      <c r="Q1136" s="54"/>
      <c r="R1136" s="67"/>
      <c r="S1136" s="67"/>
      <c r="T1136" s="54"/>
      <c r="U1136" s="86"/>
      <c r="V1136" s="54"/>
      <c r="W1136" s="86"/>
      <c r="X1136" s="54"/>
      <c r="Y1136" s="78"/>
      <c r="Z1136" s="54"/>
      <c r="AA1136" s="70"/>
      <c r="AB1136" s="83"/>
      <c r="AC1136" s="83"/>
      <c r="AD1136" s="83"/>
      <c r="AE1136" s="83"/>
      <c r="AF1136" s="83"/>
      <c r="AG1136" s="83"/>
      <c r="AH1136" s="83"/>
      <c r="AI1136" s="83"/>
      <c r="AJ1136" s="83"/>
      <c r="AK1136" s="83"/>
      <c r="AL1136" s="83"/>
      <c r="AM1136" s="83"/>
      <c r="AN1136" s="83"/>
      <c r="AO1136" s="83"/>
      <c r="AP1136" s="83"/>
      <c r="AQ1136" s="54"/>
      <c r="AR1136" s="83"/>
      <c r="AS1136" s="83"/>
      <c r="AT1136" s="93"/>
      <c r="AU1136" s="93"/>
      <c r="AV1136" s="93"/>
      <c r="AW1136" s="83"/>
      <c r="AX1136" s="83"/>
      <c r="AY1136" s="83"/>
      <c r="AZ1136" s="83"/>
      <c r="BA1136" s="83"/>
      <c r="BB1136" s="83"/>
      <c r="BC1136" s="54"/>
      <c r="BD1136" s="54" t="str">
        <f t="shared" si="1"/>
        <v/>
      </c>
      <c r="BE1136" s="67"/>
      <c r="BF1136" s="67"/>
      <c r="BG1136" s="67"/>
      <c r="BH1136" s="67"/>
      <c r="BI1136" s="67"/>
      <c r="BJ1136" s="67"/>
      <c r="BK1136" s="67"/>
      <c r="BL1136" s="67"/>
      <c r="BM1136" s="67"/>
      <c r="BN1136" s="100"/>
      <c r="BO1136" s="102"/>
      <c r="BP1136" s="67"/>
      <c r="BQ1136" s="79"/>
      <c r="BR1136" s="67"/>
      <c r="BS1136" s="102"/>
      <c r="BT1136" s="106"/>
      <c r="BU1136" s="107"/>
      <c r="BV1136" s="108" t="str">
        <f t="shared" si="17"/>
        <v/>
      </c>
      <c r="BW1136" s="108" t="str">
        <f t="shared" si="16"/>
        <v/>
      </c>
      <c r="BX1136" s="102" t="str">
        <f t="shared" si="15"/>
        <v/>
      </c>
      <c r="BY1136" s="107" t="str">
        <f t="shared" si="5"/>
        <v/>
      </c>
      <c r="BZ1136" s="107" t="str">
        <f t="array" ref="BZ1136">IF($A1136&lt;&gt;"",INDEX(LISTA!$M$2:$N$27,MATCH($BC1136,LISTA!$N$2:$N$27,0),1),"")</f>
        <v/>
      </c>
      <c r="CA1136" s="67" t="str">
        <f t="shared" si="6"/>
        <v/>
      </c>
      <c r="CB1136" s="114" t="str">
        <f t="shared" si="7"/>
        <v/>
      </c>
      <c r="CC1136" s="114"/>
    </row>
    <row r="1137" ht="22.5" customHeight="1">
      <c r="A1137" s="59"/>
      <c r="B1137" s="115"/>
      <c r="C1137" s="54"/>
      <c r="D1137" s="56"/>
      <c r="E1137" s="69"/>
      <c r="F1137" s="73"/>
      <c r="G1137" s="79"/>
      <c r="H1137" s="79"/>
      <c r="I1137" s="67"/>
      <c r="J1137" s="79"/>
      <c r="K1137" s="67"/>
      <c r="L1137" s="79"/>
      <c r="M1137" s="83"/>
      <c r="N1137" s="78"/>
      <c r="O1137" s="80"/>
      <c r="P1137" s="70"/>
      <c r="Q1137" s="54"/>
      <c r="R1137" s="67"/>
      <c r="S1137" s="67"/>
      <c r="T1137" s="54"/>
      <c r="U1137" s="86"/>
      <c r="V1137" s="54"/>
      <c r="W1137" s="86"/>
      <c r="X1137" s="54"/>
      <c r="Y1137" s="78"/>
      <c r="Z1137" s="54"/>
      <c r="AA1137" s="70"/>
      <c r="AB1137" s="83"/>
      <c r="AC1137" s="83"/>
      <c r="AD1137" s="83"/>
      <c r="AE1137" s="83"/>
      <c r="AF1137" s="83"/>
      <c r="AG1137" s="83"/>
      <c r="AH1137" s="83"/>
      <c r="AI1137" s="83"/>
      <c r="AJ1137" s="83"/>
      <c r="AK1137" s="83"/>
      <c r="AL1137" s="83"/>
      <c r="AM1137" s="83"/>
      <c r="AN1137" s="83"/>
      <c r="AO1137" s="83"/>
      <c r="AP1137" s="83"/>
      <c r="AQ1137" s="54"/>
      <c r="AR1137" s="83"/>
      <c r="AS1137" s="83"/>
      <c r="AT1137" s="93"/>
      <c r="AU1137" s="93"/>
      <c r="AV1137" s="93"/>
      <c r="AW1137" s="83"/>
      <c r="AX1137" s="83"/>
      <c r="AY1137" s="83"/>
      <c r="AZ1137" s="83"/>
      <c r="BA1137" s="83"/>
      <c r="BB1137" s="83"/>
      <c r="BC1137" s="54"/>
      <c r="BD1137" s="54" t="str">
        <f t="shared" si="1"/>
        <v/>
      </c>
      <c r="BE1137" s="67"/>
      <c r="BF1137" s="67"/>
      <c r="BG1137" s="67"/>
      <c r="BH1137" s="67"/>
      <c r="BI1137" s="67"/>
      <c r="BJ1137" s="67"/>
      <c r="BK1137" s="67"/>
      <c r="BL1137" s="67"/>
      <c r="BM1137" s="67"/>
      <c r="BN1137" s="100"/>
      <c r="BO1137" s="102"/>
      <c r="BP1137" s="67"/>
      <c r="BQ1137" s="79"/>
      <c r="BR1137" s="67"/>
      <c r="BS1137" s="102"/>
      <c r="BT1137" s="106"/>
      <c r="BU1137" s="107"/>
      <c r="BV1137" s="108" t="str">
        <f t="shared" si="17"/>
        <v/>
      </c>
      <c r="BW1137" s="108" t="str">
        <f t="shared" si="16"/>
        <v/>
      </c>
      <c r="BX1137" s="102" t="str">
        <f t="shared" si="15"/>
        <v/>
      </c>
      <c r="BY1137" s="107" t="str">
        <f t="shared" si="5"/>
        <v/>
      </c>
      <c r="BZ1137" s="107" t="str">
        <f t="array" ref="BZ1137">IF($A1137&lt;&gt;"",INDEX(LISTA!$M$2:$N$27,MATCH($BC1137,LISTA!$N$2:$N$27,0),1),"")</f>
        <v/>
      </c>
      <c r="CA1137" s="67" t="str">
        <f t="shared" si="6"/>
        <v/>
      </c>
      <c r="CB1137" s="114" t="str">
        <f t="shared" si="7"/>
        <v/>
      </c>
      <c r="CC1137" s="114"/>
    </row>
    <row r="1138" ht="22.5" customHeight="1">
      <c r="A1138" s="59"/>
      <c r="B1138" s="115"/>
      <c r="C1138" s="54"/>
      <c r="D1138" s="56"/>
      <c r="E1138" s="69"/>
      <c r="F1138" s="73"/>
      <c r="G1138" s="79"/>
      <c r="H1138" s="79"/>
      <c r="I1138" s="67"/>
      <c r="J1138" s="79"/>
      <c r="K1138" s="67"/>
      <c r="L1138" s="79"/>
      <c r="M1138" s="83"/>
      <c r="N1138" s="78"/>
      <c r="O1138" s="80"/>
      <c r="P1138" s="70"/>
      <c r="Q1138" s="54"/>
      <c r="R1138" s="67"/>
      <c r="S1138" s="67"/>
      <c r="T1138" s="54"/>
      <c r="U1138" s="86"/>
      <c r="V1138" s="54"/>
      <c r="W1138" s="86"/>
      <c r="X1138" s="54"/>
      <c r="Y1138" s="78"/>
      <c r="Z1138" s="54"/>
      <c r="AA1138" s="70"/>
      <c r="AB1138" s="83"/>
      <c r="AC1138" s="83"/>
      <c r="AD1138" s="83"/>
      <c r="AE1138" s="83"/>
      <c r="AF1138" s="83"/>
      <c r="AG1138" s="83"/>
      <c r="AH1138" s="83"/>
      <c r="AI1138" s="83"/>
      <c r="AJ1138" s="83"/>
      <c r="AK1138" s="83"/>
      <c r="AL1138" s="83"/>
      <c r="AM1138" s="83"/>
      <c r="AN1138" s="83"/>
      <c r="AO1138" s="83"/>
      <c r="AP1138" s="83"/>
      <c r="AQ1138" s="54"/>
      <c r="AR1138" s="83"/>
      <c r="AS1138" s="83"/>
      <c r="AT1138" s="93"/>
      <c r="AU1138" s="93"/>
      <c r="AV1138" s="93"/>
      <c r="AW1138" s="83"/>
      <c r="AX1138" s="83"/>
      <c r="AY1138" s="83"/>
      <c r="AZ1138" s="83"/>
      <c r="BA1138" s="83"/>
      <c r="BB1138" s="83"/>
      <c r="BC1138" s="54"/>
      <c r="BD1138" s="54" t="str">
        <f t="shared" si="1"/>
        <v/>
      </c>
      <c r="BE1138" s="67"/>
      <c r="BF1138" s="67"/>
      <c r="BG1138" s="67"/>
      <c r="BH1138" s="67"/>
      <c r="BI1138" s="67"/>
      <c r="BJ1138" s="67"/>
      <c r="BK1138" s="67"/>
      <c r="BL1138" s="67"/>
      <c r="BM1138" s="67"/>
      <c r="BN1138" s="100"/>
      <c r="BO1138" s="102"/>
      <c r="BP1138" s="67"/>
      <c r="BQ1138" s="79"/>
      <c r="BR1138" s="67"/>
      <c r="BS1138" s="102"/>
      <c r="BT1138" s="106"/>
      <c r="BU1138" s="107"/>
      <c r="BV1138" s="108" t="str">
        <f t="shared" si="17"/>
        <v/>
      </c>
      <c r="BW1138" s="108" t="str">
        <f t="shared" si="16"/>
        <v/>
      </c>
      <c r="BX1138" s="102" t="str">
        <f t="shared" si="15"/>
        <v/>
      </c>
      <c r="BY1138" s="107" t="str">
        <f t="shared" si="5"/>
        <v/>
      </c>
      <c r="BZ1138" s="107" t="str">
        <f t="array" ref="BZ1138">IF($A1138&lt;&gt;"",INDEX(LISTA!$M$2:$N$27,MATCH($BC1138,LISTA!$N$2:$N$27,0),1),"")</f>
        <v/>
      </c>
      <c r="CA1138" s="67" t="str">
        <f t="shared" si="6"/>
        <v/>
      </c>
      <c r="CB1138" s="114" t="str">
        <f t="shared" si="7"/>
        <v/>
      </c>
      <c r="CC1138" s="114"/>
    </row>
    <row r="1139" ht="22.5" customHeight="1">
      <c r="A1139" s="59"/>
      <c r="B1139" s="115"/>
      <c r="C1139" s="54"/>
      <c r="D1139" s="56"/>
      <c r="E1139" s="69"/>
      <c r="F1139" s="73"/>
      <c r="G1139" s="79"/>
      <c r="H1139" s="79"/>
      <c r="I1139" s="67"/>
      <c r="J1139" s="79"/>
      <c r="K1139" s="67"/>
      <c r="L1139" s="79"/>
      <c r="M1139" s="83"/>
      <c r="N1139" s="78"/>
      <c r="O1139" s="80"/>
      <c r="P1139" s="70"/>
      <c r="Q1139" s="54"/>
      <c r="R1139" s="67"/>
      <c r="S1139" s="67"/>
      <c r="T1139" s="54"/>
      <c r="U1139" s="86"/>
      <c r="V1139" s="54"/>
      <c r="W1139" s="86"/>
      <c r="X1139" s="54"/>
      <c r="Y1139" s="78"/>
      <c r="Z1139" s="54"/>
      <c r="AA1139" s="70"/>
      <c r="AB1139" s="83"/>
      <c r="AC1139" s="83"/>
      <c r="AD1139" s="83"/>
      <c r="AE1139" s="83"/>
      <c r="AF1139" s="83"/>
      <c r="AG1139" s="83"/>
      <c r="AH1139" s="83"/>
      <c r="AI1139" s="83"/>
      <c r="AJ1139" s="83"/>
      <c r="AK1139" s="83"/>
      <c r="AL1139" s="83"/>
      <c r="AM1139" s="83"/>
      <c r="AN1139" s="83"/>
      <c r="AO1139" s="83"/>
      <c r="AP1139" s="83"/>
      <c r="AQ1139" s="54"/>
      <c r="AR1139" s="83"/>
      <c r="AS1139" s="83"/>
      <c r="AT1139" s="93"/>
      <c r="AU1139" s="93"/>
      <c r="AV1139" s="93"/>
      <c r="AW1139" s="83"/>
      <c r="AX1139" s="83"/>
      <c r="AY1139" s="83"/>
      <c r="AZ1139" s="83"/>
      <c r="BA1139" s="83"/>
      <c r="BB1139" s="83"/>
      <c r="BC1139" s="54"/>
      <c r="BD1139" s="54" t="str">
        <f t="shared" si="1"/>
        <v/>
      </c>
      <c r="BE1139" s="67"/>
      <c r="BF1139" s="67"/>
      <c r="BG1139" s="67"/>
      <c r="BH1139" s="67"/>
      <c r="BI1139" s="67"/>
      <c r="BJ1139" s="67"/>
      <c r="BK1139" s="67"/>
      <c r="BL1139" s="67"/>
      <c r="BM1139" s="67"/>
      <c r="BN1139" s="100"/>
      <c r="BO1139" s="102"/>
      <c r="BP1139" s="67"/>
      <c r="BQ1139" s="79"/>
      <c r="BR1139" s="67"/>
      <c r="BS1139" s="102"/>
      <c r="BT1139" s="106"/>
      <c r="BU1139" s="107"/>
      <c r="BV1139" s="108" t="str">
        <f t="shared" si="17"/>
        <v/>
      </c>
      <c r="BW1139" s="108" t="str">
        <f t="shared" si="16"/>
        <v/>
      </c>
      <c r="BX1139" s="102" t="str">
        <f t="shared" si="15"/>
        <v/>
      </c>
      <c r="BY1139" s="107" t="str">
        <f t="shared" si="5"/>
        <v/>
      </c>
      <c r="BZ1139" s="107" t="str">
        <f t="array" ref="BZ1139">IF($A1139&lt;&gt;"",INDEX(LISTA!$M$2:$N$27,MATCH($BC1139,LISTA!$N$2:$N$27,0),1),"")</f>
        <v/>
      </c>
      <c r="CA1139" s="67" t="str">
        <f t="shared" si="6"/>
        <v/>
      </c>
      <c r="CB1139" s="114" t="str">
        <f t="shared" si="7"/>
        <v/>
      </c>
      <c r="CC1139" s="114"/>
    </row>
    <row r="1140" ht="22.5" customHeight="1">
      <c r="A1140" s="59"/>
      <c r="B1140" s="115"/>
      <c r="C1140" s="54"/>
      <c r="D1140" s="56"/>
      <c r="E1140" s="69"/>
      <c r="F1140" s="73"/>
      <c r="G1140" s="79"/>
      <c r="H1140" s="79"/>
      <c r="I1140" s="67"/>
      <c r="J1140" s="79"/>
      <c r="K1140" s="67"/>
      <c r="L1140" s="79"/>
      <c r="M1140" s="83"/>
      <c r="N1140" s="78"/>
      <c r="O1140" s="80"/>
      <c r="P1140" s="70"/>
      <c r="Q1140" s="54"/>
      <c r="R1140" s="67"/>
      <c r="S1140" s="67"/>
      <c r="T1140" s="54"/>
      <c r="U1140" s="86"/>
      <c r="V1140" s="54"/>
      <c r="W1140" s="86"/>
      <c r="X1140" s="54"/>
      <c r="Y1140" s="78"/>
      <c r="Z1140" s="54"/>
      <c r="AA1140" s="70"/>
      <c r="AB1140" s="83"/>
      <c r="AC1140" s="83"/>
      <c r="AD1140" s="83"/>
      <c r="AE1140" s="83"/>
      <c r="AF1140" s="83"/>
      <c r="AG1140" s="83"/>
      <c r="AH1140" s="83"/>
      <c r="AI1140" s="83"/>
      <c r="AJ1140" s="83"/>
      <c r="AK1140" s="83"/>
      <c r="AL1140" s="83"/>
      <c r="AM1140" s="83"/>
      <c r="AN1140" s="83"/>
      <c r="AO1140" s="83"/>
      <c r="AP1140" s="83"/>
      <c r="AQ1140" s="54"/>
      <c r="AR1140" s="83"/>
      <c r="AS1140" s="83"/>
      <c r="AT1140" s="93"/>
      <c r="AU1140" s="93"/>
      <c r="AV1140" s="93"/>
      <c r="AW1140" s="83"/>
      <c r="AX1140" s="83"/>
      <c r="AY1140" s="83"/>
      <c r="AZ1140" s="83"/>
      <c r="BA1140" s="83"/>
      <c r="BB1140" s="83"/>
      <c r="BC1140" s="54"/>
      <c r="BD1140" s="54" t="str">
        <f t="shared" si="1"/>
        <v/>
      </c>
      <c r="BE1140" s="67"/>
      <c r="BF1140" s="67"/>
      <c r="BG1140" s="67"/>
      <c r="BH1140" s="67"/>
      <c r="BI1140" s="67"/>
      <c r="BJ1140" s="67"/>
      <c r="BK1140" s="67"/>
      <c r="BL1140" s="67"/>
      <c r="BM1140" s="67"/>
      <c r="BN1140" s="100"/>
      <c r="BO1140" s="102"/>
      <c r="BP1140" s="67"/>
      <c r="BQ1140" s="79"/>
      <c r="BR1140" s="67"/>
      <c r="BS1140" s="102"/>
      <c r="BT1140" s="106"/>
      <c r="BU1140" s="107"/>
      <c r="BV1140" s="108" t="str">
        <f t="shared" si="17"/>
        <v/>
      </c>
      <c r="BW1140" s="108" t="str">
        <f t="shared" si="16"/>
        <v/>
      </c>
      <c r="BX1140" s="102" t="str">
        <f t="shared" si="15"/>
        <v/>
      </c>
      <c r="BY1140" s="107" t="str">
        <f t="shared" si="5"/>
        <v/>
      </c>
      <c r="BZ1140" s="107" t="str">
        <f t="array" ref="BZ1140">IF($A1140&lt;&gt;"",INDEX(LISTA!$M$2:$N$27,MATCH($BC1140,LISTA!$N$2:$N$27,0),1),"")</f>
        <v/>
      </c>
      <c r="CA1140" s="67" t="str">
        <f t="shared" si="6"/>
        <v/>
      </c>
      <c r="CB1140" s="114" t="str">
        <f t="shared" si="7"/>
        <v/>
      </c>
      <c r="CC1140" s="114"/>
    </row>
    <row r="1141" ht="22.5" customHeight="1">
      <c r="A1141" s="59"/>
      <c r="B1141" s="115"/>
      <c r="C1141" s="54"/>
      <c r="D1141" s="56"/>
      <c r="E1141" s="69"/>
      <c r="F1141" s="73"/>
      <c r="G1141" s="79"/>
      <c r="H1141" s="79"/>
      <c r="I1141" s="67"/>
      <c r="J1141" s="79"/>
      <c r="K1141" s="67"/>
      <c r="L1141" s="79"/>
      <c r="M1141" s="83"/>
      <c r="N1141" s="78"/>
      <c r="O1141" s="80"/>
      <c r="P1141" s="70"/>
      <c r="Q1141" s="54"/>
      <c r="R1141" s="67"/>
      <c r="S1141" s="67"/>
      <c r="T1141" s="54"/>
      <c r="U1141" s="86"/>
      <c r="V1141" s="54"/>
      <c r="W1141" s="86"/>
      <c r="X1141" s="54"/>
      <c r="Y1141" s="78"/>
      <c r="Z1141" s="54"/>
      <c r="AA1141" s="70"/>
      <c r="AB1141" s="83"/>
      <c r="AC1141" s="83"/>
      <c r="AD1141" s="83"/>
      <c r="AE1141" s="83"/>
      <c r="AF1141" s="83"/>
      <c r="AG1141" s="83"/>
      <c r="AH1141" s="83"/>
      <c r="AI1141" s="83"/>
      <c r="AJ1141" s="83"/>
      <c r="AK1141" s="83"/>
      <c r="AL1141" s="83"/>
      <c r="AM1141" s="83"/>
      <c r="AN1141" s="83"/>
      <c r="AO1141" s="83"/>
      <c r="AP1141" s="83"/>
      <c r="AQ1141" s="54"/>
      <c r="AR1141" s="83"/>
      <c r="AS1141" s="83"/>
      <c r="AT1141" s="93"/>
      <c r="AU1141" s="93"/>
      <c r="AV1141" s="93"/>
      <c r="AW1141" s="83"/>
      <c r="AX1141" s="83"/>
      <c r="AY1141" s="83"/>
      <c r="AZ1141" s="83"/>
      <c r="BA1141" s="83"/>
      <c r="BB1141" s="83"/>
      <c r="BC1141" s="54"/>
      <c r="BD1141" s="54" t="str">
        <f t="shared" si="1"/>
        <v/>
      </c>
      <c r="BE1141" s="67"/>
      <c r="BF1141" s="67"/>
      <c r="BG1141" s="67"/>
      <c r="BH1141" s="67"/>
      <c r="BI1141" s="67"/>
      <c r="BJ1141" s="67"/>
      <c r="BK1141" s="67"/>
      <c r="BL1141" s="67"/>
      <c r="BM1141" s="67"/>
      <c r="BN1141" s="100"/>
      <c r="BO1141" s="102"/>
      <c r="BP1141" s="67"/>
      <c r="BQ1141" s="79"/>
      <c r="BR1141" s="67"/>
      <c r="BS1141" s="102"/>
      <c r="BT1141" s="106"/>
      <c r="BU1141" s="107"/>
      <c r="BV1141" s="108" t="str">
        <f t="shared" si="17"/>
        <v/>
      </c>
      <c r="BW1141" s="108" t="str">
        <f t="shared" si="16"/>
        <v/>
      </c>
      <c r="BX1141" s="102" t="str">
        <f t="shared" si="15"/>
        <v/>
      </c>
      <c r="BY1141" s="107" t="str">
        <f t="shared" si="5"/>
        <v/>
      </c>
      <c r="BZ1141" s="107" t="str">
        <f t="array" ref="BZ1141">IF($A1141&lt;&gt;"",INDEX(LISTA!$M$2:$N$27,MATCH($BC1141,LISTA!$N$2:$N$27,0),1),"")</f>
        <v/>
      </c>
      <c r="CA1141" s="67" t="str">
        <f t="shared" si="6"/>
        <v/>
      </c>
      <c r="CB1141" s="114" t="str">
        <f t="shared" si="7"/>
        <v/>
      </c>
      <c r="CC1141" s="114"/>
    </row>
    <row r="1142" ht="22.5" customHeight="1">
      <c r="A1142" s="59"/>
      <c r="B1142" s="115"/>
      <c r="C1142" s="54"/>
      <c r="D1142" s="56"/>
      <c r="E1142" s="69"/>
      <c r="F1142" s="73"/>
      <c r="G1142" s="79"/>
      <c r="H1142" s="79"/>
      <c r="I1142" s="67"/>
      <c r="J1142" s="79"/>
      <c r="K1142" s="67"/>
      <c r="L1142" s="79"/>
      <c r="M1142" s="83"/>
      <c r="N1142" s="78"/>
      <c r="O1142" s="80"/>
      <c r="P1142" s="70"/>
      <c r="Q1142" s="54"/>
      <c r="R1142" s="67"/>
      <c r="S1142" s="67"/>
      <c r="T1142" s="54"/>
      <c r="U1142" s="86"/>
      <c r="V1142" s="54"/>
      <c r="W1142" s="86"/>
      <c r="X1142" s="54"/>
      <c r="Y1142" s="78"/>
      <c r="Z1142" s="54"/>
      <c r="AA1142" s="70"/>
      <c r="AB1142" s="83"/>
      <c r="AC1142" s="83"/>
      <c r="AD1142" s="83"/>
      <c r="AE1142" s="83"/>
      <c r="AF1142" s="83"/>
      <c r="AG1142" s="83"/>
      <c r="AH1142" s="83"/>
      <c r="AI1142" s="83"/>
      <c r="AJ1142" s="83"/>
      <c r="AK1142" s="83"/>
      <c r="AL1142" s="83"/>
      <c r="AM1142" s="83"/>
      <c r="AN1142" s="83"/>
      <c r="AO1142" s="83"/>
      <c r="AP1142" s="83"/>
      <c r="AQ1142" s="54"/>
      <c r="AR1142" s="83"/>
      <c r="AS1142" s="83"/>
      <c r="AT1142" s="93"/>
      <c r="AU1142" s="93"/>
      <c r="AV1142" s="93"/>
      <c r="AW1142" s="83"/>
      <c r="AX1142" s="83"/>
      <c r="AY1142" s="83"/>
      <c r="AZ1142" s="83"/>
      <c r="BA1142" s="83"/>
      <c r="BB1142" s="83"/>
      <c r="BC1142" s="54"/>
      <c r="BD1142" s="54" t="str">
        <f t="shared" si="1"/>
        <v/>
      </c>
      <c r="BE1142" s="67"/>
      <c r="BF1142" s="67"/>
      <c r="BG1142" s="67"/>
      <c r="BH1142" s="67"/>
      <c r="BI1142" s="67"/>
      <c r="BJ1142" s="67"/>
      <c r="BK1142" s="67"/>
      <c r="BL1142" s="67"/>
      <c r="BM1142" s="67"/>
      <c r="BN1142" s="100"/>
      <c r="BO1142" s="102"/>
      <c r="BP1142" s="67"/>
      <c r="BQ1142" s="79"/>
      <c r="BR1142" s="67"/>
      <c r="BS1142" s="102"/>
      <c r="BT1142" s="106"/>
      <c r="BU1142" s="107"/>
      <c r="BV1142" s="108" t="str">
        <f t="shared" si="17"/>
        <v/>
      </c>
      <c r="BW1142" s="108" t="str">
        <f t="shared" si="16"/>
        <v/>
      </c>
      <c r="BX1142" s="102" t="str">
        <f t="shared" si="15"/>
        <v/>
      </c>
      <c r="BY1142" s="107" t="str">
        <f t="shared" si="5"/>
        <v/>
      </c>
      <c r="BZ1142" s="107" t="str">
        <f t="array" ref="BZ1142">IF($A1142&lt;&gt;"",INDEX(LISTA!$M$2:$N$27,MATCH($BC1142,LISTA!$N$2:$N$27,0),1),"")</f>
        <v/>
      </c>
      <c r="CA1142" s="67" t="str">
        <f t="shared" si="6"/>
        <v/>
      </c>
      <c r="CB1142" s="114" t="str">
        <f t="shared" si="7"/>
        <v/>
      </c>
      <c r="CC1142" s="114"/>
    </row>
    <row r="1143" ht="22.5" customHeight="1">
      <c r="A1143" s="59"/>
      <c r="B1143" s="115"/>
      <c r="C1143" s="54"/>
      <c r="D1143" s="56"/>
      <c r="E1143" s="69"/>
      <c r="F1143" s="73"/>
      <c r="G1143" s="79"/>
      <c r="H1143" s="79"/>
      <c r="I1143" s="67"/>
      <c r="J1143" s="79"/>
      <c r="K1143" s="67"/>
      <c r="L1143" s="79"/>
      <c r="M1143" s="83"/>
      <c r="N1143" s="78"/>
      <c r="O1143" s="80"/>
      <c r="P1143" s="70"/>
      <c r="Q1143" s="54"/>
      <c r="R1143" s="67"/>
      <c r="S1143" s="67"/>
      <c r="T1143" s="54"/>
      <c r="U1143" s="86"/>
      <c r="V1143" s="54"/>
      <c r="W1143" s="86"/>
      <c r="X1143" s="54"/>
      <c r="Y1143" s="78"/>
      <c r="Z1143" s="54"/>
      <c r="AA1143" s="70"/>
      <c r="AB1143" s="83"/>
      <c r="AC1143" s="83"/>
      <c r="AD1143" s="83"/>
      <c r="AE1143" s="83"/>
      <c r="AF1143" s="83"/>
      <c r="AG1143" s="83"/>
      <c r="AH1143" s="83"/>
      <c r="AI1143" s="83"/>
      <c r="AJ1143" s="83"/>
      <c r="AK1143" s="83"/>
      <c r="AL1143" s="83"/>
      <c r="AM1143" s="83"/>
      <c r="AN1143" s="83"/>
      <c r="AO1143" s="83"/>
      <c r="AP1143" s="83"/>
      <c r="AQ1143" s="54"/>
      <c r="AR1143" s="83"/>
      <c r="AS1143" s="83"/>
      <c r="AT1143" s="93"/>
      <c r="AU1143" s="93"/>
      <c r="AV1143" s="93"/>
      <c r="AW1143" s="83"/>
      <c r="AX1143" s="83"/>
      <c r="AY1143" s="83"/>
      <c r="AZ1143" s="83"/>
      <c r="BA1143" s="83"/>
      <c r="BB1143" s="83"/>
      <c r="BC1143" s="54"/>
      <c r="BD1143" s="54" t="str">
        <f t="shared" si="1"/>
        <v/>
      </c>
      <c r="BE1143" s="67"/>
      <c r="BF1143" s="67"/>
      <c r="BG1143" s="67"/>
      <c r="BH1143" s="67"/>
      <c r="BI1143" s="67"/>
      <c r="BJ1143" s="67"/>
      <c r="BK1143" s="67"/>
      <c r="BL1143" s="67"/>
      <c r="BM1143" s="67"/>
      <c r="BN1143" s="100"/>
      <c r="BO1143" s="102"/>
      <c r="BP1143" s="67"/>
      <c r="BQ1143" s="79"/>
      <c r="BR1143" s="67"/>
      <c r="BS1143" s="102"/>
      <c r="BT1143" s="106"/>
      <c r="BU1143" s="107"/>
      <c r="BV1143" s="108" t="str">
        <f t="shared" si="17"/>
        <v/>
      </c>
      <c r="BW1143" s="108" t="str">
        <f t="shared" si="16"/>
        <v/>
      </c>
      <c r="BX1143" s="102" t="str">
        <f t="shared" si="15"/>
        <v/>
      </c>
      <c r="BY1143" s="107" t="str">
        <f t="shared" si="5"/>
        <v/>
      </c>
      <c r="BZ1143" s="107" t="str">
        <f t="array" ref="BZ1143">IF($A1143&lt;&gt;"",INDEX(LISTA!$M$2:$N$27,MATCH($BC1143,LISTA!$N$2:$N$27,0),1),"")</f>
        <v/>
      </c>
      <c r="CA1143" s="67" t="str">
        <f t="shared" si="6"/>
        <v/>
      </c>
      <c r="CB1143" s="114" t="str">
        <f t="shared" si="7"/>
        <v/>
      </c>
      <c r="CC1143" s="114"/>
    </row>
    <row r="1144" ht="22.5" customHeight="1">
      <c r="A1144" s="59"/>
      <c r="B1144" s="115"/>
      <c r="C1144" s="54"/>
      <c r="D1144" s="56"/>
      <c r="E1144" s="69"/>
      <c r="F1144" s="73"/>
      <c r="G1144" s="79"/>
      <c r="H1144" s="79"/>
      <c r="I1144" s="67"/>
      <c r="J1144" s="79"/>
      <c r="K1144" s="67"/>
      <c r="L1144" s="79"/>
      <c r="M1144" s="83"/>
      <c r="N1144" s="78"/>
      <c r="O1144" s="80"/>
      <c r="P1144" s="70"/>
      <c r="Q1144" s="54"/>
      <c r="R1144" s="67"/>
      <c r="S1144" s="67"/>
      <c r="T1144" s="54"/>
      <c r="U1144" s="86"/>
      <c r="V1144" s="54"/>
      <c r="W1144" s="86"/>
      <c r="X1144" s="54"/>
      <c r="Y1144" s="78"/>
      <c r="Z1144" s="54"/>
      <c r="AA1144" s="70"/>
      <c r="AB1144" s="83"/>
      <c r="AC1144" s="83"/>
      <c r="AD1144" s="83"/>
      <c r="AE1144" s="83"/>
      <c r="AF1144" s="83"/>
      <c r="AG1144" s="83"/>
      <c r="AH1144" s="83"/>
      <c r="AI1144" s="83"/>
      <c r="AJ1144" s="83"/>
      <c r="AK1144" s="83"/>
      <c r="AL1144" s="83"/>
      <c r="AM1144" s="83"/>
      <c r="AN1144" s="83"/>
      <c r="AO1144" s="83"/>
      <c r="AP1144" s="83"/>
      <c r="AQ1144" s="54"/>
      <c r="AR1144" s="83"/>
      <c r="AS1144" s="83"/>
      <c r="AT1144" s="93"/>
      <c r="AU1144" s="93"/>
      <c r="AV1144" s="93"/>
      <c r="AW1144" s="83"/>
      <c r="AX1144" s="83"/>
      <c r="AY1144" s="83"/>
      <c r="AZ1144" s="83"/>
      <c r="BA1144" s="83"/>
      <c r="BB1144" s="83"/>
      <c r="BC1144" s="54"/>
      <c r="BD1144" s="54" t="str">
        <f t="shared" si="1"/>
        <v/>
      </c>
      <c r="BE1144" s="67"/>
      <c r="BF1144" s="67"/>
      <c r="BG1144" s="67"/>
      <c r="BH1144" s="67"/>
      <c r="BI1144" s="67"/>
      <c r="BJ1144" s="67"/>
      <c r="BK1144" s="67"/>
      <c r="BL1144" s="67"/>
      <c r="BM1144" s="67"/>
      <c r="BN1144" s="100"/>
      <c r="BO1144" s="102"/>
      <c r="BP1144" s="67"/>
      <c r="BQ1144" s="79"/>
      <c r="BR1144" s="67"/>
      <c r="BS1144" s="102"/>
      <c r="BT1144" s="106"/>
      <c r="BU1144" s="107"/>
      <c r="BV1144" s="108" t="str">
        <f t="shared" si="17"/>
        <v/>
      </c>
      <c r="BW1144" s="108" t="str">
        <f t="shared" si="16"/>
        <v/>
      </c>
      <c r="BX1144" s="102" t="str">
        <f t="shared" si="15"/>
        <v/>
      </c>
      <c r="BY1144" s="107" t="str">
        <f t="shared" si="5"/>
        <v/>
      </c>
      <c r="BZ1144" s="107" t="str">
        <f t="array" ref="BZ1144">IF($A1144&lt;&gt;"",INDEX(LISTA!$M$2:$N$27,MATCH($BC1144,LISTA!$N$2:$N$27,0),1),"")</f>
        <v/>
      </c>
      <c r="CA1144" s="67" t="str">
        <f t="shared" si="6"/>
        <v/>
      </c>
      <c r="CB1144" s="114" t="str">
        <f t="shared" si="7"/>
        <v/>
      </c>
      <c r="CC1144" s="114"/>
    </row>
    <row r="1145" ht="22.5" customHeight="1">
      <c r="A1145" s="59"/>
      <c r="B1145" s="115"/>
      <c r="C1145" s="54"/>
      <c r="D1145" s="56"/>
      <c r="E1145" s="69"/>
      <c r="F1145" s="73"/>
      <c r="G1145" s="79"/>
      <c r="H1145" s="79"/>
      <c r="I1145" s="67"/>
      <c r="J1145" s="79"/>
      <c r="K1145" s="67"/>
      <c r="L1145" s="79"/>
      <c r="M1145" s="83"/>
      <c r="N1145" s="78"/>
      <c r="O1145" s="80"/>
      <c r="P1145" s="70"/>
      <c r="Q1145" s="54"/>
      <c r="R1145" s="67"/>
      <c r="S1145" s="67"/>
      <c r="T1145" s="54"/>
      <c r="U1145" s="86"/>
      <c r="V1145" s="54"/>
      <c r="W1145" s="86"/>
      <c r="X1145" s="54"/>
      <c r="Y1145" s="78"/>
      <c r="Z1145" s="54"/>
      <c r="AA1145" s="70"/>
      <c r="AB1145" s="83"/>
      <c r="AC1145" s="83"/>
      <c r="AD1145" s="83"/>
      <c r="AE1145" s="83"/>
      <c r="AF1145" s="83"/>
      <c r="AG1145" s="83"/>
      <c r="AH1145" s="83"/>
      <c r="AI1145" s="83"/>
      <c r="AJ1145" s="83"/>
      <c r="AK1145" s="83"/>
      <c r="AL1145" s="83"/>
      <c r="AM1145" s="83"/>
      <c r="AN1145" s="83"/>
      <c r="AO1145" s="83"/>
      <c r="AP1145" s="83"/>
      <c r="AQ1145" s="54"/>
      <c r="AR1145" s="83"/>
      <c r="AS1145" s="83"/>
      <c r="AT1145" s="93"/>
      <c r="AU1145" s="93"/>
      <c r="AV1145" s="93"/>
      <c r="AW1145" s="83"/>
      <c r="AX1145" s="83"/>
      <c r="AY1145" s="83"/>
      <c r="AZ1145" s="83"/>
      <c r="BA1145" s="83"/>
      <c r="BB1145" s="83"/>
      <c r="BC1145" s="54"/>
      <c r="BD1145" s="54" t="str">
        <f t="shared" si="1"/>
        <v/>
      </c>
      <c r="BE1145" s="67"/>
      <c r="BF1145" s="67"/>
      <c r="BG1145" s="67"/>
      <c r="BH1145" s="67"/>
      <c r="BI1145" s="67"/>
      <c r="BJ1145" s="67"/>
      <c r="BK1145" s="67"/>
      <c r="BL1145" s="67"/>
      <c r="BM1145" s="67"/>
      <c r="BN1145" s="100"/>
      <c r="BO1145" s="102"/>
      <c r="BP1145" s="67"/>
      <c r="BQ1145" s="79"/>
      <c r="BR1145" s="67"/>
      <c r="BS1145" s="102"/>
      <c r="BT1145" s="106"/>
      <c r="BU1145" s="107"/>
      <c r="BV1145" s="108" t="str">
        <f t="shared" si="17"/>
        <v/>
      </c>
      <c r="BW1145" s="108" t="str">
        <f t="shared" si="16"/>
        <v/>
      </c>
      <c r="BX1145" s="102" t="str">
        <f t="shared" si="15"/>
        <v/>
      </c>
      <c r="BY1145" s="107" t="str">
        <f t="shared" si="5"/>
        <v/>
      </c>
      <c r="BZ1145" s="107" t="str">
        <f t="array" ref="BZ1145">IF($A1145&lt;&gt;"",INDEX(LISTA!$M$2:$N$27,MATCH($BC1145,LISTA!$N$2:$N$27,0),1),"")</f>
        <v/>
      </c>
      <c r="CA1145" s="67" t="str">
        <f t="shared" si="6"/>
        <v/>
      </c>
      <c r="CB1145" s="114" t="str">
        <f t="shared" si="7"/>
        <v/>
      </c>
      <c r="CC1145" s="114"/>
    </row>
    <row r="1146" ht="22.5" customHeight="1">
      <c r="A1146" s="59"/>
      <c r="B1146" s="115"/>
      <c r="C1146" s="54"/>
      <c r="D1146" s="56"/>
      <c r="E1146" s="69"/>
      <c r="F1146" s="73"/>
      <c r="G1146" s="79"/>
      <c r="H1146" s="79"/>
      <c r="I1146" s="67"/>
      <c r="J1146" s="79"/>
      <c r="K1146" s="67"/>
      <c r="L1146" s="79"/>
      <c r="M1146" s="83"/>
      <c r="N1146" s="78"/>
      <c r="O1146" s="80"/>
      <c r="P1146" s="70"/>
      <c r="Q1146" s="54"/>
      <c r="R1146" s="67"/>
      <c r="S1146" s="67"/>
      <c r="T1146" s="54"/>
      <c r="U1146" s="86"/>
      <c r="V1146" s="54"/>
      <c r="W1146" s="86"/>
      <c r="X1146" s="54"/>
      <c r="Y1146" s="78"/>
      <c r="Z1146" s="54"/>
      <c r="AA1146" s="70"/>
      <c r="AB1146" s="83"/>
      <c r="AC1146" s="83"/>
      <c r="AD1146" s="83"/>
      <c r="AE1146" s="83"/>
      <c r="AF1146" s="83"/>
      <c r="AG1146" s="83"/>
      <c r="AH1146" s="83"/>
      <c r="AI1146" s="83"/>
      <c r="AJ1146" s="83"/>
      <c r="AK1146" s="83"/>
      <c r="AL1146" s="83"/>
      <c r="AM1146" s="83"/>
      <c r="AN1146" s="83"/>
      <c r="AO1146" s="83"/>
      <c r="AP1146" s="83"/>
      <c r="AQ1146" s="54"/>
      <c r="AR1146" s="83"/>
      <c r="AS1146" s="83"/>
      <c r="AT1146" s="93"/>
      <c r="AU1146" s="93"/>
      <c r="AV1146" s="93"/>
      <c r="AW1146" s="83"/>
      <c r="AX1146" s="83"/>
      <c r="AY1146" s="83"/>
      <c r="AZ1146" s="83"/>
      <c r="BA1146" s="83"/>
      <c r="BB1146" s="83"/>
      <c r="BC1146" s="54"/>
      <c r="BD1146" s="54" t="str">
        <f t="shared" si="1"/>
        <v/>
      </c>
      <c r="BE1146" s="67"/>
      <c r="BF1146" s="67"/>
      <c r="BG1146" s="67"/>
      <c r="BH1146" s="67"/>
      <c r="BI1146" s="67"/>
      <c r="BJ1146" s="67"/>
      <c r="BK1146" s="67"/>
      <c r="BL1146" s="67"/>
      <c r="BM1146" s="67"/>
      <c r="BN1146" s="100"/>
      <c r="BO1146" s="102"/>
      <c r="BP1146" s="67"/>
      <c r="BQ1146" s="79"/>
      <c r="BR1146" s="67"/>
      <c r="BS1146" s="102"/>
      <c r="BT1146" s="106"/>
      <c r="BU1146" s="107"/>
      <c r="BV1146" s="108" t="str">
        <f t="shared" si="17"/>
        <v/>
      </c>
      <c r="BW1146" s="108" t="str">
        <f t="shared" si="16"/>
        <v/>
      </c>
      <c r="BX1146" s="102" t="str">
        <f t="shared" si="15"/>
        <v/>
      </c>
      <c r="BY1146" s="107" t="str">
        <f t="shared" si="5"/>
        <v/>
      </c>
      <c r="BZ1146" s="107" t="str">
        <f t="array" ref="BZ1146">IF($A1146&lt;&gt;"",INDEX(LISTA!$M$2:$N$27,MATCH($BC1146,LISTA!$N$2:$N$27,0),1),"")</f>
        <v/>
      </c>
      <c r="CA1146" s="67" t="str">
        <f t="shared" si="6"/>
        <v/>
      </c>
      <c r="CB1146" s="114" t="str">
        <f t="shared" si="7"/>
        <v/>
      </c>
      <c r="CC1146" s="114"/>
    </row>
    <row r="1147" ht="22.5" customHeight="1">
      <c r="A1147" s="59"/>
      <c r="B1147" s="115"/>
      <c r="C1147" s="54"/>
      <c r="D1147" s="56"/>
      <c r="E1147" s="69"/>
      <c r="F1147" s="73"/>
      <c r="G1147" s="79"/>
      <c r="H1147" s="79"/>
      <c r="I1147" s="67"/>
      <c r="J1147" s="79"/>
      <c r="K1147" s="67"/>
      <c r="L1147" s="79"/>
      <c r="M1147" s="83"/>
      <c r="N1147" s="78"/>
      <c r="O1147" s="80"/>
      <c r="P1147" s="70"/>
      <c r="Q1147" s="54"/>
      <c r="R1147" s="67"/>
      <c r="S1147" s="67"/>
      <c r="T1147" s="54"/>
      <c r="U1147" s="86"/>
      <c r="V1147" s="54"/>
      <c r="W1147" s="86"/>
      <c r="X1147" s="54"/>
      <c r="Y1147" s="78"/>
      <c r="Z1147" s="54"/>
      <c r="AA1147" s="70"/>
      <c r="AB1147" s="83"/>
      <c r="AC1147" s="83"/>
      <c r="AD1147" s="83"/>
      <c r="AE1147" s="83"/>
      <c r="AF1147" s="83"/>
      <c r="AG1147" s="83"/>
      <c r="AH1147" s="83"/>
      <c r="AI1147" s="83"/>
      <c r="AJ1147" s="83"/>
      <c r="AK1147" s="83"/>
      <c r="AL1147" s="83"/>
      <c r="AM1147" s="83"/>
      <c r="AN1147" s="83"/>
      <c r="AO1147" s="83"/>
      <c r="AP1147" s="83"/>
      <c r="AQ1147" s="54"/>
      <c r="AR1147" s="83"/>
      <c r="AS1147" s="83"/>
      <c r="AT1147" s="93"/>
      <c r="AU1147" s="93"/>
      <c r="AV1147" s="93"/>
      <c r="AW1147" s="83"/>
      <c r="AX1147" s="83"/>
      <c r="AY1147" s="83"/>
      <c r="AZ1147" s="83"/>
      <c r="BA1147" s="83"/>
      <c r="BB1147" s="83"/>
      <c r="BC1147" s="54"/>
      <c r="BD1147" s="54" t="str">
        <f t="shared" si="1"/>
        <v/>
      </c>
      <c r="BE1147" s="67"/>
      <c r="BF1147" s="67"/>
      <c r="BG1147" s="67"/>
      <c r="BH1147" s="67"/>
      <c r="BI1147" s="67"/>
      <c r="BJ1147" s="67"/>
      <c r="BK1147" s="67"/>
      <c r="BL1147" s="67"/>
      <c r="BM1147" s="67"/>
      <c r="BN1147" s="100"/>
      <c r="BO1147" s="102"/>
      <c r="BP1147" s="67"/>
      <c r="BQ1147" s="79"/>
      <c r="BR1147" s="67"/>
      <c r="BS1147" s="102"/>
      <c r="BT1147" s="106"/>
      <c r="BU1147" s="107"/>
      <c r="BV1147" s="108" t="str">
        <f t="shared" si="17"/>
        <v/>
      </c>
      <c r="BW1147" s="108" t="str">
        <f t="shared" si="16"/>
        <v/>
      </c>
      <c r="BX1147" s="102" t="str">
        <f t="shared" si="15"/>
        <v/>
      </c>
      <c r="BY1147" s="107" t="str">
        <f t="shared" si="5"/>
        <v/>
      </c>
      <c r="BZ1147" s="107" t="str">
        <f t="array" ref="BZ1147">IF($A1147&lt;&gt;"",INDEX(LISTA!$M$2:$N$27,MATCH($BC1147,LISTA!$N$2:$N$27,0),1),"")</f>
        <v/>
      </c>
      <c r="CA1147" s="67" t="str">
        <f t="shared" si="6"/>
        <v/>
      </c>
      <c r="CB1147" s="114" t="str">
        <f t="shared" si="7"/>
        <v/>
      </c>
      <c r="CC1147" s="114"/>
    </row>
    <row r="1148" ht="22.5" customHeight="1">
      <c r="A1148" s="59"/>
      <c r="B1148" s="115"/>
      <c r="C1148" s="54"/>
      <c r="D1148" s="56"/>
      <c r="E1148" s="69"/>
      <c r="F1148" s="73"/>
      <c r="G1148" s="79"/>
      <c r="H1148" s="79"/>
      <c r="I1148" s="67"/>
      <c r="J1148" s="79"/>
      <c r="K1148" s="67"/>
      <c r="L1148" s="79"/>
      <c r="M1148" s="83"/>
      <c r="N1148" s="78"/>
      <c r="O1148" s="80"/>
      <c r="P1148" s="70"/>
      <c r="Q1148" s="54"/>
      <c r="R1148" s="67"/>
      <c r="S1148" s="67"/>
      <c r="T1148" s="54"/>
      <c r="U1148" s="86"/>
      <c r="V1148" s="54"/>
      <c r="W1148" s="86"/>
      <c r="X1148" s="54"/>
      <c r="Y1148" s="78"/>
      <c r="Z1148" s="54"/>
      <c r="AA1148" s="70"/>
      <c r="AB1148" s="83"/>
      <c r="AC1148" s="83"/>
      <c r="AD1148" s="83"/>
      <c r="AE1148" s="83"/>
      <c r="AF1148" s="83"/>
      <c r="AG1148" s="83"/>
      <c r="AH1148" s="83"/>
      <c r="AI1148" s="83"/>
      <c r="AJ1148" s="83"/>
      <c r="AK1148" s="83"/>
      <c r="AL1148" s="83"/>
      <c r="AM1148" s="83"/>
      <c r="AN1148" s="83"/>
      <c r="AO1148" s="83"/>
      <c r="AP1148" s="83"/>
      <c r="AQ1148" s="54"/>
      <c r="AR1148" s="83"/>
      <c r="AS1148" s="83"/>
      <c r="AT1148" s="93"/>
      <c r="AU1148" s="93"/>
      <c r="AV1148" s="93"/>
      <c r="AW1148" s="83"/>
      <c r="AX1148" s="83"/>
      <c r="AY1148" s="83"/>
      <c r="AZ1148" s="83"/>
      <c r="BA1148" s="83"/>
      <c r="BB1148" s="83"/>
      <c r="BC1148" s="54"/>
      <c r="BD1148" s="54" t="str">
        <f t="shared" si="1"/>
        <v/>
      </c>
      <c r="BE1148" s="67"/>
      <c r="BF1148" s="67"/>
      <c r="BG1148" s="67"/>
      <c r="BH1148" s="67"/>
      <c r="BI1148" s="67"/>
      <c r="BJ1148" s="67"/>
      <c r="BK1148" s="67"/>
      <c r="BL1148" s="67"/>
      <c r="BM1148" s="67"/>
      <c r="BN1148" s="100"/>
      <c r="BO1148" s="102"/>
      <c r="BP1148" s="67"/>
      <c r="BQ1148" s="79"/>
      <c r="BR1148" s="67"/>
      <c r="BS1148" s="102"/>
      <c r="BT1148" s="106"/>
      <c r="BU1148" s="107"/>
      <c r="BV1148" s="108" t="str">
        <f t="shared" si="17"/>
        <v/>
      </c>
      <c r="BW1148" s="108" t="str">
        <f t="shared" si="16"/>
        <v/>
      </c>
      <c r="BX1148" s="102" t="str">
        <f t="shared" si="15"/>
        <v/>
      </c>
      <c r="BY1148" s="107" t="str">
        <f t="shared" si="5"/>
        <v/>
      </c>
      <c r="BZ1148" s="107" t="str">
        <f t="array" ref="BZ1148">IF($A1148&lt;&gt;"",INDEX(LISTA!$M$2:$N$27,MATCH($BC1148,LISTA!$N$2:$N$27,0),1),"")</f>
        <v/>
      </c>
      <c r="CA1148" s="67" t="str">
        <f t="shared" si="6"/>
        <v/>
      </c>
      <c r="CB1148" s="114" t="str">
        <f t="shared" si="7"/>
        <v/>
      </c>
      <c r="CC1148" s="114"/>
    </row>
  </sheetData>
  <conditionalFormatting sqref="E542:E543">
    <cfRule type="expression" dxfId="9" priority="1">
      <formula>$V542=TODAY()</formula>
    </cfRule>
  </conditionalFormatting>
  <conditionalFormatting sqref="L2:L1148">
    <cfRule type="expression" dxfId="27" priority="2">
      <formula>COUNTIF(L:L,$L2)&gt;1</formula>
    </cfRule>
  </conditionalFormatting>
  <conditionalFormatting sqref="J2:J1148">
    <cfRule type="expression" dxfId="27" priority="3">
      <formula>COUNTIF(J:J,$J2)&gt;1</formula>
    </cfRule>
  </conditionalFormatting>
  <conditionalFormatting sqref="G2:G1148">
    <cfRule type="expression" dxfId="27" priority="4">
      <formula>COUNTIF(G:G,$G2)&gt;1</formula>
    </cfRule>
  </conditionalFormatting>
  <conditionalFormatting sqref="H2:H1148">
    <cfRule type="expression" dxfId="27" priority="5">
      <formula>COUNTIF(H:H,$H2)&gt;1</formula>
    </cfRule>
  </conditionalFormatting>
  <conditionalFormatting sqref="A2:CC1148">
    <cfRule type="expression" dxfId="19" priority="6">
      <formula>$BY2=5</formula>
    </cfRule>
  </conditionalFormatting>
  <conditionalFormatting sqref="A2:CC1148">
    <cfRule type="expression" dxfId="23" priority="7">
      <formula>$BY2=4</formula>
    </cfRule>
  </conditionalFormatting>
  <conditionalFormatting sqref="A2:CC1148">
    <cfRule type="expression" dxfId="28" priority="8">
      <formula>$BY2=3</formula>
    </cfRule>
  </conditionalFormatting>
  <conditionalFormatting sqref="A2:CC1148">
    <cfRule type="expression" dxfId="24" priority="9">
      <formula>$BY2=2</formula>
    </cfRule>
  </conditionalFormatting>
  <conditionalFormatting sqref="A2:CC1148">
    <cfRule type="expression" dxfId="21" priority="10">
      <formula>$BY2=1</formula>
    </cfRule>
  </conditionalFormatting>
  <conditionalFormatting sqref="A2:CC1148">
    <cfRule type="expression" dxfId="26" priority="11">
      <formula>AND($BY2=0,$BY2&lt;&gt;"")</formula>
    </cfRule>
  </conditionalFormatting>
  <dataValidations>
    <dataValidation type="list" allowBlank="1" sqref="D2:D1148">
      <formula1>#REF!</formula1>
    </dataValidation>
    <dataValidation type="custom" allowBlank="1" showDropDown="1" sqref="BT2:BT1148 BV2:BW1148">
      <formula1>OR(NOT(ISERROR(DATEVALUE(BT2))), AND(ISNUMBER(BT2), LEFT(CELL("format", BT2))="D"))</formula1>
    </dataValidation>
    <dataValidation type="list" allowBlank="1" sqref="B2:B1148">
      <formula1>#REF!</formula1>
    </dataValidation>
    <dataValidation type="custom" allowBlank="1" showDropDown="1" sqref="E2:E1148">
      <formula1>OR(NOT(ISERROR(DATEVALUE(E2))), AND(ISNUMBER(E2), LEFT(CELL("format", E2))="D"))</formula1>
    </dataValidation>
    <dataValidation type="custom" allowBlank="1" showDropDown="1" sqref="BY2:BZ1148">
      <formula1>AND(ISNUMBER(BY2),(NOT(OR(NOT(ISERROR(DATEVALUE(BY2))), AND(ISNUMBER(BY2), LEFT(CELL("format", BY2))="D")))))</formula1>
    </dataValidation>
    <dataValidation allowBlank="1" showDropDown="1" sqref="G2:H1148 J2:J1148 L2:L1148 AT2:AV1148"/>
  </dataValidations>
  <hyperlinks>
    <hyperlink r:id="rId4" ref="AS84"/>
    <hyperlink r:id="rId5" ref="AS298"/>
    <hyperlink r:id="rId6" ref="AS437"/>
  </hyperlinks>
  <drawing r:id="rId7"/>
  <legacy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4.5"/>
    <col customWidth="1" min="2" max="2" width="14.63"/>
    <col customWidth="1" min="3" max="3" width="19.0"/>
    <col customWidth="1" min="4" max="4" width="8.25"/>
    <col customWidth="1" min="5" max="5" width="17.38"/>
    <col customWidth="1" min="6" max="6" width="8.13"/>
    <col customWidth="1" min="7" max="7" width="8.0"/>
    <col customWidth="1" min="8" max="8" width="7.13"/>
    <col customWidth="1" min="9" max="9" width="7.25"/>
    <col customWidth="1" min="10" max="10" width="8.0"/>
    <col customWidth="1" min="11" max="12" width="10.88"/>
    <col customWidth="1" min="13" max="13" width="31.75"/>
    <col customWidth="1" min="14" max="14" width="8.63"/>
    <col customWidth="1" min="15" max="15" width="10.13"/>
    <col customWidth="1" min="16" max="16" width="15.0"/>
    <col customWidth="1" min="17" max="17" width="13.63"/>
    <col customWidth="1" min="18" max="18" width="11.0"/>
    <col customWidth="1" min="19" max="19" width="10.38"/>
    <col customWidth="1" min="20" max="20" width="16.13"/>
    <col customWidth="1" min="21" max="21" width="8.0"/>
    <col customWidth="1" min="22" max="22" width="9.75"/>
    <col customWidth="1" min="23" max="23" width="5.13"/>
    <col customWidth="1" min="24" max="24" width="6.38"/>
    <col customWidth="1" min="25" max="25" width="11.0"/>
    <col customWidth="1" min="26" max="26" width="8.38"/>
    <col customWidth="1" min="27" max="27" width="3.5"/>
  </cols>
  <sheetData>
    <row r="1">
      <c r="A1" s="1"/>
      <c r="B1" s="3" t="s">
        <v>0</v>
      </c>
      <c r="C1" s="4"/>
      <c r="D1" s="6"/>
      <c r="E1" s="8" t="s">
        <v>3</v>
      </c>
      <c r="F1" s="4"/>
      <c r="H1" s="1"/>
      <c r="I1" s="10"/>
      <c r="J1" s="10"/>
      <c r="K1" s="10"/>
      <c r="L1" s="11" t="s">
        <v>5</v>
      </c>
      <c r="M1" s="12"/>
      <c r="N1" s="4"/>
      <c r="O1" s="15" t="s">
        <v>8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5">
        <f>TODAY()-1</f>
        <v>46267</v>
      </c>
      <c r="C2" s="7"/>
      <c r="D2" s="23"/>
      <c r="E2" s="27" t="str">
        <f>IFERROR(__xludf.DUMMYFUNCTION("IFERROR(FILTER(LISTA!$G$2:$H$9,LISTA!$H$2:$H$9&gt;0),"""")"),"")</f>
        <v/>
      </c>
      <c r="F2" s="10"/>
      <c r="H2" s="1"/>
      <c r="I2" s="10"/>
      <c r="J2" s="10"/>
      <c r="K2" s="10"/>
      <c r="L2" s="28">
        <v>1.0</v>
      </c>
      <c r="M2" s="29" t="s">
        <v>26</v>
      </c>
      <c r="N2" s="30">
        <f>COUNTA($B$13:$B41)</f>
        <v>0</v>
      </c>
      <c r="O2" s="2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/>
      <c r="C3" s="22"/>
      <c r="D3" s="1"/>
      <c r="E3" s="27"/>
      <c r="F3" s="10"/>
      <c r="H3" s="1"/>
      <c r="I3" s="10"/>
      <c r="J3" s="10"/>
      <c r="K3" s="10"/>
      <c r="L3" s="28">
        <v>2.0</v>
      </c>
      <c r="M3" s="29" t="s">
        <v>35</v>
      </c>
      <c r="N3" s="30">
        <f>COUNTIF($R$13:$R$41,"FTTH")</f>
        <v>0</v>
      </c>
      <c r="O3" s="32" t="str">
        <f t="shared" ref="O3:O8" si="1">N3/$N$2</f>
        <v>#DIV/0!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4" t="s">
        <v>47</v>
      </c>
      <c r="C4" s="35">
        <f>COUNTA($B$13:$B$41)</f>
        <v>0</v>
      </c>
      <c r="D4" s="36"/>
      <c r="E4" s="27"/>
      <c r="F4" s="10"/>
      <c r="H4" s="1"/>
      <c r="I4" s="10"/>
      <c r="J4" s="10"/>
      <c r="K4" s="10"/>
      <c r="L4" s="28">
        <v>3.0</v>
      </c>
      <c r="M4" s="29" t="s">
        <v>54</v>
      </c>
      <c r="N4" s="30">
        <f>COUNTIFS($S$13:$S41,"1 PLAY*",$AA$13:$AA41,"&gt;600")</f>
        <v>0</v>
      </c>
      <c r="O4" s="32" t="str">
        <f t="shared" si="1"/>
        <v>#DIV/0!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9" t="s">
        <v>61</v>
      </c>
      <c r="C5" s="41">
        <f>COUNTIF($X$13:$X41,"&gt;0")</f>
        <v>0</v>
      </c>
      <c r="D5" s="36"/>
      <c r="E5" s="27"/>
      <c r="F5" s="10"/>
      <c r="H5" s="1"/>
      <c r="I5" s="10"/>
      <c r="J5" s="10"/>
      <c r="K5" s="10"/>
      <c r="L5" s="28">
        <v>4.0</v>
      </c>
      <c r="M5" s="29" t="s">
        <v>68</v>
      </c>
      <c r="N5" s="30">
        <f>COUNTIFS($S$13:$S41,"2 PLAY*",$AA$13:$AA41,"&gt;600")</f>
        <v>0</v>
      </c>
      <c r="O5" s="32" t="str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2" t="s">
        <v>74</v>
      </c>
      <c r="C6" s="44">
        <f>IFERROR(IF(C4&gt;0,C5/C4,0),"")</f>
        <v>0</v>
      </c>
      <c r="D6" s="36"/>
      <c r="E6" s="1"/>
      <c r="F6" s="27"/>
      <c r="G6" s="10"/>
      <c r="H6" s="1"/>
      <c r="I6" s="10"/>
      <c r="J6" s="10"/>
      <c r="K6" s="10"/>
      <c r="L6" s="28">
        <v>5.0</v>
      </c>
      <c r="M6" s="29" t="s">
        <v>83</v>
      </c>
      <c r="N6" s="30">
        <f>COUNTIFS($S$13:$S41,"2 PLAY + TV*",$AA$13:$AA41,"&gt;300")</f>
        <v>0</v>
      </c>
      <c r="O6" s="32" t="str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6"/>
      <c r="C7" s="1"/>
      <c r="D7" s="1"/>
      <c r="E7" s="1"/>
      <c r="F7" s="27"/>
      <c r="G7" s="10"/>
      <c r="H7" s="1"/>
      <c r="I7" s="10"/>
      <c r="J7" s="10"/>
      <c r="K7" s="10"/>
      <c r="L7" s="28">
        <v>6.0</v>
      </c>
      <c r="M7" s="29" t="s">
        <v>89</v>
      </c>
      <c r="N7" s="30">
        <f>COUNTIFS($S$13:$S41,"3 PLAY*",$AA$13:$AA41,"&gt;300")</f>
        <v>0</v>
      </c>
      <c r="O7" s="32" t="str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6"/>
      <c r="C8" s="1"/>
      <c r="D8" s="1"/>
      <c r="E8" s="1"/>
      <c r="F8" s="27"/>
      <c r="G8" s="10"/>
      <c r="H8" s="1"/>
      <c r="I8" s="10"/>
      <c r="J8" s="10"/>
      <c r="K8" s="10"/>
      <c r="L8" s="28">
        <v>7.0</v>
      </c>
      <c r="M8" s="29" t="s">
        <v>96</v>
      </c>
      <c r="N8" s="30">
        <f>COUNTIFS($R$13:$R41,"3 PLAY*",$AA$13:$AA41,"&gt;300")</f>
        <v>0</v>
      </c>
      <c r="O8" s="32" t="str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6"/>
      <c r="C9" s="1"/>
      <c r="D9" s="1"/>
      <c r="E9" s="1"/>
      <c r="F9" s="27"/>
      <c r="G9" s="10"/>
      <c r="H9" s="1"/>
      <c r="I9" s="10"/>
      <c r="J9" s="10"/>
      <c r="K9" s="10"/>
      <c r="L9" s="51"/>
      <c r="M9" s="51"/>
      <c r="N9" s="51"/>
      <c r="O9" s="5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6"/>
      <c r="C10" s="1"/>
      <c r="D10" s="1"/>
      <c r="E10" s="1"/>
      <c r="F10" s="46"/>
      <c r="G10" s="10"/>
      <c r="H10" s="1"/>
      <c r="I10" s="10"/>
      <c r="J10" s="10"/>
      <c r="K10" s="10"/>
      <c r="L10" s="1"/>
      <c r="M10" s="29" t="s">
        <v>37</v>
      </c>
      <c r="N10" s="30">
        <f>COUNTIF($W$13:$W41,"&lt;4")</f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6"/>
      <c r="C11" s="1"/>
      <c r="D11" s="1"/>
      <c r="E11" s="1"/>
      <c r="F11" s="46"/>
      <c r="G11" s="10"/>
      <c r="H11" s="1"/>
      <c r="I11" s="10"/>
      <c r="J11" s="10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1"/>
    </row>
    <row r="12">
      <c r="A12" s="65" t="s">
        <v>76</v>
      </c>
      <c r="B12" s="74" t="str">
        <f>IFERROR(__xludf.DUMMYFUNCTION("QUERY(PREVENTAS!A1:CD41,""SELECT A,B,D,E,F,G,H,I,J,K,L,M,AT,BB,BC,BD,BE,BL,BM,BN,BO WHERE BV= date '""&amp;TEXT(TODAY()-1,""yyyy-mm-dd"")&amp;""'"")"),"Marca temporal")</f>
        <v>Marca temporal</v>
      </c>
      <c r="C12" s="65" t="str">
        <f>IFERROR(__xludf.DUMMYFUNCTION("""COMPUTED_VALUE"""),"STATUS")</f>
        <v>STATUS</v>
      </c>
      <c r="D12" s="65" t="str">
        <f>IFERROR(__xludf.DUMMYFUNCTION("""COMPUTED_VALUE"""),"ASESOR BO")</f>
        <v>ASESOR BO</v>
      </c>
      <c r="E12" s="65" t="str">
        <f>IFERROR(__xludf.DUMMYFUNCTION("""COMPUTED_VALUE"""),"PROGRAMACION BO")</f>
        <v>PROGRAMACION BO</v>
      </c>
      <c r="F12" s="65" t="str">
        <f>IFERROR(__xludf.DUMMYFUNCTION("""COMPUTED_VALUE"""),"COMENTARIOS BO")</f>
        <v>COMENTARIOS BO</v>
      </c>
      <c r="G12" s="65" t="str">
        <f>IFERROR(__xludf.DUMMYFUNCTION("""COMPUTED_VALUE"""),"SEC")</f>
        <v>SEC</v>
      </c>
      <c r="H12" s="65" t="str">
        <f>IFERROR(__xludf.DUMMYFUNCTION("""COMPUTED_VALUE"""),"SOT")</f>
        <v>SOT</v>
      </c>
      <c r="I12" s="65" t="str">
        <f>IFERROR(__xludf.DUMMYFUNCTION("""COMPUTED_VALUE"""),"ASESOR")</f>
        <v>ASESOR</v>
      </c>
      <c r="J12" s="65" t="str">
        <f>IFERROR(__xludf.DUMMYFUNCTION("""COMPUTED_VALUE"""),"LEAD")</f>
        <v>LEAD</v>
      </c>
      <c r="K12" s="65" t="str">
        <f>IFERROR(__xludf.DUMMYFUNCTION("""COMPUTED_VALUE"""),"TIPO DOCUMENTO")</f>
        <v>TIPO DOCUMENTO</v>
      </c>
      <c r="L12" s="65" t="str">
        <f>IFERROR(__xludf.DUMMYFUNCTION("""COMPUTED_VALUE"""),"N° DOCUMENTO")</f>
        <v>N° DOCUMENTO</v>
      </c>
      <c r="M12" s="65" t="str">
        <f>IFERROR(__xludf.DUMMYFUNCTION("""COMPUTED_VALUE"""),"NOMBRE COMPLETO CLIENTE")</f>
        <v>NOMBRE COMPLETO CLIENTE</v>
      </c>
      <c r="N12" s="65" t="str">
        <f>IFERROR(__xludf.DUMMYFUNCTION("""COMPUTED_VALUE"""),"TELF REGISTRO")</f>
        <v>TELF REGISTRO</v>
      </c>
      <c r="O12" s="65" t="str">
        <f>IFERROR(__xludf.DUMMYFUNCTION("""COMPUTED_VALUE"""),"PLANO")</f>
        <v>PLANO</v>
      </c>
      <c r="P12" s="65" t="str">
        <f>IFERROR(__xludf.DUMMYFUNCTION("""COMPUTED_VALUE"""),"DEPARTAMENTO")</f>
        <v>DEPARTAMENTO</v>
      </c>
      <c r="Q12" s="65" t="str">
        <f>IFERROR(__xludf.DUMMYFUNCTION("""COMPUTED_VALUE"""),"PROV / DISTRITO")</f>
        <v>PROV / DISTRITO</v>
      </c>
      <c r="R12" s="65" t="str">
        <f>IFERROR(__xludf.DUMMYFUNCTION("""COMPUTED_VALUE"""),"TECNOLOGIA")</f>
        <v>TECNOLOGIA</v>
      </c>
      <c r="S12" s="65" t="str">
        <f>IFERROR(__xludf.DUMMYFUNCTION("""COMPUTED_VALUE"""),"SERVICIO A CONTRATAR")</f>
        <v>SERVICIO A CONTRATAR</v>
      </c>
      <c r="T12" s="65" t="str">
        <f>IFERROR(__xludf.DUMMYFUNCTION("""COMPUTED_VALUE"""),"OFERTA COMERCIAL ALTA NUEVA")</f>
        <v>OFERTA COMERCIAL ALTA NUEVA</v>
      </c>
      <c r="U12" s="65" t="str">
        <f>IFERROR(__xludf.DUMMYFUNCTION("""COMPUTED_VALUE"""),"PRECIO REGULAR")</f>
        <v>PRECIO REGULAR</v>
      </c>
      <c r="V12" s="65" t="str">
        <f>IFERROR(__xludf.DUMMYFUNCTION("""COMPUTED_VALUE"""),"VELOCIDAD PLAN")</f>
        <v>VELOCIDAD PLAN</v>
      </c>
      <c r="W12" s="65" t="s">
        <v>92</v>
      </c>
      <c r="X12" s="65" t="s">
        <v>95</v>
      </c>
      <c r="Y12" s="85" t="s">
        <v>120</v>
      </c>
      <c r="Z12" s="85" t="s">
        <v>121</v>
      </c>
      <c r="AA12" s="85"/>
    </row>
    <row r="13">
      <c r="A13" s="87" t="str">
        <f t="array" ref="A13">IF(COUNTA($B$13:$B41)&gt;0,SEQUENCE(COUNTA($B$13:$B41),1),"")</f>
        <v/>
      </c>
      <c r="B13" s="88"/>
      <c r="C13" s="89"/>
      <c r="D13" s="90"/>
      <c r="E13" s="90"/>
      <c r="F13" s="91"/>
      <c r="G13" s="90"/>
      <c r="H13" s="92"/>
      <c r="I13" s="90"/>
      <c r="J13" s="90"/>
      <c r="K13" s="90"/>
      <c r="L13" s="90"/>
      <c r="M13" s="89"/>
      <c r="N13" s="90"/>
      <c r="O13" s="90"/>
      <c r="P13" s="90"/>
      <c r="Q13" s="90"/>
      <c r="R13" s="90"/>
      <c r="S13" s="90"/>
      <c r="T13" s="90"/>
      <c r="U13" s="90"/>
      <c r="V13" s="90"/>
      <c r="W13" s="90" t="str">
        <f t="array" ref="W13">IF($B13&lt;&gt;"", INDEX(LISTA!$M$2:$N$27,MATCH($P13,LISTA!$N$2:$N$27,0),1),"")</f>
        <v/>
      </c>
      <c r="X13" s="90" t="str">
        <f t="shared" ref="X13:X41" si="2">IF($B13&lt;&gt;"",VALUE(LEFT($C13,1)),"")</f>
        <v/>
      </c>
      <c r="Y13" s="90" t="str">
        <f t="array" ref="Y13">IF(B13&lt;&gt;"", INDEX(LISTA!$F$2:$G$9,MATCH($X13,LISTA!$F$2:$F$9,0),2),"")</f>
        <v/>
      </c>
      <c r="Z13" s="94" t="str">
        <f t="shared" ref="Z13:Z41" si="3">IF($B13&lt;&gt;"", IF($W13&lt;=2,"LIMA",IF($W13=16,"LIMA PROVINCIA",IF(AND($W13&gt;=3,$W13&lt;&gt;16),"PROVINCIA",""))),"")</f>
        <v/>
      </c>
      <c r="AA13" s="96" t="str">
        <f t="shared" ref="AA13:AA41" si="4">IF(V13&lt;&gt;"",VALUE(LEFT(V13,LEN(V13)-4)),"")</f>
        <v/>
      </c>
    </row>
    <row r="14">
      <c r="A14" s="97"/>
      <c r="B14" s="98"/>
      <c r="C14" s="99"/>
      <c r="D14" s="101"/>
      <c r="E14" s="101"/>
      <c r="F14" s="103"/>
      <c r="G14" s="101"/>
      <c r="H14" s="105"/>
      <c r="I14" s="101"/>
      <c r="J14" s="101"/>
      <c r="K14" s="101"/>
      <c r="L14" s="101"/>
      <c r="M14" s="99"/>
      <c r="N14" s="101"/>
      <c r="O14" s="101"/>
      <c r="P14" s="101"/>
      <c r="Q14" s="101"/>
      <c r="R14" s="101"/>
      <c r="S14" s="101"/>
      <c r="T14" s="101"/>
      <c r="U14" s="101"/>
      <c r="V14" s="101"/>
      <c r="W14" s="90" t="str">
        <f t="array" ref="W14">IF($B14&lt;&gt;"", INDEX(LISTA!$M$2:$N$27,MATCH($P14,LISTA!$N$2:$N$27,0),1),"")</f>
        <v/>
      </c>
      <c r="X14" s="101" t="str">
        <f t="shared" si="2"/>
        <v/>
      </c>
      <c r="Y14" s="101" t="str">
        <f t="array" ref="Y14">IF(B14&lt;&gt;"", INDEX(LISTA!$F$2:$G$9,MATCH($X14,LISTA!$F$2:$F$9,0),2),"")</f>
        <v/>
      </c>
      <c r="Z14" s="110" t="str">
        <f t="shared" si="3"/>
        <v/>
      </c>
      <c r="AA14" s="96" t="str">
        <f t="shared" si="4"/>
        <v/>
      </c>
    </row>
    <row r="15">
      <c r="A15" s="111"/>
      <c r="B15" s="103"/>
      <c r="C15" s="99"/>
      <c r="D15" s="101"/>
      <c r="E15" s="101"/>
      <c r="F15" s="103"/>
      <c r="G15" s="101"/>
      <c r="H15" s="112"/>
      <c r="I15" s="101"/>
      <c r="J15" s="101"/>
      <c r="K15" s="101"/>
      <c r="L15" s="101"/>
      <c r="M15" s="99"/>
      <c r="N15" s="101"/>
      <c r="O15" s="101"/>
      <c r="P15" s="101"/>
      <c r="Q15" s="101"/>
      <c r="R15" s="101"/>
      <c r="S15" s="101"/>
      <c r="T15" s="101"/>
      <c r="U15" s="101"/>
      <c r="V15" s="101"/>
      <c r="W15" s="90" t="str">
        <f t="array" ref="W15">IF($B15&lt;&gt;"", INDEX(LISTA!$M$2:$N$27,MATCH($P15,LISTA!$N$2:$N$27,0),1),"")</f>
        <v/>
      </c>
      <c r="X15" s="101" t="str">
        <f t="shared" si="2"/>
        <v/>
      </c>
      <c r="Y15" s="101" t="str">
        <f t="array" ref="Y15">IF(B15&lt;&gt;"", INDEX(LISTA!$F$2:$G$9,MATCH($X15,LISTA!$F$2:$F$9,0),2),"")</f>
        <v/>
      </c>
      <c r="Z15" s="110" t="str">
        <f t="shared" si="3"/>
        <v/>
      </c>
      <c r="AA15" s="96" t="str">
        <f t="shared" si="4"/>
        <v/>
      </c>
    </row>
    <row r="16">
      <c r="A16" s="111"/>
      <c r="B16" s="103"/>
      <c r="C16" s="99"/>
      <c r="D16" s="101"/>
      <c r="E16" s="101"/>
      <c r="F16" s="103"/>
      <c r="G16" s="101"/>
      <c r="H16" s="112"/>
      <c r="I16" s="101"/>
      <c r="J16" s="101"/>
      <c r="K16" s="101"/>
      <c r="L16" s="101"/>
      <c r="M16" s="99"/>
      <c r="N16" s="101"/>
      <c r="O16" s="101"/>
      <c r="P16" s="101"/>
      <c r="Q16" s="101"/>
      <c r="R16" s="101"/>
      <c r="S16" s="101"/>
      <c r="T16" s="101"/>
      <c r="U16" s="101"/>
      <c r="V16" s="101"/>
      <c r="W16" s="90" t="str">
        <f t="array" ref="W16">IF($B16&lt;&gt;"", INDEX(LISTA!$M$2:$N$27,MATCH($P16,LISTA!$N$2:$N$27,0),1),"")</f>
        <v/>
      </c>
      <c r="X16" s="101" t="str">
        <f t="shared" si="2"/>
        <v/>
      </c>
      <c r="Y16" s="101" t="str">
        <f t="array" ref="Y16">IF(B16&lt;&gt;"", INDEX(LISTA!$F$2:$G$9,MATCH($X16,LISTA!$F$2:$F$9,0),2),"")</f>
        <v/>
      </c>
      <c r="Z16" s="110" t="str">
        <f t="shared" si="3"/>
        <v/>
      </c>
      <c r="AA16" s="96" t="str">
        <f t="shared" si="4"/>
        <v/>
      </c>
    </row>
    <row r="17">
      <c r="A17" s="111"/>
      <c r="B17" s="103"/>
      <c r="C17" s="99"/>
      <c r="D17" s="101"/>
      <c r="E17" s="101"/>
      <c r="F17" s="103"/>
      <c r="G17" s="101"/>
      <c r="H17" s="112"/>
      <c r="I17" s="101"/>
      <c r="J17" s="101"/>
      <c r="K17" s="101"/>
      <c r="L17" s="101"/>
      <c r="M17" s="99"/>
      <c r="N17" s="101"/>
      <c r="O17" s="101"/>
      <c r="P17" s="101"/>
      <c r="Q17" s="101"/>
      <c r="R17" s="101"/>
      <c r="S17" s="101"/>
      <c r="T17" s="101"/>
      <c r="U17" s="101"/>
      <c r="V17" s="101"/>
      <c r="W17" s="90" t="str">
        <f t="array" ref="W17">IF($B17&lt;&gt;"", INDEX(LISTA!$M$2:$N$27,MATCH($P17,LISTA!$N$2:$N$27,0),1),"")</f>
        <v/>
      </c>
      <c r="X17" s="101" t="str">
        <f t="shared" si="2"/>
        <v/>
      </c>
      <c r="Y17" s="101" t="str">
        <f t="array" ref="Y17">IF(B17&lt;&gt;"", INDEX(LISTA!$F$2:$G$9,MATCH($X17,LISTA!$F$2:$F$9,0),2),"")</f>
        <v/>
      </c>
      <c r="Z17" s="110" t="str">
        <f t="shared" si="3"/>
        <v/>
      </c>
      <c r="AA17" s="96" t="str">
        <f t="shared" si="4"/>
        <v/>
      </c>
    </row>
    <row r="18">
      <c r="A18" s="111"/>
      <c r="B18" s="116"/>
      <c r="C18" s="99"/>
      <c r="D18" s="101"/>
      <c r="E18" s="117"/>
      <c r="F18" s="103"/>
      <c r="G18" s="101"/>
      <c r="H18" s="112"/>
      <c r="I18" s="101"/>
      <c r="J18" s="101"/>
      <c r="K18" s="101"/>
      <c r="L18" s="101"/>
      <c r="M18" s="99"/>
      <c r="N18" s="101"/>
      <c r="O18" s="101"/>
      <c r="P18" s="101"/>
      <c r="Q18" s="101"/>
      <c r="R18" s="101"/>
      <c r="S18" s="101"/>
      <c r="T18" s="101"/>
      <c r="U18" s="118"/>
      <c r="V18" s="101"/>
      <c r="W18" s="90" t="str">
        <f t="array" ref="W18">IF($B18&lt;&gt;"", INDEX(LISTA!$M$2:$N$27,MATCH($P18,LISTA!$N$2:$N$27,0),1),"")</f>
        <v/>
      </c>
      <c r="X18" s="101" t="str">
        <f t="shared" si="2"/>
        <v/>
      </c>
      <c r="Y18" s="101" t="str">
        <f t="array" ref="Y18">IF(B18&lt;&gt;"", INDEX(LISTA!$F$2:$G$9,MATCH($X18,LISTA!$F$2:$F$9,0),2),"")</f>
        <v/>
      </c>
      <c r="Z18" s="110" t="str">
        <f t="shared" si="3"/>
        <v/>
      </c>
      <c r="AA18" s="96" t="str">
        <f t="shared" si="4"/>
        <v/>
      </c>
    </row>
    <row r="19">
      <c r="A19" s="111"/>
      <c r="B19" s="116"/>
      <c r="C19" s="99"/>
      <c r="D19" s="101"/>
      <c r="E19" s="117"/>
      <c r="F19" s="103"/>
      <c r="G19" s="101"/>
      <c r="H19" s="112"/>
      <c r="I19" s="119"/>
      <c r="J19" s="101"/>
      <c r="K19" s="101"/>
      <c r="L19" s="101"/>
      <c r="M19" s="99"/>
      <c r="N19" s="101"/>
      <c r="O19" s="101"/>
      <c r="P19" s="101"/>
      <c r="Q19" s="101"/>
      <c r="R19" s="101"/>
      <c r="S19" s="101"/>
      <c r="T19" s="101"/>
      <c r="U19" s="118"/>
      <c r="V19" s="101"/>
      <c r="W19" s="90" t="str">
        <f t="array" ref="W19">IF($B19&lt;&gt;"", INDEX(LISTA!$M$2:$N$27,MATCH($P19,LISTA!$N$2:$N$27,0),1),"")</f>
        <v/>
      </c>
      <c r="X19" s="101" t="str">
        <f t="shared" si="2"/>
        <v/>
      </c>
      <c r="Y19" s="101" t="str">
        <f t="array" ref="Y19">IF(B19&lt;&gt;"", INDEX(LISTA!$F$2:$G$9,MATCH($X19,LISTA!$F$2:$F$9,0),2),"")</f>
        <v/>
      </c>
      <c r="Z19" s="110" t="str">
        <f t="shared" si="3"/>
        <v/>
      </c>
      <c r="AA19" s="96" t="str">
        <f t="shared" si="4"/>
        <v/>
      </c>
    </row>
    <row r="20">
      <c r="A20" s="111"/>
      <c r="B20" s="116"/>
      <c r="C20" s="99"/>
      <c r="D20" s="101"/>
      <c r="E20" s="117"/>
      <c r="F20" s="103"/>
      <c r="G20" s="101"/>
      <c r="H20" s="112"/>
      <c r="I20" s="101"/>
      <c r="J20" s="101"/>
      <c r="K20" s="101"/>
      <c r="L20" s="101"/>
      <c r="M20" s="99"/>
      <c r="N20" s="101"/>
      <c r="O20" s="101"/>
      <c r="P20" s="101"/>
      <c r="Q20" s="101"/>
      <c r="R20" s="101"/>
      <c r="S20" s="101"/>
      <c r="T20" s="101"/>
      <c r="U20" s="118"/>
      <c r="V20" s="101"/>
      <c r="W20" s="90" t="str">
        <f t="array" ref="W20">IF($B20&lt;&gt;"", INDEX(LISTA!$M$2:$N$27,MATCH($P20,LISTA!$N$2:$N$27,0),1),"")</f>
        <v/>
      </c>
      <c r="X20" s="101" t="str">
        <f t="shared" si="2"/>
        <v/>
      </c>
      <c r="Y20" s="101" t="str">
        <f t="array" ref="Y20">IF(B20&lt;&gt;"", INDEX(LISTA!$F$2:$G$9,MATCH($X20,LISTA!$F$2:$F$9,0),2),"")</f>
        <v/>
      </c>
      <c r="Z20" s="110" t="str">
        <f t="shared" si="3"/>
        <v/>
      </c>
      <c r="AA20" s="96" t="str">
        <f t="shared" si="4"/>
        <v/>
      </c>
    </row>
    <row r="21">
      <c r="A21" s="111"/>
      <c r="B21" s="116"/>
      <c r="C21" s="99"/>
      <c r="D21" s="101"/>
      <c r="E21" s="117"/>
      <c r="F21" s="103"/>
      <c r="G21" s="101"/>
      <c r="H21" s="112"/>
      <c r="I21" s="101"/>
      <c r="J21" s="101"/>
      <c r="K21" s="101"/>
      <c r="L21" s="101"/>
      <c r="M21" s="99"/>
      <c r="N21" s="101"/>
      <c r="O21" s="101"/>
      <c r="P21" s="101"/>
      <c r="Q21" s="101"/>
      <c r="R21" s="101"/>
      <c r="S21" s="101"/>
      <c r="T21" s="101"/>
      <c r="U21" s="118"/>
      <c r="V21" s="101"/>
      <c r="W21" s="90" t="str">
        <f t="array" ref="W21">IF($B21&lt;&gt;"", INDEX(LISTA!$M$2:$N$27,MATCH($P21,LISTA!$N$2:$N$27,0),1),"")</f>
        <v/>
      </c>
      <c r="X21" s="101" t="str">
        <f t="shared" si="2"/>
        <v/>
      </c>
      <c r="Y21" s="101" t="str">
        <f t="array" ref="Y21">IF(B21&lt;&gt;"", INDEX(LISTA!$F$2:$G$9,MATCH($X21,LISTA!$F$2:$F$9,0),2),"")</f>
        <v/>
      </c>
      <c r="Z21" s="110" t="str">
        <f t="shared" si="3"/>
        <v/>
      </c>
      <c r="AA21" s="96" t="str">
        <f t="shared" si="4"/>
        <v/>
      </c>
    </row>
    <row r="22">
      <c r="A22" s="111"/>
      <c r="B22" s="116"/>
      <c r="C22" s="99"/>
      <c r="D22" s="101"/>
      <c r="E22" s="117"/>
      <c r="F22" s="103"/>
      <c r="G22" s="101"/>
      <c r="H22" s="112"/>
      <c r="I22" s="101"/>
      <c r="J22" s="101"/>
      <c r="K22" s="101"/>
      <c r="L22" s="101"/>
      <c r="M22" s="99"/>
      <c r="N22" s="101"/>
      <c r="O22" s="101"/>
      <c r="P22" s="101"/>
      <c r="Q22" s="101"/>
      <c r="R22" s="101"/>
      <c r="S22" s="101"/>
      <c r="T22" s="101"/>
      <c r="U22" s="118"/>
      <c r="V22" s="101"/>
      <c r="W22" s="90" t="str">
        <f t="array" ref="W22">IF($B22&lt;&gt;"", INDEX(LISTA!$M$2:$N$27,MATCH($P22,LISTA!$N$2:$N$27,0),1),"")</f>
        <v/>
      </c>
      <c r="X22" s="101" t="str">
        <f t="shared" si="2"/>
        <v/>
      </c>
      <c r="Y22" s="101" t="str">
        <f t="array" ref="Y22">IF(B22&lt;&gt;"", INDEX(LISTA!$F$2:$G$9,MATCH($X22,LISTA!$F$2:$F$9,0),2),"")</f>
        <v/>
      </c>
      <c r="Z22" s="110" t="str">
        <f t="shared" si="3"/>
        <v/>
      </c>
      <c r="AA22" s="96" t="str">
        <f t="shared" si="4"/>
        <v/>
      </c>
    </row>
    <row r="23">
      <c r="A23" s="111"/>
      <c r="B23" s="116"/>
      <c r="C23" s="99"/>
      <c r="D23" s="101"/>
      <c r="E23" s="117"/>
      <c r="F23" s="103"/>
      <c r="G23" s="101"/>
      <c r="H23" s="112"/>
      <c r="I23" s="101"/>
      <c r="J23" s="101"/>
      <c r="K23" s="101"/>
      <c r="L23" s="101"/>
      <c r="M23" s="99"/>
      <c r="N23" s="101"/>
      <c r="O23" s="101"/>
      <c r="P23" s="101"/>
      <c r="Q23" s="101"/>
      <c r="R23" s="101"/>
      <c r="S23" s="101"/>
      <c r="T23" s="101"/>
      <c r="U23" s="118"/>
      <c r="V23" s="101"/>
      <c r="W23" s="90" t="str">
        <f t="array" ref="W23">IF($B23&lt;&gt;"", INDEX(LISTA!$M$2:$N$27,MATCH($P23,LISTA!$N$2:$N$27,0),1),"")</f>
        <v/>
      </c>
      <c r="X23" s="101" t="str">
        <f t="shared" si="2"/>
        <v/>
      </c>
      <c r="Y23" s="101" t="str">
        <f t="array" ref="Y23">IF(B23&lt;&gt;"", INDEX(LISTA!$F$2:$G$9,MATCH($X23,LISTA!$F$2:$F$9,0),2),"")</f>
        <v/>
      </c>
      <c r="Z23" s="110" t="str">
        <f t="shared" si="3"/>
        <v/>
      </c>
      <c r="AA23" s="96" t="str">
        <f t="shared" si="4"/>
        <v/>
      </c>
    </row>
    <row r="24">
      <c r="A24" s="111"/>
      <c r="B24" s="116"/>
      <c r="C24" s="99"/>
      <c r="D24" s="101"/>
      <c r="E24" s="117"/>
      <c r="F24" s="103"/>
      <c r="G24" s="101"/>
      <c r="H24" s="112"/>
      <c r="I24" s="101"/>
      <c r="J24" s="101"/>
      <c r="K24" s="101"/>
      <c r="L24" s="101"/>
      <c r="M24" s="99"/>
      <c r="N24" s="101"/>
      <c r="O24" s="101"/>
      <c r="P24" s="101"/>
      <c r="Q24" s="101"/>
      <c r="R24" s="101"/>
      <c r="S24" s="101"/>
      <c r="T24" s="101"/>
      <c r="U24" s="118"/>
      <c r="V24" s="101"/>
      <c r="W24" s="90" t="str">
        <f t="array" ref="W24">IF($B24&lt;&gt;"", INDEX(LISTA!$M$2:$N$27,MATCH($P24,LISTA!$N$2:$N$27,0),1),"")</f>
        <v/>
      </c>
      <c r="X24" s="101" t="str">
        <f t="shared" si="2"/>
        <v/>
      </c>
      <c r="Y24" s="101" t="str">
        <f t="array" ref="Y24">IF(B24&lt;&gt;"", INDEX(LISTA!$F$2:$G$9,MATCH($X24,LISTA!$F$2:$F$9,0),2),"")</f>
        <v/>
      </c>
      <c r="Z24" s="110" t="str">
        <f t="shared" si="3"/>
        <v/>
      </c>
      <c r="AA24" s="96" t="str">
        <f t="shared" si="4"/>
        <v/>
      </c>
    </row>
    <row r="25">
      <c r="A25" s="111"/>
      <c r="B25" s="116"/>
      <c r="C25" s="99"/>
      <c r="D25" s="101"/>
      <c r="E25" s="117"/>
      <c r="F25" s="103"/>
      <c r="G25" s="101"/>
      <c r="H25" s="112"/>
      <c r="I25" s="101"/>
      <c r="J25" s="101"/>
      <c r="K25" s="101"/>
      <c r="L25" s="101"/>
      <c r="M25" s="99"/>
      <c r="N25" s="101"/>
      <c r="O25" s="101"/>
      <c r="P25" s="101"/>
      <c r="Q25" s="101"/>
      <c r="R25" s="101"/>
      <c r="S25" s="101"/>
      <c r="T25" s="101"/>
      <c r="U25" s="118"/>
      <c r="V25" s="101"/>
      <c r="W25" s="90" t="str">
        <f t="array" ref="W25">IF($B25&lt;&gt;"", INDEX(LISTA!$M$2:$N$27,MATCH($P25,LISTA!$N$2:$N$27,0),1),"")</f>
        <v/>
      </c>
      <c r="X25" s="101" t="str">
        <f t="shared" si="2"/>
        <v/>
      </c>
      <c r="Y25" s="101" t="str">
        <f t="array" ref="Y25">IF(B25&lt;&gt;"", INDEX(LISTA!$F$2:$G$9,MATCH($X25,LISTA!$F$2:$F$9,0),2),"")</f>
        <v/>
      </c>
      <c r="Z25" s="110" t="str">
        <f t="shared" si="3"/>
        <v/>
      </c>
      <c r="AA25" s="96" t="str">
        <f t="shared" si="4"/>
        <v/>
      </c>
    </row>
    <row r="26">
      <c r="A26" s="111"/>
      <c r="B26" s="116"/>
      <c r="C26" s="99"/>
      <c r="D26" s="101"/>
      <c r="E26" s="117"/>
      <c r="F26" s="103"/>
      <c r="G26" s="101"/>
      <c r="H26" s="112"/>
      <c r="I26" s="101"/>
      <c r="J26" s="101"/>
      <c r="K26" s="101"/>
      <c r="L26" s="101"/>
      <c r="M26" s="99"/>
      <c r="N26" s="101"/>
      <c r="O26" s="101"/>
      <c r="P26" s="101"/>
      <c r="Q26" s="101"/>
      <c r="R26" s="101"/>
      <c r="S26" s="101"/>
      <c r="T26" s="101"/>
      <c r="U26" s="118"/>
      <c r="V26" s="101"/>
      <c r="W26" s="90" t="str">
        <f t="array" ref="W26">IF($B26&lt;&gt;"", INDEX(LISTA!$M$2:$N$27,MATCH($P26,LISTA!$N$2:$N$27,0),1),"")</f>
        <v/>
      </c>
      <c r="X26" s="101" t="str">
        <f t="shared" si="2"/>
        <v/>
      </c>
      <c r="Y26" s="101" t="str">
        <f t="array" ref="Y26">IF(B26&lt;&gt;"", INDEX(LISTA!$F$2:$G$9,MATCH($X26,LISTA!$F$2:$F$9,0),2),"")</f>
        <v/>
      </c>
      <c r="Z26" s="110" t="str">
        <f t="shared" si="3"/>
        <v/>
      </c>
      <c r="AA26" s="96" t="str">
        <f t="shared" si="4"/>
        <v/>
      </c>
    </row>
    <row r="27">
      <c r="A27" s="111"/>
      <c r="B27" s="116"/>
      <c r="C27" s="99"/>
      <c r="D27" s="101"/>
      <c r="E27" s="117"/>
      <c r="F27" s="103"/>
      <c r="G27" s="101"/>
      <c r="H27" s="112"/>
      <c r="I27" s="101"/>
      <c r="J27" s="101"/>
      <c r="K27" s="101"/>
      <c r="L27" s="101"/>
      <c r="M27" s="99"/>
      <c r="N27" s="101"/>
      <c r="O27" s="101"/>
      <c r="P27" s="101"/>
      <c r="Q27" s="101"/>
      <c r="R27" s="101"/>
      <c r="S27" s="101"/>
      <c r="T27" s="101"/>
      <c r="U27" s="118"/>
      <c r="V27" s="101"/>
      <c r="W27" s="90" t="str">
        <f t="array" ref="W27">IF($B27&lt;&gt;"", INDEX(LISTA!$M$2:$N$27,MATCH($P27,LISTA!$N$2:$N$27,0),1),"")</f>
        <v/>
      </c>
      <c r="X27" s="101" t="str">
        <f t="shared" si="2"/>
        <v/>
      </c>
      <c r="Y27" s="101" t="str">
        <f t="array" ref="Y27">IF(B27&lt;&gt;"", INDEX(LISTA!$F$2:$G$9,MATCH($X27,LISTA!$F$2:$F$9,0),2),"")</f>
        <v/>
      </c>
      <c r="Z27" s="110" t="str">
        <f t="shared" si="3"/>
        <v/>
      </c>
      <c r="AA27" s="96" t="str">
        <f t="shared" si="4"/>
        <v/>
      </c>
    </row>
    <row r="28">
      <c r="A28" s="111"/>
      <c r="B28" s="116"/>
      <c r="C28" s="99"/>
      <c r="D28" s="101"/>
      <c r="E28" s="117"/>
      <c r="F28" s="103"/>
      <c r="G28" s="101"/>
      <c r="H28" s="112"/>
      <c r="I28" s="101"/>
      <c r="J28" s="101"/>
      <c r="K28" s="101"/>
      <c r="L28" s="101"/>
      <c r="M28" s="99"/>
      <c r="N28" s="101"/>
      <c r="O28" s="101"/>
      <c r="P28" s="101"/>
      <c r="Q28" s="101"/>
      <c r="R28" s="101"/>
      <c r="S28" s="101"/>
      <c r="T28" s="101"/>
      <c r="U28" s="118"/>
      <c r="V28" s="101"/>
      <c r="W28" s="90" t="str">
        <f t="array" ref="W28">IF($B28&lt;&gt;"", INDEX(LISTA!$M$2:$N$27,MATCH($P28,LISTA!$N$2:$N$27,0),1),"")</f>
        <v/>
      </c>
      <c r="X28" s="101" t="str">
        <f t="shared" si="2"/>
        <v/>
      </c>
      <c r="Y28" s="101" t="str">
        <f t="array" ref="Y28">IF(B28&lt;&gt;"", INDEX(LISTA!$F$2:$G$9,MATCH($X28,LISTA!$F$2:$F$9,0),2),"")</f>
        <v/>
      </c>
      <c r="Z28" s="110" t="str">
        <f t="shared" si="3"/>
        <v/>
      </c>
      <c r="AA28" s="96" t="str">
        <f t="shared" si="4"/>
        <v/>
      </c>
    </row>
    <row r="29">
      <c r="A29" s="111"/>
      <c r="B29" s="116"/>
      <c r="C29" s="99"/>
      <c r="D29" s="101"/>
      <c r="E29" s="117"/>
      <c r="F29" s="103"/>
      <c r="G29" s="101"/>
      <c r="H29" s="112"/>
      <c r="I29" s="101"/>
      <c r="J29" s="101"/>
      <c r="K29" s="101"/>
      <c r="L29" s="101"/>
      <c r="M29" s="99"/>
      <c r="N29" s="101"/>
      <c r="O29" s="101"/>
      <c r="P29" s="101"/>
      <c r="Q29" s="101"/>
      <c r="R29" s="101"/>
      <c r="S29" s="101"/>
      <c r="T29" s="101"/>
      <c r="U29" s="118"/>
      <c r="V29" s="101"/>
      <c r="W29" s="90" t="str">
        <f t="array" ref="W29">IF($B29&lt;&gt;"", INDEX(LISTA!$M$2:$N$27,MATCH($P29,LISTA!$N$2:$N$27,0),1),"")</f>
        <v/>
      </c>
      <c r="X29" s="101" t="str">
        <f t="shared" si="2"/>
        <v/>
      </c>
      <c r="Y29" s="101" t="str">
        <f t="array" ref="Y29">IF(B29&lt;&gt;"", INDEX(LISTA!$F$2:$G$9,MATCH($X29,LISTA!$F$2:$F$9,0),2),"")</f>
        <v/>
      </c>
      <c r="Z29" s="110" t="str">
        <f t="shared" si="3"/>
        <v/>
      </c>
      <c r="AA29" s="96" t="str">
        <f t="shared" si="4"/>
        <v/>
      </c>
    </row>
    <row r="30">
      <c r="A30" s="111"/>
      <c r="B30" s="116"/>
      <c r="C30" s="99"/>
      <c r="D30" s="101"/>
      <c r="E30" s="117"/>
      <c r="F30" s="103"/>
      <c r="G30" s="101"/>
      <c r="H30" s="112"/>
      <c r="I30" s="101"/>
      <c r="J30" s="101"/>
      <c r="K30" s="101"/>
      <c r="L30" s="101"/>
      <c r="M30" s="99"/>
      <c r="N30" s="101"/>
      <c r="O30" s="101"/>
      <c r="P30" s="101"/>
      <c r="Q30" s="101"/>
      <c r="R30" s="101"/>
      <c r="S30" s="101"/>
      <c r="T30" s="101"/>
      <c r="U30" s="118"/>
      <c r="V30" s="101"/>
      <c r="W30" s="90" t="str">
        <f t="array" ref="W30">IF($B30&lt;&gt;"", INDEX(LISTA!$M$2:$N$27,MATCH($P30,LISTA!$N$2:$N$27,0),1),"")</f>
        <v/>
      </c>
      <c r="X30" s="101" t="str">
        <f t="shared" si="2"/>
        <v/>
      </c>
      <c r="Y30" s="101" t="str">
        <f t="array" ref="Y30">IF(B30&lt;&gt;"", INDEX(LISTA!$F$2:$G$9,MATCH($X30,LISTA!$F$2:$F$9,0),2),"")</f>
        <v/>
      </c>
      <c r="Z30" s="110" t="str">
        <f t="shared" si="3"/>
        <v/>
      </c>
      <c r="AA30" s="96" t="str">
        <f t="shared" si="4"/>
        <v/>
      </c>
    </row>
    <row r="31">
      <c r="A31" s="111"/>
      <c r="B31" s="116"/>
      <c r="C31" s="99"/>
      <c r="D31" s="101"/>
      <c r="E31" s="117"/>
      <c r="F31" s="103"/>
      <c r="G31" s="101"/>
      <c r="H31" s="112"/>
      <c r="I31" s="101"/>
      <c r="J31" s="101"/>
      <c r="K31" s="101"/>
      <c r="L31" s="101"/>
      <c r="M31" s="99"/>
      <c r="N31" s="101"/>
      <c r="O31" s="101"/>
      <c r="P31" s="101"/>
      <c r="Q31" s="101"/>
      <c r="R31" s="101"/>
      <c r="S31" s="101"/>
      <c r="T31" s="101"/>
      <c r="U31" s="118"/>
      <c r="V31" s="101"/>
      <c r="W31" s="90" t="str">
        <f t="array" ref="W31">IF($B31&lt;&gt;"", INDEX(LISTA!$M$2:$N$27,MATCH($P31,LISTA!$N$2:$N$27,0),1),"")</f>
        <v/>
      </c>
      <c r="X31" s="101" t="str">
        <f t="shared" si="2"/>
        <v/>
      </c>
      <c r="Y31" s="101" t="str">
        <f t="array" ref="Y31">IF(B31&lt;&gt;"", INDEX(LISTA!$F$2:$G$9,MATCH($X31,LISTA!$F$2:$F$9,0),2),"")</f>
        <v/>
      </c>
      <c r="Z31" s="110" t="str">
        <f t="shared" si="3"/>
        <v/>
      </c>
      <c r="AA31" s="96" t="str">
        <f t="shared" si="4"/>
        <v/>
      </c>
    </row>
    <row r="32">
      <c r="A32" s="111"/>
      <c r="B32" s="116"/>
      <c r="C32" s="99"/>
      <c r="D32" s="101"/>
      <c r="E32" s="117"/>
      <c r="F32" s="103"/>
      <c r="G32" s="101"/>
      <c r="H32" s="112"/>
      <c r="I32" s="101"/>
      <c r="J32" s="101"/>
      <c r="K32" s="101"/>
      <c r="L32" s="101"/>
      <c r="M32" s="99"/>
      <c r="N32" s="101"/>
      <c r="O32" s="101"/>
      <c r="P32" s="101"/>
      <c r="Q32" s="101"/>
      <c r="R32" s="101"/>
      <c r="S32" s="101"/>
      <c r="T32" s="101"/>
      <c r="U32" s="118"/>
      <c r="V32" s="101"/>
      <c r="W32" s="90" t="str">
        <f t="array" ref="W32">IF($B32&lt;&gt;"", INDEX(LISTA!$M$2:$N$27,MATCH($P32,LISTA!$N$2:$N$27,0),1),"")</f>
        <v/>
      </c>
      <c r="X32" s="101" t="str">
        <f t="shared" si="2"/>
        <v/>
      </c>
      <c r="Y32" s="101" t="str">
        <f t="array" ref="Y32">IF(B32&lt;&gt;"", INDEX(LISTA!$F$2:$G$9,MATCH($X32,LISTA!$F$2:$F$9,0),2),"")</f>
        <v/>
      </c>
      <c r="Z32" s="110" t="str">
        <f t="shared" si="3"/>
        <v/>
      </c>
      <c r="AA32" s="96" t="str">
        <f t="shared" si="4"/>
        <v/>
      </c>
    </row>
    <row r="33">
      <c r="A33" s="111"/>
      <c r="B33" s="116"/>
      <c r="C33" s="99"/>
      <c r="D33" s="101"/>
      <c r="E33" s="117"/>
      <c r="F33" s="103"/>
      <c r="G33" s="101"/>
      <c r="H33" s="112"/>
      <c r="I33" s="101"/>
      <c r="J33" s="101"/>
      <c r="K33" s="101"/>
      <c r="L33" s="101"/>
      <c r="M33" s="99"/>
      <c r="N33" s="101"/>
      <c r="O33" s="101"/>
      <c r="P33" s="101"/>
      <c r="Q33" s="101"/>
      <c r="R33" s="101"/>
      <c r="S33" s="101"/>
      <c r="T33" s="101"/>
      <c r="U33" s="118"/>
      <c r="V33" s="101"/>
      <c r="W33" s="90" t="str">
        <f t="array" ref="W33">IF($B33&lt;&gt;"", INDEX(LISTA!$M$2:$N$27,MATCH($P33,LISTA!$N$2:$N$27,0),1),"")</f>
        <v/>
      </c>
      <c r="X33" s="101" t="str">
        <f t="shared" si="2"/>
        <v/>
      </c>
      <c r="Y33" s="101" t="str">
        <f t="array" ref="Y33">IF(B33&lt;&gt;"", INDEX(LISTA!$F$2:$G$9,MATCH($X33,LISTA!$F$2:$F$9,0),2),"")</f>
        <v/>
      </c>
      <c r="Z33" s="110" t="str">
        <f t="shared" si="3"/>
        <v/>
      </c>
      <c r="AA33" s="96" t="str">
        <f t="shared" si="4"/>
        <v/>
      </c>
    </row>
    <row r="34">
      <c r="A34" s="111"/>
      <c r="B34" s="116"/>
      <c r="C34" s="99"/>
      <c r="D34" s="101"/>
      <c r="E34" s="117"/>
      <c r="F34" s="103"/>
      <c r="G34" s="101"/>
      <c r="H34" s="112"/>
      <c r="I34" s="101"/>
      <c r="J34" s="101"/>
      <c r="K34" s="101"/>
      <c r="L34" s="101"/>
      <c r="M34" s="99"/>
      <c r="N34" s="101"/>
      <c r="O34" s="101"/>
      <c r="P34" s="101"/>
      <c r="Q34" s="101"/>
      <c r="R34" s="101"/>
      <c r="S34" s="101"/>
      <c r="T34" s="101"/>
      <c r="U34" s="118"/>
      <c r="V34" s="101"/>
      <c r="W34" s="90" t="str">
        <f t="array" ref="W34">IF($B34&lt;&gt;"", INDEX(LISTA!$M$2:$N$27,MATCH($P34,LISTA!$N$2:$N$27,0),1),"")</f>
        <v/>
      </c>
      <c r="X34" s="101" t="str">
        <f t="shared" si="2"/>
        <v/>
      </c>
      <c r="Y34" s="101" t="str">
        <f t="array" ref="Y34">IF(B34&lt;&gt;"", INDEX(LISTA!$F$2:$G$9,MATCH($X34,LISTA!$F$2:$F$9,0),2),"")</f>
        <v/>
      </c>
      <c r="Z34" s="110" t="str">
        <f t="shared" si="3"/>
        <v/>
      </c>
      <c r="AA34" s="96" t="str">
        <f t="shared" si="4"/>
        <v/>
      </c>
    </row>
    <row r="35">
      <c r="A35" s="111"/>
      <c r="B35" s="116"/>
      <c r="C35" s="99"/>
      <c r="D35" s="101"/>
      <c r="E35" s="117"/>
      <c r="F35" s="103"/>
      <c r="G35" s="101"/>
      <c r="H35" s="112"/>
      <c r="I35" s="101"/>
      <c r="J35" s="101"/>
      <c r="K35" s="101"/>
      <c r="L35" s="101"/>
      <c r="M35" s="99"/>
      <c r="N35" s="101"/>
      <c r="O35" s="101"/>
      <c r="P35" s="101"/>
      <c r="Q35" s="101"/>
      <c r="R35" s="101"/>
      <c r="S35" s="101"/>
      <c r="T35" s="101"/>
      <c r="U35" s="118"/>
      <c r="V35" s="101"/>
      <c r="W35" s="90" t="str">
        <f t="array" ref="W35">IF($B35&lt;&gt;"", INDEX(LISTA!$M$2:$N$27,MATCH($P35,LISTA!$N$2:$N$27,0),1),"")</f>
        <v/>
      </c>
      <c r="X35" s="101" t="str">
        <f t="shared" si="2"/>
        <v/>
      </c>
      <c r="Y35" s="101" t="str">
        <f t="array" ref="Y35">IF(B35&lt;&gt;"", INDEX(LISTA!$F$2:$G$9,MATCH($X35,LISTA!$F$2:$F$9,0),2),"")</f>
        <v/>
      </c>
      <c r="Z35" s="110" t="str">
        <f t="shared" si="3"/>
        <v/>
      </c>
      <c r="AA35" s="96" t="str">
        <f t="shared" si="4"/>
        <v/>
      </c>
    </row>
    <row r="36">
      <c r="A36" s="111"/>
      <c r="B36" s="116"/>
      <c r="C36" s="99"/>
      <c r="D36" s="101"/>
      <c r="E36" s="117"/>
      <c r="F36" s="103"/>
      <c r="G36" s="101"/>
      <c r="H36" s="112"/>
      <c r="I36" s="101"/>
      <c r="J36" s="101"/>
      <c r="K36" s="101"/>
      <c r="L36" s="101"/>
      <c r="M36" s="99"/>
      <c r="N36" s="101"/>
      <c r="O36" s="101"/>
      <c r="P36" s="101"/>
      <c r="Q36" s="101"/>
      <c r="R36" s="101"/>
      <c r="S36" s="101"/>
      <c r="T36" s="101"/>
      <c r="U36" s="118"/>
      <c r="V36" s="101"/>
      <c r="W36" s="90" t="str">
        <f t="array" ref="W36">IF($B36&lt;&gt;"", INDEX(LISTA!$M$2:$N$27,MATCH($P36,LISTA!$N$2:$N$27,0),1),"")</f>
        <v/>
      </c>
      <c r="X36" s="101" t="str">
        <f t="shared" si="2"/>
        <v/>
      </c>
      <c r="Y36" s="101" t="str">
        <f t="array" ref="Y36">IF(B36&lt;&gt;"", INDEX(LISTA!$F$2:$G$9,MATCH($X36,LISTA!$F$2:$F$9,0),2),"")</f>
        <v/>
      </c>
      <c r="Z36" s="110" t="str">
        <f t="shared" si="3"/>
        <v/>
      </c>
      <c r="AA36" s="96" t="str">
        <f t="shared" si="4"/>
        <v/>
      </c>
    </row>
    <row r="37">
      <c r="A37" s="111"/>
      <c r="B37" s="116"/>
      <c r="C37" s="99"/>
      <c r="D37" s="101"/>
      <c r="E37" s="117"/>
      <c r="F37" s="103"/>
      <c r="G37" s="101"/>
      <c r="H37" s="112"/>
      <c r="I37" s="101"/>
      <c r="J37" s="101"/>
      <c r="K37" s="101"/>
      <c r="L37" s="101"/>
      <c r="M37" s="99"/>
      <c r="N37" s="101"/>
      <c r="O37" s="101"/>
      <c r="P37" s="101"/>
      <c r="Q37" s="101"/>
      <c r="R37" s="101"/>
      <c r="S37" s="101"/>
      <c r="T37" s="101"/>
      <c r="U37" s="118"/>
      <c r="V37" s="101"/>
      <c r="W37" s="90" t="str">
        <f t="array" ref="W37">IF($B37&lt;&gt;"", INDEX(LISTA!$M$2:$N$27,MATCH($P37,LISTA!$N$2:$N$27,0),1),"")</f>
        <v/>
      </c>
      <c r="X37" s="101" t="str">
        <f t="shared" si="2"/>
        <v/>
      </c>
      <c r="Y37" s="101" t="str">
        <f t="array" ref="Y37">IF(B37&lt;&gt;"", INDEX(LISTA!$F$2:$G$9,MATCH($X37,LISTA!$F$2:$F$9,0),2),"")</f>
        <v/>
      </c>
      <c r="Z37" s="110" t="str">
        <f t="shared" si="3"/>
        <v/>
      </c>
      <c r="AA37" s="96" t="str">
        <f t="shared" si="4"/>
        <v/>
      </c>
    </row>
    <row r="38">
      <c r="A38" s="111"/>
      <c r="B38" s="116"/>
      <c r="C38" s="99"/>
      <c r="D38" s="101"/>
      <c r="E38" s="117"/>
      <c r="F38" s="103"/>
      <c r="G38" s="101"/>
      <c r="H38" s="112"/>
      <c r="I38" s="101"/>
      <c r="J38" s="101"/>
      <c r="K38" s="101"/>
      <c r="L38" s="101"/>
      <c r="M38" s="99"/>
      <c r="N38" s="101"/>
      <c r="O38" s="101"/>
      <c r="P38" s="101"/>
      <c r="Q38" s="101"/>
      <c r="R38" s="101"/>
      <c r="S38" s="101"/>
      <c r="T38" s="101"/>
      <c r="U38" s="118"/>
      <c r="V38" s="101"/>
      <c r="W38" s="90" t="str">
        <f t="array" ref="W38">IF($B38&lt;&gt;"", INDEX(LISTA!$M$2:$N$27,MATCH($P38,LISTA!$N$2:$N$27,0),1),"")</f>
        <v/>
      </c>
      <c r="X38" s="101" t="str">
        <f t="shared" si="2"/>
        <v/>
      </c>
      <c r="Y38" s="101" t="str">
        <f t="array" ref="Y38">IF(B38&lt;&gt;"", INDEX(LISTA!$F$2:$G$9,MATCH($X38,LISTA!$F$2:$F$9,0),2),"")</f>
        <v/>
      </c>
      <c r="Z38" s="110" t="str">
        <f t="shared" si="3"/>
        <v/>
      </c>
      <c r="AA38" s="96" t="str">
        <f t="shared" si="4"/>
        <v/>
      </c>
    </row>
    <row r="39">
      <c r="A39" s="111"/>
      <c r="B39" s="116"/>
      <c r="C39" s="99"/>
      <c r="D39" s="101"/>
      <c r="E39" s="117"/>
      <c r="F39" s="103"/>
      <c r="G39" s="101"/>
      <c r="H39" s="112"/>
      <c r="I39" s="101"/>
      <c r="J39" s="101"/>
      <c r="K39" s="101"/>
      <c r="L39" s="101"/>
      <c r="M39" s="99"/>
      <c r="N39" s="101"/>
      <c r="O39" s="101"/>
      <c r="P39" s="101"/>
      <c r="Q39" s="101"/>
      <c r="R39" s="101"/>
      <c r="S39" s="101"/>
      <c r="T39" s="101"/>
      <c r="U39" s="118"/>
      <c r="V39" s="101"/>
      <c r="W39" s="90" t="str">
        <f t="array" ref="W39">IF($B39&lt;&gt;"", INDEX(LISTA!$M$2:$N$27,MATCH($P39,LISTA!$N$2:$N$27,0),1),"")</f>
        <v/>
      </c>
      <c r="X39" s="101" t="str">
        <f t="shared" si="2"/>
        <v/>
      </c>
      <c r="Y39" s="101" t="str">
        <f t="array" ref="Y39">IF(B39&lt;&gt;"", INDEX(LISTA!$F$2:$G$9,MATCH($X39,LISTA!$F$2:$F$9,0),2),"")</f>
        <v/>
      </c>
      <c r="Z39" s="110" t="str">
        <f t="shared" si="3"/>
        <v/>
      </c>
      <c r="AA39" s="96" t="str">
        <f t="shared" si="4"/>
        <v/>
      </c>
    </row>
    <row r="40">
      <c r="A40" s="111"/>
      <c r="B40" s="116"/>
      <c r="C40" s="99"/>
      <c r="D40" s="101"/>
      <c r="E40" s="117"/>
      <c r="F40" s="103"/>
      <c r="G40" s="101"/>
      <c r="H40" s="112"/>
      <c r="I40" s="101"/>
      <c r="J40" s="101"/>
      <c r="K40" s="101"/>
      <c r="L40" s="101"/>
      <c r="M40" s="99"/>
      <c r="N40" s="101"/>
      <c r="O40" s="101"/>
      <c r="P40" s="101"/>
      <c r="Q40" s="101"/>
      <c r="R40" s="101"/>
      <c r="S40" s="101"/>
      <c r="T40" s="101"/>
      <c r="U40" s="118"/>
      <c r="V40" s="101"/>
      <c r="W40" s="90" t="str">
        <f t="array" ref="W40">IF($B40&lt;&gt;"", INDEX(LISTA!$M$2:$N$27,MATCH($P40,LISTA!$N$2:$N$27,0),1),"")</f>
        <v/>
      </c>
      <c r="X40" s="101" t="str">
        <f t="shared" si="2"/>
        <v/>
      </c>
      <c r="Y40" s="101" t="str">
        <f t="array" ref="Y40">IF(B40&lt;&gt;"", INDEX(LISTA!$F$2:$G$9,MATCH($X40,LISTA!$F$2:$F$9,0),2),"")</f>
        <v/>
      </c>
      <c r="Z40" s="110" t="str">
        <f t="shared" si="3"/>
        <v/>
      </c>
      <c r="AA40" s="96" t="str">
        <f t="shared" si="4"/>
        <v/>
      </c>
    </row>
    <row r="41">
      <c r="A41" s="111"/>
      <c r="B41" s="116"/>
      <c r="C41" s="99"/>
      <c r="D41" s="101"/>
      <c r="E41" s="117"/>
      <c r="F41" s="103"/>
      <c r="G41" s="101"/>
      <c r="H41" s="112"/>
      <c r="I41" s="101"/>
      <c r="J41" s="101"/>
      <c r="K41" s="101"/>
      <c r="L41" s="101"/>
      <c r="M41" s="99"/>
      <c r="N41" s="101"/>
      <c r="O41" s="101"/>
      <c r="P41" s="101"/>
      <c r="Q41" s="101"/>
      <c r="R41" s="101"/>
      <c r="S41" s="101"/>
      <c r="T41" s="101"/>
      <c r="U41" s="118"/>
      <c r="V41" s="101"/>
      <c r="W41" s="90" t="str">
        <f t="array" ref="W41">IF($B41&lt;&gt;"", INDEX(LISTA!$M$2:$N$27,MATCH($P41,LISTA!$N$2:$N$27,0),1),"")</f>
        <v/>
      </c>
      <c r="X41" s="101" t="str">
        <f t="shared" si="2"/>
        <v/>
      </c>
      <c r="Y41" s="101" t="str">
        <f t="array" ref="Y41">IF(B41&lt;&gt;"", INDEX(LISTA!$F$2:$G$9,MATCH($X41,LISTA!$F$2:$F$9,0),2),"")</f>
        <v/>
      </c>
      <c r="Z41" s="110" t="str">
        <f t="shared" si="3"/>
        <v/>
      </c>
      <c r="AA41" s="96" t="str">
        <f t="shared" si="4"/>
        <v/>
      </c>
    </row>
  </sheetData>
  <mergeCells count="6">
    <mergeCell ref="B1:C1"/>
    <mergeCell ref="D1:D2"/>
    <mergeCell ref="E1:F1"/>
    <mergeCell ref="L1:N1"/>
    <mergeCell ref="O1:O2"/>
    <mergeCell ref="B2:C3"/>
  </mergeCells>
  <conditionalFormatting sqref="E2:E5 F2:G9">
    <cfRule type="notContainsBlanks" dxfId="12" priority="1">
      <formula>LEN(TRIM(E2))&gt;0</formula>
    </cfRule>
  </conditionalFormatting>
  <conditionalFormatting sqref="A13:AA41">
    <cfRule type="expression" dxfId="13" priority="2">
      <formula>$X13=5</formula>
    </cfRule>
  </conditionalFormatting>
  <conditionalFormatting sqref="A13:AA41">
    <cfRule type="expression" dxfId="14" priority="3">
      <formula>$X13=4</formula>
    </cfRule>
  </conditionalFormatting>
  <conditionalFormatting sqref="A13:AA41">
    <cfRule type="expression" dxfId="15" priority="4">
      <formula>$X13=3</formula>
    </cfRule>
  </conditionalFormatting>
  <conditionalFormatting sqref="A13:AA41">
    <cfRule type="expression" dxfId="16" priority="5">
      <formula>$X13=2</formula>
    </cfRule>
  </conditionalFormatting>
  <conditionalFormatting sqref="A13:AA41">
    <cfRule type="expression" dxfId="17" priority="6">
      <formula>$X13=1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4.25"/>
    <col customWidth="1" min="3" max="3" width="22.75"/>
    <col customWidth="1" min="4" max="4" width="14.88"/>
    <col customWidth="1" min="5" max="5" width="20.13"/>
    <col customWidth="1" min="6" max="6" width="8.5"/>
    <col customWidth="1" min="7" max="7" width="7.75"/>
    <col customWidth="1" min="8" max="8" width="10.5"/>
    <col customWidth="1" min="9" max="9" width="8.13"/>
    <col customWidth="1" min="10" max="10" width="14.63"/>
    <col customWidth="1" min="11" max="11" width="12.0"/>
    <col customWidth="1" min="12" max="12" width="28.38"/>
    <col customWidth="1" min="13" max="13" width="17.88"/>
    <col customWidth="1" min="14" max="14" width="15.5"/>
    <col customWidth="1" min="15" max="15" width="9.25"/>
    <col customWidth="1" min="16" max="17" width="11.25"/>
    <col customWidth="1" min="18" max="18" width="8.75"/>
    <col customWidth="1" min="19" max="19" width="15.0"/>
    <col customWidth="1" min="20" max="20" width="13.63"/>
    <col customWidth="1" min="21" max="21" width="9.25"/>
    <col customWidth="1" min="22" max="23" width="15.13"/>
    <col customWidth="1" min="24" max="24" width="5.5"/>
  </cols>
  <sheetData>
    <row r="1">
      <c r="A1" s="2"/>
      <c r="B1" s="5" t="s">
        <v>1</v>
      </c>
      <c r="C1" s="7"/>
      <c r="D1" s="13">
        <f>COUNTIF($V$12:$V50,TODAY())</f>
        <v>1</v>
      </c>
      <c r="E1" s="16" t="s">
        <v>9</v>
      </c>
      <c r="F1" s="4"/>
      <c r="G1" s="17"/>
      <c r="H1" s="16" t="s">
        <v>13</v>
      </c>
      <c r="I1" s="4"/>
      <c r="K1" s="17"/>
      <c r="L1" s="19"/>
      <c r="M1" s="17"/>
      <c r="N1" s="17"/>
      <c r="O1" s="19"/>
      <c r="P1" s="17"/>
      <c r="Q1" s="17"/>
      <c r="R1" s="17"/>
      <c r="S1" s="17"/>
      <c r="T1" s="17"/>
      <c r="U1" s="17"/>
      <c r="V1" s="17"/>
      <c r="W1" s="17"/>
      <c r="X1" s="17"/>
    </row>
    <row r="2">
      <c r="A2" s="2"/>
      <c r="B2" s="21"/>
      <c r="C2" s="22"/>
      <c r="D2" s="23"/>
      <c r="E2" s="26" t="str">
        <f>IFERROR(__xludf.DUMMYFUNCTION("UNIQUE(FILTER(C12:C50,$V$12:$V$50=TODAY()))"),"4 - PROG-EJECUCION")</f>
        <v>4 - PROG-EJECUCION</v>
      </c>
      <c r="F2" s="17">
        <f t="shared" ref="F2:F10" si="1">IF($E2&lt;&gt;"", COUNTIFS($V$12:$V50,TODAY(),$C$12:$C50,$E2),"")</f>
        <v>1</v>
      </c>
      <c r="G2" s="17"/>
      <c r="H2" s="17" t="str">
        <f>IFERROR(__xludf.DUMMYFUNCTION("UNIQUE(FILTER($W$12:$W50,$V$12:$V50=TODAY()))"),"09")</f>
        <v>09</v>
      </c>
      <c r="I2" s="17">
        <f t="shared" ref="I2:I10" si="2">IF(H2&lt;&gt;"",COUNTIFS($V$12:$V50,TODAY(),$W$12:$W50,H2),"")</f>
        <v>1</v>
      </c>
      <c r="K2" s="17"/>
      <c r="L2" s="19"/>
      <c r="M2" s="17"/>
      <c r="N2" s="17"/>
      <c r="O2" s="19"/>
      <c r="P2" s="17"/>
      <c r="Q2" s="17"/>
      <c r="R2" s="17"/>
      <c r="S2" s="17"/>
      <c r="T2" s="17"/>
      <c r="U2" s="17"/>
      <c r="V2" s="17"/>
      <c r="W2" s="17"/>
      <c r="X2" s="17"/>
    </row>
    <row r="3">
      <c r="A3" s="2"/>
      <c r="B3" s="31" t="s">
        <v>37</v>
      </c>
      <c r="C3" s="31" t="s">
        <v>38</v>
      </c>
      <c r="D3" s="2"/>
      <c r="E3" s="26"/>
      <c r="F3" s="17" t="str">
        <f t="shared" si="1"/>
        <v/>
      </c>
      <c r="G3" s="17"/>
      <c r="H3" s="17"/>
      <c r="I3" s="17" t="str">
        <f t="shared" si="2"/>
        <v/>
      </c>
      <c r="K3" s="17"/>
      <c r="L3" s="19"/>
      <c r="M3" s="17"/>
      <c r="N3" s="17"/>
      <c r="O3" s="19"/>
      <c r="P3" s="17"/>
      <c r="Q3" s="17"/>
      <c r="R3" s="17"/>
      <c r="S3" s="17"/>
      <c r="T3" s="17"/>
      <c r="U3" s="17"/>
      <c r="V3" s="17"/>
      <c r="W3" s="17"/>
      <c r="X3" s="17"/>
    </row>
    <row r="4">
      <c r="A4" s="2"/>
      <c r="B4" s="33">
        <f>COUNTIFS($V$12:$V50,TODAY(),$X$12:$X50,"&lt;4")</f>
        <v>0</v>
      </c>
      <c r="C4" s="33">
        <f>COUNTIFS($V$12:$V50,TODAY(),$X$12:$X50,"&gt;=4")</f>
        <v>1</v>
      </c>
      <c r="E4" s="26"/>
      <c r="F4" s="17" t="str">
        <f t="shared" si="1"/>
        <v/>
      </c>
      <c r="G4" s="17"/>
      <c r="H4" s="17"/>
      <c r="I4" s="17" t="str">
        <f t="shared" si="2"/>
        <v/>
      </c>
      <c r="K4" s="17"/>
      <c r="L4" s="19"/>
      <c r="M4" s="17"/>
      <c r="N4" s="17"/>
      <c r="O4" s="19"/>
      <c r="P4" s="17"/>
      <c r="Q4" s="17"/>
      <c r="R4" s="17"/>
      <c r="S4" s="17"/>
      <c r="T4" s="17"/>
      <c r="U4" s="17"/>
      <c r="V4" s="17"/>
      <c r="W4" s="17"/>
      <c r="X4" s="17"/>
    </row>
    <row r="5">
      <c r="A5" s="2"/>
      <c r="B5" s="2"/>
      <c r="E5" s="26"/>
      <c r="F5" s="17" t="str">
        <f t="shared" si="1"/>
        <v/>
      </c>
      <c r="G5" s="17"/>
      <c r="H5" s="17"/>
      <c r="I5" s="17" t="str">
        <f t="shared" si="2"/>
        <v/>
      </c>
      <c r="K5" s="17"/>
      <c r="L5" s="19"/>
      <c r="M5" s="17"/>
      <c r="N5" s="17"/>
      <c r="O5" s="19"/>
      <c r="P5" s="17"/>
      <c r="Q5" s="17"/>
      <c r="R5" s="17"/>
      <c r="S5" s="17"/>
      <c r="T5" s="17"/>
      <c r="U5" s="17"/>
      <c r="V5" s="17"/>
      <c r="W5" s="17"/>
      <c r="X5" s="17"/>
    </row>
    <row r="6">
      <c r="A6" s="2"/>
      <c r="B6" s="2"/>
      <c r="C6" s="2"/>
      <c r="D6" s="2"/>
      <c r="E6" s="26"/>
      <c r="F6" s="17" t="str">
        <f t="shared" si="1"/>
        <v/>
      </c>
      <c r="G6" s="17"/>
      <c r="H6" s="17"/>
      <c r="I6" s="17" t="str">
        <f t="shared" si="2"/>
        <v/>
      </c>
      <c r="K6" s="17"/>
      <c r="L6" s="19"/>
      <c r="M6" s="17"/>
      <c r="N6" s="17"/>
      <c r="O6" s="19"/>
      <c r="P6" s="17"/>
      <c r="Q6" s="17"/>
      <c r="R6" s="17"/>
      <c r="S6" s="17"/>
      <c r="T6" s="17"/>
      <c r="U6" s="17"/>
      <c r="V6" s="17"/>
      <c r="W6" s="17"/>
      <c r="X6" s="17"/>
    </row>
    <row r="7">
      <c r="A7" s="2"/>
      <c r="B7" s="2"/>
      <c r="C7" s="2"/>
      <c r="D7" s="2"/>
      <c r="E7" s="26"/>
      <c r="F7" s="17" t="str">
        <f t="shared" si="1"/>
        <v/>
      </c>
      <c r="G7" s="17"/>
      <c r="H7" s="17"/>
      <c r="I7" s="17" t="str">
        <f t="shared" si="2"/>
        <v/>
      </c>
      <c r="K7" s="17"/>
      <c r="L7" s="19"/>
      <c r="M7" s="17"/>
      <c r="N7" s="17"/>
      <c r="O7" s="19"/>
      <c r="P7" s="17"/>
      <c r="Q7" s="17"/>
      <c r="R7" s="17"/>
      <c r="S7" s="17"/>
      <c r="T7" s="17"/>
      <c r="U7" s="17"/>
      <c r="V7" s="17"/>
      <c r="W7" s="17"/>
      <c r="X7" s="17"/>
    </row>
    <row r="8">
      <c r="A8" s="2"/>
      <c r="B8" s="2"/>
      <c r="C8" s="2"/>
      <c r="D8" s="2"/>
      <c r="E8" s="26"/>
      <c r="F8" s="17" t="str">
        <f t="shared" si="1"/>
        <v/>
      </c>
      <c r="G8" s="17"/>
      <c r="H8" s="17"/>
      <c r="I8" s="17" t="str">
        <f t="shared" si="2"/>
        <v/>
      </c>
      <c r="K8" s="17"/>
      <c r="L8" s="19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</row>
    <row r="9">
      <c r="A9" s="2"/>
      <c r="B9" s="2"/>
      <c r="C9" s="2"/>
      <c r="D9" s="2"/>
      <c r="E9" s="26"/>
      <c r="F9" s="17" t="str">
        <f t="shared" si="1"/>
        <v/>
      </c>
      <c r="G9" s="17"/>
      <c r="H9" s="17"/>
      <c r="I9" s="17" t="str">
        <f t="shared" si="2"/>
        <v/>
      </c>
      <c r="K9" s="17"/>
      <c r="L9" s="19"/>
      <c r="M9" s="17"/>
      <c r="N9" s="17"/>
      <c r="O9" s="19"/>
      <c r="P9" s="17"/>
      <c r="Q9" s="17"/>
      <c r="R9" s="17"/>
      <c r="S9" s="17"/>
      <c r="T9" s="17"/>
      <c r="U9" s="17"/>
      <c r="V9" s="17"/>
      <c r="W9" s="17"/>
      <c r="X9" s="17"/>
    </row>
    <row r="10">
      <c r="A10" s="2"/>
      <c r="B10" s="2"/>
      <c r="C10" s="2"/>
      <c r="D10" s="2"/>
      <c r="E10" s="26"/>
      <c r="F10" s="17" t="str">
        <f t="shared" si="1"/>
        <v/>
      </c>
      <c r="G10" s="17"/>
      <c r="H10" s="17"/>
      <c r="I10" s="17" t="str">
        <f t="shared" si="2"/>
        <v/>
      </c>
      <c r="K10" s="17"/>
      <c r="L10" s="19"/>
      <c r="M10" s="17"/>
      <c r="N10" s="17"/>
      <c r="O10" s="19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43" t="s">
        <v>76</v>
      </c>
      <c r="B11" s="43" t="str">
        <f>IFERROR(__xludf.DUMMYFUNCTION("QUERY(PREVENTAS!A1:CB50,""SELECT Col1,Col2,Col3,Col5,Col7,Col8,Col9,Col10,Col11,Col12,Col13,Col43,Col44,Col46,Col47,Col48,Col54,Col55,Col56,Col74,Col75,Col76 WHERE Col77=4 ORDER BY Col75,Col76 ASC"")"),"Marca temporal")</f>
        <v>Marca temporal</v>
      </c>
      <c r="C11" s="43" t="str">
        <f>IFERROR(__xludf.DUMMYFUNCTION("""COMPUTED_VALUE"""),"STATUS")</f>
        <v>STATUS</v>
      </c>
      <c r="D11" s="43" t="str">
        <f>IFERROR(__xludf.DUMMYFUNCTION("""COMPUTED_VALUE"""),"SEGMENTO")</f>
        <v>SEGMENTO</v>
      </c>
      <c r="E11" s="45" t="str">
        <f>IFERROR(__xludf.DUMMYFUNCTION("""COMPUTED_VALUE"""),"PROGRAMACION BO")</f>
        <v>PROGRAMACION BO</v>
      </c>
      <c r="F11" s="43" t="str">
        <f>IFERROR(__xludf.DUMMYFUNCTION("""COMPUTED_VALUE"""),"SEC")</f>
        <v>SEC</v>
      </c>
      <c r="G11" s="43" t="str">
        <f>IFERROR(__xludf.DUMMYFUNCTION("""COMPUTED_VALUE"""),"SOT")</f>
        <v>SOT</v>
      </c>
      <c r="H11" s="43" t="str">
        <f>IFERROR(__xludf.DUMMYFUNCTION("""COMPUTED_VALUE"""),"ASESOR")</f>
        <v>ASESOR</v>
      </c>
      <c r="I11" s="43" t="str">
        <f>IFERROR(__xludf.DUMMYFUNCTION("""COMPUTED_VALUE"""),"LEAD")</f>
        <v>LEAD</v>
      </c>
      <c r="J11" s="43" t="str">
        <f>IFERROR(__xludf.DUMMYFUNCTION("""COMPUTED_VALUE"""),"TIPO DOCUMENTO")</f>
        <v>TIPO DOCUMENTO</v>
      </c>
      <c r="K11" s="43" t="str">
        <f>IFERROR(__xludf.DUMMYFUNCTION("""COMPUTED_VALUE"""),"N° DOCUMENTO")</f>
        <v>N° DOCUMENTO</v>
      </c>
      <c r="L11" s="43" t="str">
        <f>IFERROR(__xludf.DUMMYFUNCTION("""COMPUTED_VALUE"""),"NOMBRE COMPLETO CLIENTE")</f>
        <v>NOMBRE COMPLETO CLIENTE</v>
      </c>
      <c r="M11" s="43" t="str">
        <f>IFERROR(__xludf.DUMMYFUNCTION("""COMPUTED_VALUE"""),"NOMBRE PADRE")</f>
        <v>NOMBRE PADRE</v>
      </c>
      <c r="N11" s="43" t="str">
        <f>IFERROR(__xludf.DUMMYFUNCTION("""COMPUTED_VALUE"""),"NOMBRE MADRE")</f>
        <v>NOMBRE MADRE</v>
      </c>
      <c r="O11" s="43" t="str">
        <f>IFERROR(__xludf.DUMMYFUNCTION("""COMPUTED_VALUE"""),"TELF REGISTRO")</f>
        <v>TELF REGISTRO</v>
      </c>
      <c r="P11" s="43" t="str">
        <f>IFERROR(__xludf.DUMMYFUNCTION("""COMPUTED_VALUE"""),"TELF GRABACION")</f>
        <v>TELF GRABACION</v>
      </c>
      <c r="Q11" s="43" t="str">
        <f>IFERROR(__xludf.DUMMYFUNCTION("""COMPUTED_VALUE"""),"TELF REFERENCIA")</f>
        <v>TELF REFERENCIA</v>
      </c>
      <c r="R11" s="43" t="str">
        <f>IFERROR(__xludf.DUMMYFUNCTION("""COMPUTED_VALUE"""),"PLANO")</f>
        <v>PLANO</v>
      </c>
      <c r="S11" s="43" t="str">
        <f>IFERROR(__xludf.DUMMYFUNCTION("""COMPUTED_VALUE"""),"DEPARTAMENTO")</f>
        <v>DEPARTAMENTO</v>
      </c>
      <c r="T11" s="48" t="str">
        <f>IFERROR(__xludf.DUMMYFUNCTION("""COMPUTED_VALUE"""),"PROV / DISTRITO")</f>
        <v>PROV / DISTRITO</v>
      </c>
      <c r="U11" s="43" t="str">
        <f>IFERROR(__xludf.DUMMYFUNCTION("""COMPUTED_VALUE"""),"FECHA REGISTRO")</f>
        <v>FECHA REGISTRO</v>
      </c>
      <c r="V11" s="43" t="str">
        <f>IFERROR(__xludf.DUMMYFUNCTION("""COMPUTED_VALUE"""),"FECHA PROGRAMACION")</f>
        <v>FECHA PROGRAMACION</v>
      </c>
      <c r="W11" s="43" t="str">
        <f>IFERROR(__xludf.DUMMYFUNCTION("""COMPUTED_VALUE"""),"TRAMO PROGRAMACION")</f>
        <v>TRAMO PROGRAMACION</v>
      </c>
      <c r="X11" s="43" t="s">
        <v>92</v>
      </c>
    </row>
    <row r="12">
      <c r="A12" s="49">
        <f t="array" ref="A12:A26">IF(COUNTA($B$12:$B50)&gt;0,SEQUENCE(COUNTA(B12:B50),1),"")</f>
        <v>1</v>
      </c>
      <c r="B12" s="52">
        <f>IFERROR(__xludf.DUMMYFUNCTION("""COMPUTED_VALUE"""),46242.38172050926)</f>
        <v>46242.38172</v>
      </c>
      <c r="C12" s="58" t="str">
        <f>IFERROR(__xludf.DUMMYFUNCTION("""COMPUTED_VALUE"""),"4 - PROG-TARDANZA TECNICA")</f>
        <v>4 - PROG-TARDANZA TECNICA</v>
      </c>
      <c r="D12" s="58" t="str">
        <f>IFERROR(__xludf.DUMMYFUNCTION("""COMPUTED_VALUE"""),"MASIVO RESIDENCIAL")</f>
        <v>MASIVO RESIDENCIAL</v>
      </c>
      <c r="E12" s="61">
        <f>IFERROR(__xludf.DUMMYFUNCTION("""COMPUTED_VALUE"""),46247.375)</f>
        <v>46247.375</v>
      </c>
      <c r="F12" s="64" t="str">
        <f>IFERROR(__xludf.DUMMYFUNCTION("""COMPUTED_VALUE"""),"106038854")</f>
        <v>106038854</v>
      </c>
      <c r="G12" s="66" t="str">
        <f>IFERROR(__xludf.DUMMYFUNCTION("""COMPUTED_VALUE"""),"89805316")</f>
        <v>89805316</v>
      </c>
      <c r="H12" s="68" t="str">
        <f>IFERROR(__xludf.DUMMYFUNCTION("""COMPUTED_VALUE"""),"YESSENIA")</f>
        <v>YESSENIA</v>
      </c>
      <c r="I12" s="71" t="str">
        <f>IFERROR(__xludf.DUMMYFUNCTION("""COMPUTED_VALUE"""),"973069444")</f>
        <v>973069444</v>
      </c>
      <c r="J12" s="72" t="str">
        <f>IFERROR(__xludf.DUMMYFUNCTION("""COMPUTED_VALUE"""),"RUC")</f>
        <v>RUC</v>
      </c>
      <c r="K12" s="72" t="str">
        <f>IFERROR(__xludf.DUMMYFUNCTION("""COMPUTED_VALUE"""),"10400403002")</f>
        <v>10400403002</v>
      </c>
      <c r="L12" s="75" t="str">
        <f>IFERROR(__xludf.DUMMYFUNCTION("""COMPUTED_VALUE"""),"LOPEZ CARMONA JUAN CARLOS")</f>
        <v>LOPEZ CARMONA JUAN CARLOS</v>
      </c>
      <c r="M12" s="72" t="str">
        <f>IFERROR(__xludf.DUMMYFUNCTION("""COMPUTED_VALUE"""),"dante")</f>
        <v>dante</v>
      </c>
      <c r="N12" s="72" t="str">
        <f>IFERROR(__xludf.DUMMYFUNCTION("""COMPUTED_VALUE"""),"marina")</f>
        <v>marina</v>
      </c>
      <c r="O12" s="76" t="str">
        <f>IFERROR(__xludf.DUMMYFUNCTION("""COMPUTED_VALUE"""),"973069444 ")</f>
        <v>973069444 </v>
      </c>
      <c r="P12" s="72" t="str">
        <f>IFERROR(__xludf.DUMMYFUNCTION("""COMPUTED_VALUE"""),"973069444 ")</f>
        <v>973069444 </v>
      </c>
      <c r="Q12" s="72" t="str">
        <f>IFERROR(__xludf.DUMMYFUNCTION("""COMPUTED_VALUE"""),"973069444 ")</f>
        <v>973069444 </v>
      </c>
      <c r="R12" s="72" t="str">
        <f>IFERROR(__xludf.DUMMYFUNCTION("""COMPUTED_VALUE"""),"CZWQ012")</f>
        <v>CZWQ012</v>
      </c>
      <c r="S12" s="72" t="str">
        <f>IFERROR(__xludf.DUMMYFUNCTION("""COMPUTED_VALUE"""),"CUSCO")</f>
        <v>CUSCO</v>
      </c>
      <c r="T12" s="81" t="str">
        <f>IFERROR(__xludf.DUMMYFUNCTION("""COMPUTED_VALUE"""),"Cusco")</f>
        <v>Cusco</v>
      </c>
      <c r="U12" s="82">
        <f>IFERROR(__xludf.DUMMYFUNCTION("""COMPUTED_VALUE"""),46242.0)</f>
        <v>46242</v>
      </c>
      <c r="V12" s="82">
        <f>IFERROR(__xludf.DUMMYFUNCTION("""COMPUTED_VALUE"""),46247.0)</f>
        <v>46247</v>
      </c>
      <c r="W12" s="72" t="str">
        <f>IFERROR(__xludf.DUMMYFUNCTION("""COMPUTED_VALUE"""),"09")</f>
        <v>09</v>
      </c>
      <c r="X12" s="72">
        <f t="array" ref="X12">IF(B12&lt;&gt;"",INDEX(LISTA!$M$2:$N$27,MATCH(S12,LISTA!$N$2:$N$27,0),1),"")</f>
        <v>10</v>
      </c>
    </row>
    <row r="13">
      <c r="A13" s="49">
        <v>2.0</v>
      </c>
      <c r="B13" s="52">
        <f>IFERROR(__xludf.DUMMYFUNCTION("""COMPUTED_VALUE"""),46256.5663471412)</f>
        <v>46256.56635</v>
      </c>
      <c r="C13" s="58" t="str">
        <f>IFERROR(__xludf.DUMMYFUNCTION("""COMPUTED_VALUE"""),"4 - PROG-EJECUCION")</f>
        <v>4 - PROG-EJECUCION</v>
      </c>
      <c r="D13" s="58" t="str">
        <f>IFERROR(__xludf.DUMMYFUNCTION("""COMPUTED_VALUE"""),"MASIVO RESIDENCIAL")</f>
        <v>MASIVO RESIDENCIAL</v>
      </c>
      <c r="E13" s="61">
        <f>IFERROR(__xludf.DUMMYFUNCTION("""COMPUTED_VALUE"""),46257.58333333333)</f>
        <v>46257.58333</v>
      </c>
      <c r="F13" s="64" t="str">
        <f>IFERROR(__xludf.DUMMYFUNCTION("""COMPUTED_VALUE"""),"106438086")</f>
        <v>106438086</v>
      </c>
      <c r="G13" s="66" t="str">
        <f>IFERROR(__xludf.DUMMYFUNCTION("""COMPUTED_VALUE"""),"90225516")</f>
        <v>90225516</v>
      </c>
      <c r="H13" s="68" t="str">
        <f>IFERROR(__xludf.DUMMYFUNCTION("""COMPUTED_VALUE"""),"XIOMARA.S")</f>
        <v>XIOMARA.S</v>
      </c>
      <c r="I13" s="71" t="str">
        <f>IFERROR(__xludf.DUMMYFUNCTION("""COMPUTED_VALUE"""),"923166616")</f>
        <v>923166616</v>
      </c>
      <c r="J13" s="72" t="str">
        <f>IFERROR(__xludf.DUMMYFUNCTION("""COMPUTED_VALUE"""),"DNI")</f>
        <v>DNI</v>
      </c>
      <c r="K13" s="72" t="str">
        <f>IFERROR(__xludf.DUMMYFUNCTION("""COMPUTED_VALUE"""),"77389691")</f>
        <v>77389691</v>
      </c>
      <c r="L13" s="75" t="str">
        <f>IFERROR(__xludf.DUMMYFUNCTION("""COMPUTED_VALUE"""),"MARIO LAFAIX MAUTINO")</f>
        <v>MARIO LAFAIX MAUTINO</v>
      </c>
      <c r="M13" s="72" t="str">
        <f>IFERROR(__xludf.DUMMYFUNCTION("""COMPUTED_VALUE"""),"NO TIENE")</f>
        <v>NO TIENE</v>
      </c>
      <c r="N13" s="72" t="str">
        <f>IFERROR(__xludf.DUMMYFUNCTION("""COMPUTED_VALUE"""),"IRENA")</f>
        <v>IRENA</v>
      </c>
      <c r="O13" s="76" t="str">
        <f>IFERROR(__xludf.DUMMYFUNCTION("""COMPUTED_VALUE"""),"923166616")</f>
        <v>923166616</v>
      </c>
      <c r="P13" s="72" t="str">
        <f>IFERROR(__xludf.DUMMYFUNCTION("""COMPUTED_VALUE"""),"923166616")</f>
        <v>923166616</v>
      </c>
      <c r="Q13" s="72" t="str">
        <f>IFERROR(__xludf.DUMMYFUNCTION("""COMPUTED_VALUE"""),"923166616")</f>
        <v>923166616</v>
      </c>
      <c r="R13" s="72" t="str">
        <f>IFERROR(__xludf.DUMMYFUNCTION("""COMPUTED_VALUE"""),"HZIN043-F")</f>
        <v>HZIN043-F</v>
      </c>
      <c r="S13" s="72" t="str">
        <f>IFERROR(__xludf.DUMMYFUNCTION("""COMPUTED_VALUE"""),"ANCASH")</f>
        <v>ANCASH</v>
      </c>
      <c r="T13" s="81" t="str">
        <f>IFERROR(__xludf.DUMMYFUNCTION("""COMPUTED_VALUE"""),"Huaraz")</f>
        <v>Huaraz</v>
      </c>
      <c r="U13" s="82">
        <f>IFERROR(__xludf.DUMMYFUNCTION("""COMPUTED_VALUE"""),46256.0)</f>
        <v>46256</v>
      </c>
      <c r="V13" s="82">
        <f>IFERROR(__xludf.DUMMYFUNCTION("""COMPUTED_VALUE"""),46257.0)</f>
        <v>46257</v>
      </c>
      <c r="W13" s="72" t="str">
        <f>IFERROR(__xludf.DUMMYFUNCTION("""COMPUTED_VALUE"""),"14")</f>
        <v>14</v>
      </c>
      <c r="X13" s="72">
        <f t="array" ref="X13">IF(B13&lt;&gt;"",INDEX(LISTA!$M$2:$N$27,MATCH(S13,LISTA!$N$2:$N$27,0),1),"")</f>
        <v>5</v>
      </c>
    </row>
    <row r="14">
      <c r="A14" s="49">
        <v>3.0</v>
      </c>
      <c r="B14" s="52">
        <f>IFERROR(__xludf.DUMMYFUNCTION("""COMPUTED_VALUE"""),46255.41206212963)</f>
        <v>46255.41206</v>
      </c>
      <c r="C14" s="58" t="str">
        <f>IFERROR(__xludf.DUMMYFUNCTION("""COMPUTED_VALUE"""),"4 - PROG-TEC EN CASA")</f>
        <v>4 - PROG-TEC EN CASA</v>
      </c>
      <c r="D14" s="58" t="str">
        <f>IFERROR(__xludf.DUMMYFUNCTION("""COMPUTED_VALUE"""),"MASIVO RESIDENCIAL")</f>
        <v>MASIVO RESIDENCIAL</v>
      </c>
      <c r="E14" s="61">
        <f>IFERROR(__xludf.DUMMYFUNCTION("""COMPUTED_VALUE"""),46258.375)</f>
        <v>46258.375</v>
      </c>
      <c r="F14" s="64" t="str">
        <f>IFERROR(__xludf.DUMMYFUNCTION("""COMPUTED_VALUE"""),"106395162")</f>
        <v>106395162</v>
      </c>
      <c r="G14" s="66" t="str">
        <f>IFERROR(__xludf.DUMMYFUNCTION("""COMPUTED_VALUE"""),"90197606")</f>
        <v>90197606</v>
      </c>
      <c r="H14" s="68" t="str">
        <f>IFERROR(__xludf.DUMMYFUNCTION("""COMPUTED_VALUE"""),"M. JOSE")</f>
        <v>M. JOSE</v>
      </c>
      <c r="I14" s="71" t="str">
        <f>IFERROR(__xludf.DUMMYFUNCTION("""COMPUTED_VALUE"""),"955243310")</f>
        <v>955243310</v>
      </c>
      <c r="J14" s="72" t="str">
        <f>IFERROR(__xludf.DUMMYFUNCTION("""COMPUTED_VALUE"""),"DNI")</f>
        <v>DNI</v>
      </c>
      <c r="K14" s="72" t="str">
        <f>IFERROR(__xludf.DUMMYFUNCTION("""COMPUTED_VALUE"""),"29545482")</f>
        <v>29545482</v>
      </c>
      <c r="L14" s="75" t="str">
        <f>IFERROR(__xludf.DUMMYFUNCTION("""COMPUTED_VALUE"""),"LUCIA CHAMBI DE APAZA")</f>
        <v>LUCIA CHAMBI DE APAZA</v>
      </c>
      <c r="M14" s="72" t="str">
        <f>IFERROR(__xludf.DUMMYFUNCTION("""COMPUTED_VALUE"""),"Fernando")</f>
        <v>Fernando</v>
      </c>
      <c r="N14" s="72" t="str">
        <f>IFERROR(__xludf.DUMMYFUNCTION("""COMPUTED_VALUE"""),"Florentina")</f>
        <v>Florentina</v>
      </c>
      <c r="O14" s="76" t="str">
        <f>IFERROR(__xludf.DUMMYFUNCTION("""COMPUTED_VALUE"""),"955243310 ")</f>
        <v>955243310 </v>
      </c>
      <c r="P14" s="72" t="str">
        <f>IFERROR(__xludf.DUMMYFUNCTION("""COMPUTED_VALUE"""),"955243310 ")</f>
        <v>955243310 </v>
      </c>
      <c r="Q14" s="72" t="str">
        <f>IFERROR(__xludf.DUMMYFUNCTION("""COMPUTED_VALUE"""),"955243310 ")</f>
        <v>955243310 </v>
      </c>
      <c r="R14" s="72" t="str">
        <f>IFERROR(__xludf.DUMMYFUNCTION("""COMPUTED_VALUE""")," AQPP001-S")</f>
        <v> AQPP001-S</v>
      </c>
      <c r="S14" s="72" t="str">
        <f>IFERROR(__xludf.DUMMYFUNCTION("""COMPUTED_VALUE"""),"AREQUIPA")</f>
        <v>AREQUIPA</v>
      </c>
      <c r="T14" s="81" t="str">
        <f>IFERROR(__xludf.DUMMYFUNCTION("""COMPUTED_VALUE"""),"Arequipa")</f>
        <v>Arequipa</v>
      </c>
      <c r="U14" s="82">
        <f>IFERROR(__xludf.DUMMYFUNCTION("""COMPUTED_VALUE"""),46255.0)</f>
        <v>46255</v>
      </c>
      <c r="V14" s="82">
        <f>IFERROR(__xludf.DUMMYFUNCTION("""COMPUTED_VALUE"""),46258.0)</f>
        <v>46258</v>
      </c>
      <c r="W14" s="72" t="str">
        <f>IFERROR(__xludf.DUMMYFUNCTION("""COMPUTED_VALUE"""),"09")</f>
        <v>09</v>
      </c>
      <c r="X14" s="72">
        <f t="array" ref="X14">IF(B14&lt;&gt;"",INDEX(LISTA!$M$2:$N$27,MATCH(S14,LISTA!$N$2:$N$27,0),1),"")</f>
        <v>7</v>
      </c>
    </row>
    <row r="15">
      <c r="A15" s="49">
        <v>4.0</v>
      </c>
      <c r="B15" s="52">
        <f>IFERROR(__xludf.DUMMYFUNCTION("""COMPUTED_VALUE"""),46253.4399703588)</f>
        <v>46253.43997</v>
      </c>
      <c r="C15" s="58" t="str">
        <f>IFERROR(__xludf.DUMMYFUNCTION("""COMPUTED_VALUE"""),"4 - PROG-TEC EN CASA")</f>
        <v>4 - PROG-TEC EN CASA</v>
      </c>
      <c r="D15" s="58" t="str">
        <f>IFERROR(__xludf.DUMMYFUNCTION("""COMPUTED_VALUE"""),"MASIVO RESIDENCIAL")</f>
        <v>MASIVO RESIDENCIAL</v>
      </c>
      <c r="E15" s="61">
        <f>IFERROR(__xludf.DUMMYFUNCTION("""COMPUTED_VALUE"""),46259.0)</f>
        <v>46259</v>
      </c>
      <c r="F15" s="64" t="str">
        <f>IFERROR(__xludf.DUMMYFUNCTION("""COMPUTED_VALUE"""),"106330100")</f>
        <v>106330100</v>
      </c>
      <c r="G15" s="66" t="str">
        <f>IFERROR(__xludf.DUMMYFUNCTION("""COMPUTED_VALUE"""),"90138977")</f>
        <v>90138977</v>
      </c>
      <c r="H15" s="68" t="str">
        <f>IFERROR(__xludf.DUMMYFUNCTION("""COMPUTED_VALUE"""),"ELIZABETH.L")</f>
        <v>ELIZABETH.L</v>
      </c>
      <c r="I15" s="71" t="str">
        <f>IFERROR(__xludf.DUMMYFUNCTION("""COMPUTED_VALUE"""),"944893043")</f>
        <v>944893043</v>
      </c>
      <c r="J15" s="72" t="str">
        <f>IFERROR(__xludf.DUMMYFUNCTION("""COMPUTED_VALUE"""),"DNI")</f>
        <v>DNI</v>
      </c>
      <c r="K15" s="72" t="str">
        <f>IFERROR(__xludf.DUMMYFUNCTION("""COMPUTED_VALUE"""),"45670091")</f>
        <v>45670091</v>
      </c>
      <c r="L15" s="75" t="str">
        <f>IFERROR(__xludf.DUMMYFUNCTION("""COMPUTED_VALUE"""),"JOSE LUIS PAUCARA CLEMENTE")</f>
        <v>JOSE LUIS PAUCARA CLEMENTE</v>
      </c>
      <c r="M15" s="72" t="str">
        <f>IFERROR(__xludf.DUMMYFUNCTION("""COMPUTED_VALUE"""),"ALBERTO")</f>
        <v>ALBERTO</v>
      </c>
      <c r="N15" s="72" t="str">
        <f>IFERROR(__xludf.DUMMYFUNCTION("""COMPUTED_VALUE"""),"YOLANDA")</f>
        <v>YOLANDA</v>
      </c>
      <c r="O15" s="76" t="str">
        <f>IFERROR(__xludf.DUMMYFUNCTION("""COMPUTED_VALUE"""),"944893043")</f>
        <v>944893043</v>
      </c>
      <c r="P15" s="72" t="str">
        <f>IFERROR(__xludf.DUMMYFUNCTION("""COMPUTED_VALUE"""),"944893043")</f>
        <v>944893043</v>
      </c>
      <c r="Q15" s="72" t="str">
        <f>IFERROR(__xludf.DUMMYFUNCTION("""COMPUTED_VALUE"""),"944893043")</f>
        <v>944893043</v>
      </c>
      <c r="R15" s="72" t="str">
        <f>IFERROR(__xludf.DUMMYFUNCTION("""COMPUTED_VALUE"""),"TCNA021-S")</f>
        <v>TCNA021-S</v>
      </c>
      <c r="S15" s="72" t="str">
        <f>IFERROR(__xludf.DUMMYFUNCTION("""COMPUTED_VALUE"""),"TACNA")</f>
        <v>TACNA</v>
      </c>
      <c r="T15" s="81" t="str">
        <f>IFERROR(__xludf.DUMMYFUNCTION("""COMPUTED_VALUE"""),"Tacna")</f>
        <v>Tacna</v>
      </c>
      <c r="U15" s="82">
        <f>IFERROR(__xludf.DUMMYFUNCTION("""COMPUTED_VALUE"""),46253.0)</f>
        <v>46253</v>
      </c>
      <c r="V15" s="82">
        <f>IFERROR(__xludf.DUMMYFUNCTION("""COMPUTED_VALUE"""),46259.0)</f>
        <v>46259</v>
      </c>
      <c r="W15" s="72" t="str">
        <f>IFERROR(__xludf.DUMMYFUNCTION("""COMPUTED_VALUE"""),"00")</f>
        <v>00</v>
      </c>
      <c r="X15" s="72">
        <f t="array" ref="X15">IF(B15&lt;&gt;"",INDEX(LISTA!$M$2:$N$27,MATCH(S15,LISTA!$N$2:$N$27,0),1),"")</f>
        <v>24</v>
      </c>
    </row>
    <row r="16">
      <c r="A16" s="49">
        <v>5.0</v>
      </c>
      <c r="B16" s="52">
        <f>IFERROR(__xludf.DUMMYFUNCTION("""COMPUTED_VALUE"""),46252.767212060186)</f>
        <v>46252.76721</v>
      </c>
      <c r="C16" s="58" t="str">
        <f>IFERROR(__xludf.DUMMYFUNCTION("""COMPUTED_VALUE"""),"4 - PROG-EJECUCION")</f>
        <v>4 - PROG-EJECUCION</v>
      </c>
      <c r="D16" s="58" t="str">
        <f>IFERROR(__xludf.DUMMYFUNCTION("""COMPUTED_VALUE"""),"MASIVO RESIDENCIAL")</f>
        <v>MASIVO RESIDENCIAL</v>
      </c>
      <c r="E16" s="61">
        <f>IFERROR(__xludf.DUMMYFUNCTION("""COMPUTED_VALUE"""),46259.375)</f>
        <v>46259.375</v>
      </c>
      <c r="F16" s="64" t="str">
        <f>IFERROR(__xludf.DUMMYFUNCTION("""COMPUTED_VALUE"""),"106320585")</f>
        <v>106320585</v>
      </c>
      <c r="G16" s="66" t="str">
        <f>IFERROR(__xludf.DUMMYFUNCTION("""COMPUTED_VALUE"""),"90125426")</f>
        <v>90125426</v>
      </c>
      <c r="H16" s="68" t="str">
        <f>IFERROR(__xludf.DUMMYFUNCTION("""COMPUTED_VALUE"""),"JORGE")</f>
        <v>JORGE</v>
      </c>
      <c r="I16" s="71" t="str">
        <f>IFERROR(__xludf.DUMMYFUNCTION("""COMPUTED_VALUE"""),"976228310")</f>
        <v>976228310</v>
      </c>
      <c r="J16" s="72" t="str">
        <f>IFERROR(__xludf.DUMMYFUNCTION("""COMPUTED_VALUE"""),"DNI")</f>
        <v>DNI</v>
      </c>
      <c r="K16" s="72" t="str">
        <f>IFERROR(__xludf.DUMMYFUNCTION("""COMPUTED_VALUE"""),"40241576")</f>
        <v>40241576</v>
      </c>
      <c r="L16" s="75" t="str">
        <f>IFERROR(__xludf.DUMMYFUNCTION("""COMPUTED_VALUE"""),"CARLOS ALBERTO SILVERA PEÑA")</f>
        <v>CARLOS ALBERTO SILVERA PEÑA</v>
      </c>
      <c r="M16" s="72" t="str">
        <f>IFERROR(__xludf.DUMMYFUNCTION("""COMPUTED_VALUE"""),"JOSE")</f>
        <v>JOSE</v>
      </c>
      <c r="N16" s="72" t="str">
        <f>IFERROR(__xludf.DUMMYFUNCTION("""COMPUTED_VALUE"""),"MAXIMILIANA")</f>
        <v>MAXIMILIANA</v>
      </c>
      <c r="O16" s="76" t="str">
        <f>IFERROR(__xludf.DUMMYFUNCTION("""COMPUTED_VALUE"""),"976228310")</f>
        <v>976228310</v>
      </c>
      <c r="P16" s="72" t="str">
        <f>IFERROR(__xludf.DUMMYFUNCTION("""COMPUTED_VALUE"""),"976228310")</f>
        <v>976228310</v>
      </c>
      <c r="Q16" s="72" t="str">
        <f>IFERROR(__xludf.DUMMYFUNCTION("""COMPUTED_VALUE"""),"976228310")</f>
        <v>976228310</v>
      </c>
      <c r="R16" s="72" t="str">
        <f>IFERROR(__xludf.DUMMYFUNCTION("""COMPUTED_VALUE"""),"LMCH181-F")</f>
        <v>LMCH181-F</v>
      </c>
      <c r="S16" s="72" t="str">
        <f>IFERROR(__xludf.DUMMYFUNCTION("""COMPUTED_VALUE"""),"LIMA METROPOLITANA")</f>
        <v>LIMA METROPOLITANA</v>
      </c>
      <c r="T16" s="81" t="str">
        <f>IFERROR(__xludf.DUMMYFUNCTION("""COMPUTED_VALUE"""),"Chorrillos")</f>
        <v>Chorrillos</v>
      </c>
      <c r="U16" s="82">
        <f>IFERROR(__xludf.DUMMYFUNCTION("""COMPUTED_VALUE"""),46252.0)</f>
        <v>46252</v>
      </c>
      <c r="V16" s="82">
        <f>IFERROR(__xludf.DUMMYFUNCTION("""COMPUTED_VALUE"""),46259.0)</f>
        <v>46259</v>
      </c>
      <c r="W16" s="72" t="str">
        <f>IFERROR(__xludf.DUMMYFUNCTION("""COMPUTED_VALUE"""),"09")</f>
        <v>09</v>
      </c>
      <c r="X16" s="72">
        <f t="array" ref="X16">IF(B16&lt;&gt;"",INDEX(LISTA!$M$2:$N$27,MATCH(S16,LISTA!$N$2:$N$27,0),1),"")</f>
        <v>1</v>
      </c>
    </row>
    <row r="17">
      <c r="A17" s="49">
        <v>6.0</v>
      </c>
      <c r="B17" s="52">
        <f>IFERROR(__xludf.DUMMYFUNCTION("""COMPUTED_VALUE"""),46256.657322280094)</f>
        <v>46256.65732</v>
      </c>
      <c r="C17" s="58" t="str">
        <f>IFERROR(__xludf.DUMMYFUNCTION("""COMPUTED_VALUE"""),"4 - PROG-EJECUCION")</f>
        <v>4 - PROG-EJECUCION</v>
      </c>
      <c r="D17" s="58" t="str">
        <f>IFERROR(__xludf.DUMMYFUNCTION("""COMPUTED_VALUE"""),"MASIVO RESIDENCIAL")</f>
        <v>MASIVO RESIDENCIAL</v>
      </c>
      <c r="E17" s="61">
        <f>IFERROR(__xludf.DUMMYFUNCTION("""COMPUTED_VALUE"""),46259.375)</f>
        <v>46259.375</v>
      </c>
      <c r="F17" s="64" t="str">
        <f>IFERROR(__xludf.DUMMYFUNCTION("""COMPUTED_VALUE"""),"106438765")</f>
        <v>106438765</v>
      </c>
      <c r="G17" s="66" t="str">
        <f>IFERROR(__xludf.DUMMYFUNCTION("""COMPUTED_VALUE"""),"90225775")</f>
        <v>90225775</v>
      </c>
      <c r="H17" s="68" t="str">
        <f>IFERROR(__xludf.DUMMYFUNCTION("""COMPUTED_VALUE"""),"MIGUEL.A")</f>
        <v>MIGUEL.A</v>
      </c>
      <c r="I17" s="71" t="str">
        <f>IFERROR(__xludf.DUMMYFUNCTION("""COMPUTED_VALUE"""),"931880474")</f>
        <v>931880474</v>
      </c>
      <c r="J17" s="72" t="str">
        <f>IFERROR(__xludf.DUMMYFUNCTION("""COMPUTED_VALUE"""),"DNI")</f>
        <v>DNI</v>
      </c>
      <c r="K17" s="72" t="str">
        <f>IFERROR(__xludf.DUMMYFUNCTION("""COMPUTED_VALUE"""),"76819354")</f>
        <v>76819354</v>
      </c>
      <c r="L17" s="75" t="str">
        <f>IFERROR(__xludf.DUMMYFUNCTION("""COMPUTED_VALUE"""),"FAYE FERNANDA PORTILLA DAZA")</f>
        <v>FAYE FERNANDA PORTILLA DAZA</v>
      </c>
      <c r="M17" s="72" t="str">
        <f>IFERROR(__xludf.DUMMYFUNCTION("""COMPUTED_VALUE"""),"luis")</f>
        <v>luis</v>
      </c>
      <c r="N17" s="72" t="str">
        <f>IFERROR(__xludf.DUMMYFUNCTION("""COMPUTED_VALUE"""),"marina")</f>
        <v>marina</v>
      </c>
      <c r="O17" s="76" t="str">
        <f>IFERROR(__xludf.DUMMYFUNCTION("""COMPUTED_VALUE"""),"931880474")</f>
        <v>931880474</v>
      </c>
      <c r="P17" s="72" t="str">
        <f>IFERROR(__xludf.DUMMYFUNCTION("""COMPUTED_VALUE"""),"931880474")</f>
        <v>931880474</v>
      </c>
      <c r="Q17" s="72" t="str">
        <f>IFERROR(__xludf.DUMMYFUNCTION("""COMPUTED_VALUE"""),"931880474")</f>
        <v>931880474</v>
      </c>
      <c r="R17" s="72" t="str">
        <f>IFERROR(__xludf.DUMMYFUNCTION("""COMPUTED_VALUE"""),"MQMN020-S")</f>
        <v>MQMN020-S</v>
      </c>
      <c r="S17" s="72" t="str">
        <f>IFERROR(__xludf.DUMMYFUNCTION("""COMPUTED_VALUE"""),"MOQUEGUA")</f>
        <v>MOQUEGUA</v>
      </c>
      <c r="T17" s="81" t="str">
        <f>IFERROR(__xludf.DUMMYFUNCTION("""COMPUTED_VALUE"""),"Mariscal Nieto")</f>
        <v>Mariscal Nieto</v>
      </c>
      <c r="U17" s="82">
        <f>IFERROR(__xludf.DUMMYFUNCTION("""COMPUTED_VALUE"""),46256.0)</f>
        <v>46256</v>
      </c>
      <c r="V17" s="82">
        <f>IFERROR(__xludf.DUMMYFUNCTION("""COMPUTED_VALUE"""),46259.0)</f>
        <v>46259</v>
      </c>
      <c r="W17" s="72" t="str">
        <f>IFERROR(__xludf.DUMMYFUNCTION("""COMPUTED_VALUE"""),"09")</f>
        <v>09</v>
      </c>
      <c r="X17" s="72">
        <f t="array" ref="X17">IF(B17&lt;&gt;"",INDEX(LISTA!$M$2:$N$27,MATCH(S17,LISTA!$N$2:$N$27,0),1),"")</f>
        <v>19</v>
      </c>
    </row>
    <row r="18">
      <c r="A18" s="49">
        <v>7.0</v>
      </c>
      <c r="B18" s="52">
        <f>IFERROR(__xludf.DUMMYFUNCTION("""COMPUTED_VALUE"""),46256.444109398144)</f>
        <v>46256.44411</v>
      </c>
      <c r="C18" s="58" t="str">
        <f>IFERROR(__xludf.DUMMYFUNCTION("""COMPUTED_VALUE"""),"4 - PROG-EJECUCION")</f>
        <v>4 - PROG-EJECUCION</v>
      </c>
      <c r="D18" s="58" t="str">
        <f>IFERROR(__xludf.DUMMYFUNCTION("""COMPUTED_VALUE"""),"MASIVO RESIDENCIAL")</f>
        <v>MASIVO RESIDENCIAL</v>
      </c>
      <c r="E18" s="61">
        <f>IFERROR(__xludf.DUMMYFUNCTION("""COMPUTED_VALUE"""),46259.58333333333)</f>
        <v>46259.58333</v>
      </c>
      <c r="F18" s="64" t="str">
        <f>IFERROR(__xludf.DUMMYFUNCTION("""COMPUTED_VALUE"""),"106432973")</f>
        <v>106432973</v>
      </c>
      <c r="G18" s="66" t="str">
        <f>IFERROR(__xludf.DUMMYFUNCTION("""COMPUTED_VALUE"""),"90223124")</f>
        <v>90223124</v>
      </c>
      <c r="H18" s="68" t="str">
        <f>IFERROR(__xludf.DUMMYFUNCTION("""COMPUTED_VALUE"""),"M. JOSE")</f>
        <v>M. JOSE</v>
      </c>
      <c r="I18" s="71" t="str">
        <f>IFERROR(__xludf.DUMMYFUNCTION("""COMPUTED_VALUE"""),"955215757")</f>
        <v>955215757</v>
      </c>
      <c r="J18" s="72" t="str">
        <f>IFERROR(__xludf.DUMMYFUNCTION("""COMPUTED_VALUE"""),"DNI")</f>
        <v>DNI</v>
      </c>
      <c r="K18" s="72" t="str">
        <f>IFERROR(__xludf.DUMMYFUNCTION("""COMPUTED_VALUE"""),"60652623")</f>
        <v>60652623</v>
      </c>
      <c r="L18" s="75" t="str">
        <f>IFERROR(__xludf.DUMMYFUNCTION("""COMPUTED_VALUE"""),"LIZBETH JOHANA JARA CANDELA")</f>
        <v>LIZBETH JOHANA JARA CANDELA</v>
      </c>
      <c r="M18" s="72" t="str">
        <f>IFERROR(__xludf.DUMMYFUNCTION("""COMPUTED_VALUE"""),"EUGENIO")</f>
        <v>EUGENIO</v>
      </c>
      <c r="N18" s="72" t="str">
        <f>IFERROR(__xludf.DUMMYFUNCTION("""COMPUTED_VALUE"""),"YRENE ")</f>
        <v>YRENE </v>
      </c>
      <c r="O18" s="76" t="str">
        <f>IFERROR(__xludf.DUMMYFUNCTION("""COMPUTED_VALUE"""),"955215757")</f>
        <v>955215757</v>
      </c>
      <c r="P18" s="72" t="str">
        <f>IFERROR(__xludf.DUMMYFUNCTION("""COMPUTED_VALUE"""),"955215757")</f>
        <v>955215757</v>
      </c>
      <c r="Q18" s="72" t="str">
        <f>IFERROR(__xludf.DUMMYFUNCTION("""COMPUTED_VALUE"""),"955215757")</f>
        <v>955215757</v>
      </c>
      <c r="R18" s="72" t="str">
        <f>IFERROR(__xludf.DUMMYFUNCTION("""COMPUTED_VALUE"""),"LMJL167-S")</f>
        <v>LMJL167-S</v>
      </c>
      <c r="S18" s="72" t="str">
        <f>IFERROR(__xludf.DUMMYFUNCTION("""COMPUTED_VALUE"""),"LIMA METROPOLITANA")</f>
        <v>LIMA METROPOLITANA</v>
      </c>
      <c r="T18" s="81" t="str">
        <f>IFERROR(__xludf.DUMMYFUNCTION("""COMPUTED_VALUE"""),"San Juan de Lurigancho")</f>
        <v>San Juan de Lurigancho</v>
      </c>
      <c r="U18" s="82">
        <f>IFERROR(__xludf.DUMMYFUNCTION("""COMPUTED_VALUE"""),46256.0)</f>
        <v>46256</v>
      </c>
      <c r="V18" s="82">
        <f>IFERROR(__xludf.DUMMYFUNCTION("""COMPUTED_VALUE"""),46259.0)</f>
        <v>46259</v>
      </c>
      <c r="W18" s="72" t="str">
        <f>IFERROR(__xludf.DUMMYFUNCTION("""COMPUTED_VALUE"""),"14")</f>
        <v>14</v>
      </c>
      <c r="X18" s="72">
        <f t="array" ref="X18">IF(B18&lt;&gt;"",INDEX(LISTA!$M$2:$N$27,MATCH(S18,LISTA!$N$2:$N$27,0),1),"")</f>
        <v>1</v>
      </c>
    </row>
    <row r="19">
      <c r="A19" s="49">
        <v>8.0</v>
      </c>
      <c r="B19" s="52">
        <f>IFERROR(__xludf.DUMMYFUNCTION("""COMPUTED_VALUE"""),46256.54439585648)</f>
        <v>46256.5444</v>
      </c>
      <c r="C19" s="58" t="str">
        <f>IFERROR(__xludf.DUMMYFUNCTION("""COMPUTED_VALUE"""),"4 - PROG-EJECUCION")</f>
        <v>4 - PROG-EJECUCION</v>
      </c>
      <c r="D19" s="58" t="str">
        <f>IFERROR(__xludf.DUMMYFUNCTION("""COMPUTED_VALUE"""),"MASIVO RESIDENCIAL")</f>
        <v>MASIVO RESIDENCIAL</v>
      </c>
      <c r="E19" s="61">
        <f>IFERROR(__xludf.DUMMYFUNCTION("""COMPUTED_VALUE"""),46259.58333333333)</f>
        <v>46259.58333</v>
      </c>
      <c r="F19" s="64" t="str">
        <f>IFERROR(__xludf.DUMMYFUNCTION("""COMPUTED_VALUE"""),"106464359")</f>
        <v>106464359</v>
      </c>
      <c r="G19" s="66" t="str">
        <f>IFERROR(__xludf.DUMMYFUNCTION("""COMPUTED_VALUE"""),"90242014")</f>
        <v>90242014</v>
      </c>
      <c r="H19" s="68" t="str">
        <f>IFERROR(__xludf.DUMMYFUNCTION("""COMPUTED_VALUE"""),"JORGE")</f>
        <v>JORGE</v>
      </c>
      <c r="I19" s="71" t="str">
        <f>IFERROR(__xludf.DUMMYFUNCTION("""COMPUTED_VALUE"""),"993226938")</f>
        <v>993226938</v>
      </c>
      <c r="J19" s="72" t="str">
        <f>IFERROR(__xludf.DUMMYFUNCTION("""COMPUTED_VALUE"""),"DNI")</f>
        <v>DNI</v>
      </c>
      <c r="K19" s="72" t="str">
        <f>IFERROR(__xludf.DUMMYFUNCTION("""COMPUTED_VALUE"""),"76265171")</f>
        <v>76265171</v>
      </c>
      <c r="L19" s="75" t="str">
        <f>IFERROR(__xludf.DUMMYFUNCTION("""COMPUTED_VALUE"""),"GONZALO JOEL CHAUCAYANQUI CIÑA ")</f>
        <v>GONZALO JOEL CHAUCAYANQUI CIÑA </v>
      </c>
      <c r="M19" s="72" t="str">
        <f>IFERROR(__xludf.DUMMYFUNCTION("""COMPUTED_VALUE"""),"GONZALO HUGO")</f>
        <v>GONZALO HUGO</v>
      </c>
      <c r="N19" s="72" t="str">
        <f>IFERROR(__xludf.DUMMYFUNCTION("""COMPUTED_VALUE"""),"LOURDES OLGA")</f>
        <v>LOURDES OLGA</v>
      </c>
      <c r="O19" s="76" t="str">
        <f>IFERROR(__xludf.DUMMYFUNCTION("""COMPUTED_VALUE"""),"993226938")</f>
        <v>993226938</v>
      </c>
      <c r="P19" s="72" t="str">
        <f>IFERROR(__xludf.DUMMYFUNCTION("""COMPUTED_VALUE"""),"993226938")</f>
        <v>993226938</v>
      </c>
      <c r="Q19" s="72" t="str">
        <f>IFERROR(__xludf.DUMMYFUNCTION("""COMPUTED_VALUE"""),"993226938")</f>
        <v>993226938</v>
      </c>
      <c r="R19" s="72" t="str">
        <f>IFERROR(__xludf.DUMMYFUNCTION("""COMPUTED_VALUE"""),"AQCC135-F")</f>
        <v>AQCC135-F</v>
      </c>
      <c r="S19" s="72" t="str">
        <f>IFERROR(__xludf.DUMMYFUNCTION("""COMPUTED_VALUE"""),"AREQUIPA")</f>
        <v>AREQUIPA</v>
      </c>
      <c r="T19" s="81" t="str">
        <f>IFERROR(__xludf.DUMMYFUNCTION("""COMPUTED_VALUE"""),"Arequipa")</f>
        <v>Arequipa</v>
      </c>
      <c r="U19" s="82">
        <f>IFERROR(__xludf.DUMMYFUNCTION("""COMPUTED_VALUE"""),46256.0)</f>
        <v>46256</v>
      </c>
      <c r="V19" s="82">
        <f>IFERROR(__xludf.DUMMYFUNCTION("""COMPUTED_VALUE"""),46259.0)</f>
        <v>46259</v>
      </c>
      <c r="W19" s="72" t="str">
        <f>IFERROR(__xludf.DUMMYFUNCTION("""COMPUTED_VALUE"""),"14")</f>
        <v>14</v>
      </c>
      <c r="X19" s="72">
        <f t="array" ref="X19">IF(B19&lt;&gt;"",INDEX(LISTA!$M$2:$N$27,MATCH(S19,LISTA!$N$2:$N$27,0),1),"")</f>
        <v>7</v>
      </c>
    </row>
    <row r="20">
      <c r="A20" s="49">
        <v>9.0</v>
      </c>
      <c r="B20" s="52">
        <f>IFERROR(__xludf.DUMMYFUNCTION("""COMPUTED_VALUE"""),46255.69534024306)</f>
        <v>46255.69534</v>
      </c>
      <c r="C20" s="58" t="str">
        <f>IFERROR(__xludf.DUMMYFUNCTION("""COMPUTED_VALUE"""),"4 - PROG-EJECUCION")</f>
        <v>4 - PROG-EJECUCION</v>
      </c>
      <c r="D20" s="58" t="str">
        <f>IFERROR(__xludf.DUMMYFUNCTION("""COMPUTED_VALUE"""),"MASIVO RESIDENCIAL")</f>
        <v>MASIVO RESIDENCIAL</v>
      </c>
      <c r="E20" s="61">
        <f>IFERROR(__xludf.DUMMYFUNCTION("""COMPUTED_VALUE"""),46260.375)</f>
        <v>46260.375</v>
      </c>
      <c r="F20" s="64" t="str">
        <f>IFERROR(__xludf.DUMMYFUNCTION("""COMPUTED_VALUE"""),"106411563")</f>
        <v>106411563</v>
      </c>
      <c r="G20" s="66" t="str">
        <f>IFERROR(__xludf.DUMMYFUNCTION("""COMPUTED_VALUE"""),"90207301")</f>
        <v>90207301</v>
      </c>
      <c r="H20" s="68" t="str">
        <f>IFERROR(__xludf.DUMMYFUNCTION("""COMPUTED_VALUE"""),"JULIANA")</f>
        <v>JULIANA</v>
      </c>
      <c r="I20" s="71" t="str">
        <f>IFERROR(__xludf.DUMMYFUNCTION("""COMPUTED_VALUE"""),"958146401")</f>
        <v>958146401</v>
      </c>
      <c r="J20" s="72" t="str">
        <f>IFERROR(__xludf.DUMMYFUNCTION("""COMPUTED_VALUE"""),"DNI")</f>
        <v>DNI</v>
      </c>
      <c r="K20" s="72" t="str">
        <f>IFERROR(__xludf.DUMMYFUNCTION("""COMPUTED_VALUE"""),"23874401")</f>
        <v>23874401</v>
      </c>
      <c r="L20" s="75" t="str">
        <f>IFERROR(__xludf.DUMMYFUNCTION("""COMPUTED_VALUE"""),"CARMEN ROSA ACURIO CANAL")</f>
        <v>CARMEN ROSA ACURIO CANAL</v>
      </c>
      <c r="M20" s="72" t="str">
        <f>IFERROR(__xludf.DUMMYFUNCTION("""COMPUTED_VALUE"""),"FORTUNATO")</f>
        <v>FORTUNATO</v>
      </c>
      <c r="N20" s="72" t="str">
        <f>IFERROR(__xludf.DUMMYFUNCTION("""COMPUTED_VALUE"""),"TEODORA")</f>
        <v>TEODORA</v>
      </c>
      <c r="O20" s="76" t="str">
        <f>IFERROR(__xludf.DUMMYFUNCTION("""COMPUTED_VALUE"""),"958146401")</f>
        <v>958146401</v>
      </c>
      <c r="P20" s="72" t="str">
        <f>IFERROR(__xludf.DUMMYFUNCTION("""COMPUTED_VALUE"""),"958146401")</f>
        <v>958146401</v>
      </c>
      <c r="Q20" s="72" t="str">
        <f>IFERROR(__xludf.DUMMYFUNCTION("""COMPUTED_VALUE"""),"958146401")</f>
        <v>958146401</v>
      </c>
      <c r="R20" s="72" t="str">
        <f>IFERROR(__xludf.DUMMYFUNCTION("""COMPUTED_VALUE"""),"CZCZ043-F")</f>
        <v>CZCZ043-F</v>
      </c>
      <c r="S20" s="72" t="str">
        <f>IFERROR(__xludf.DUMMYFUNCTION("""COMPUTED_VALUE"""),"CUSCO")</f>
        <v>CUSCO</v>
      </c>
      <c r="T20" s="81" t="str">
        <f>IFERROR(__xludf.DUMMYFUNCTION("""COMPUTED_VALUE"""),"Cusco")</f>
        <v>Cusco</v>
      </c>
      <c r="U20" s="82">
        <f>IFERROR(__xludf.DUMMYFUNCTION("""COMPUTED_VALUE"""),46255.0)</f>
        <v>46255</v>
      </c>
      <c r="V20" s="82">
        <f>IFERROR(__xludf.DUMMYFUNCTION("""COMPUTED_VALUE"""),46260.0)</f>
        <v>46260</v>
      </c>
      <c r="W20" s="72" t="str">
        <f>IFERROR(__xludf.DUMMYFUNCTION("""COMPUTED_VALUE"""),"09")</f>
        <v>09</v>
      </c>
      <c r="X20" s="72">
        <f t="array" ref="X20">IF(B20&lt;&gt;"",INDEX(LISTA!$M$2:$N$27,MATCH(S20,LISTA!$N$2:$N$27,0),1),"")</f>
        <v>10</v>
      </c>
    </row>
    <row r="21">
      <c r="A21" s="49">
        <v>10.0</v>
      </c>
      <c r="B21" s="52">
        <f>IFERROR(__xludf.DUMMYFUNCTION("""COMPUTED_VALUE"""),46254.55699848379)</f>
        <v>46254.557</v>
      </c>
      <c r="C21" s="58" t="str">
        <f>IFERROR(__xludf.DUMMYFUNCTION("""COMPUTED_VALUE"""),"4 - PROG-EJECUCION")</f>
        <v>4 - PROG-EJECUCION</v>
      </c>
      <c r="D21" s="58" t="str">
        <f>IFERROR(__xludf.DUMMYFUNCTION("""COMPUTED_VALUE"""),"MASIVO RESIDENCIAL")</f>
        <v>MASIVO RESIDENCIAL</v>
      </c>
      <c r="E21" s="61">
        <f>IFERROR(__xludf.DUMMYFUNCTION("""COMPUTED_VALUE"""),46265.58333333333)</f>
        <v>46265.58333</v>
      </c>
      <c r="F21" s="64" t="str">
        <f>IFERROR(__xludf.DUMMYFUNCTION("""COMPUTED_VALUE"""),"106371012")</f>
        <v>106371012</v>
      </c>
      <c r="G21" s="66" t="str">
        <f>IFERROR(__xludf.DUMMYFUNCTION("""COMPUTED_VALUE"""),"90168319")</f>
        <v>90168319</v>
      </c>
      <c r="H21" s="68" t="str">
        <f>IFERROR(__xludf.DUMMYFUNCTION("""COMPUTED_VALUE"""),"YESSENIA")</f>
        <v>YESSENIA</v>
      </c>
      <c r="I21" s="71" t="str">
        <f>IFERROR(__xludf.DUMMYFUNCTION("""COMPUTED_VALUE"""),"969857592")</f>
        <v>969857592</v>
      </c>
      <c r="J21" s="72" t="str">
        <f>IFERROR(__xludf.DUMMYFUNCTION("""COMPUTED_VALUE"""),"DNI")</f>
        <v>DNI</v>
      </c>
      <c r="K21" s="72" t="str">
        <f>IFERROR(__xludf.DUMMYFUNCTION("""COMPUTED_VALUE"""),"00100936")</f>
        <v>00100936</v>
      </c>
      <c r="L21" s="75" t="str">
        <f>IFERROR(__xludf.DUMMYFUNCTION("""COMPUTED_VALUE"""),"DAN RAFAEL VELA DIAZ")</f>
        <v>DAN RAFAEL VELA DIAZ</v>
      </c>
      <c r="M21" s="72" t="str">
        <f>IFERROR(__xludf.DUMMYFUNCTION("""COMPUTED_VALUE"""),"NERY")</f>
        <v>NERY</v>
      </c>
      <c r="N21" s="72" t="str">
        <f>IFERROR(__xludf.DUMMYFUNCTION("""COMPUTED_VALUE"""),"RAFAEL")</f>
        <v>RAFAEL</v>
      </c>
      <c r="O21" s="76" t="str">
        <f>IFERROR(__xludf.DUMMYFUNCTION("""COMPUTED_VALUE"""),"969857592")</f>
        <v>969857592</v>
      </c>
      <c r="P21" s="72" t="str">
        <f>IFERROR(__xludf.DUMMYFUNCTION("""COMPUTED_VALUE"""),"969857592")</f>
        <v>969857592</v>
      </c>
      <c r="Q21" s="72" t="str">
        <f>IFERROR(__xludf.DUMMYFUNCTION("""COMPUTED_VALUE"""),"969857592")</f>
        <v>969857592</v>
      </c>
      <c r="R21" s="72" t="str">
        <f>IFERROR(__xludf.DUMMYFUNCTION("""COMPUTED_VALUE"""),"CPYC008-S")</f>
        <v>CPYC008-S</v>
      </c>
      <c r="S21" s="72" t="str">
        <f>IFERROR(__xludf.DUMMYFUNCTION("""COMPUTED_VALUE"""),"LORETO")</f>
        <v>LORETO</v>
      </c>
      <c r="T21" s="81" t="str">
        <f>IFERROR(__xludf.DUMMYFUNCTION("""COMPUTED_VALUE"""),"Ucayali")</f>
        <v>Ucayali</v>
      </c>
      <c r="U21" s="82">
        <f>IFERROR(__xludf.DUMMYFUNCTION("""COMPUTED_VALUE"""),46254.0)</f>
        <v>46254</v>
      </c>
      <c r="V21" s="82">
        <f>IFERROR(__xludf.DUMMYFUNCTION("""COMPUTED_VALUE"""),46265.0)</f>
        <v>46265</v>
      </c>
      <c r="W21" s="72" t="str">
        <f>IFERROR(__xludf.DUMMYFUNCTION("""COMPUTED_VALUE"""),"14")</f>
        <v>14</v>
      </c>
      <c r="X21" s="72">
        <f t="array" ref="X21">IF(B21&lt;&gt;"",INDEX(LISTA!$M$2:$N$27,MATCH(S21,LISTA!$N$2:$N$27,0),1),"")</f>
        <v>17</v>
      </c>
    </row>
    <row r="22">
      <c r="A22" s="49">
        <v>11.0</v>
      </c>
      <c r="B22" s="52">
        <f>IFERROR(__xludf.DUMMYFUNCTION("""COMPUTED_VALUE"""),46255.442646689815)</f>
        <v>46255.44265</v>
      </c>
      <c r="C22" s="58" t="str">
        <f>IFERROR(__xludf.DUMMYFUNCTION("""COMPUTED_VALUE"""),"4 - PROG-EJECUCION")</f>
        <v>4 - PROG-EJECUCION</v>
      </c>
      <c r="D22" s="58" t="str">
        <f>IFERROR(__xludf.DUMMYFUNCTION("""COMPUTED_VALUE"""),"MASIVO RESIDENCIAL")</f>
        <v>MASIVO RESIDENCIAL</v>
      </c>
      <c r="E22" s="61">
        <f>IFERROR(__xludf.DUMMYFUNCTION("""COMPUTED_VALUE"""),46265.58333333333)</f>
        <v>46265.58333</v>
      </c>
      <c r="F22" s="64" t="str">
        <f>IFERROR(__xludf.DUMMYFUNCTION("""COMPUTED_VALUE"""),"106398568")</f>
        <v>106398568</v>
      </c>
      <c r="G22" s="66" t="str">
        <f>IFERROR(__xludf.DUMMYFUNCTION("""COMPUTED_VALUE"""),"90199522")</f>
        <v>90199522</v>
      </c>
      <c r="H22" s="68" t="str">
        <f>IFERROR(__xludf.DUMMYFUNCTION("""COMPUTED_VALUE"""),"XIOMARA.S")</f>
        <v>XIOMARA.S</v>
      </c>
      <c r="I22" s="71" t="str">
        <f>IFERROR(__xludf.DUMMYFUNCTION("""COMPUTED_VALUE"""),"990088000")</f>
        <v>990088000</v>
      </c>
      <c r="J22" s="72" t="str">
        <f>IFERROR(__xludf.DUMMYFUNCTION("""COMPUTED_VALUE"""),"DNI")</f>
        <v>DNI</v>
      </c>
      <c r="K22" s="72" t="str">
        <f>IFERROR(__xludf.DUMMYFUNCTION("""COMPUTED_VALUE"""),"44559029")</f>
        <v>44559029</v>
      </c>
      <c r="L22" s="75" t="str">
        <f>IFERROR(__xludf.DUMMYFUNCTION("""COMPUTED_VALUE"""),"JAANS AYALA GARAUNDO")</f>
        <v>JAANS AYALA GARAUNDO</v>
      </c>
      <c r="M22" s="72" t="str">
        <f>IFERROR(__xludf.DUMMYFUNCTION("""COMPUTED_VALUE"""),"Mario")</f>
        <v>Mario</v>
      </c>
      <c r="N22" s="72" t="str">
        <f>IFERROR(__xludf.DUMMYFUNCTION("""COMPUTED_VALUE"""),"Olga")</f>
        <v>Olga</v>
      </c>
      <c r="O22" s="76" t="str">
        <f>IFERROR(__xludf.DUMMYFUNCTION("""COMPUTED_VALUE"""),"990088000")</f>
        <v>990088000</v>
      </c>
      <c r="P22" s="72" t="str">
        <f>IFERROR(__xludf.DUMMYFUNCTION("""COMPUTED_VALUE"""),"990088000")</f>
        <v>990088000</v>
      </c>
      <c r="Q22" s="72" t="str">
        <f>IFERROR(__xludf.DUMMYFUNCTION("""COMPUTED_VALUE"""),"990088000")</f>
        <v>990088000</v>
      </c>
      <c r="R22" s="72" t="str">
        <f>IFERROR(__xludf.DUMMYFUNCTION("""COMPUTED_VALUE"""),"CCZPI003-F")</f>
        <v>CCZPI003-F</v>
      </c>
      <c r="S22" s="72" t="str">
        <f>IFERROR(__xludf.DUMMYFUNCTION("""COMPUTED_VALUE"""),"CUSCO")</f>
        <v>CUSCO</v>
      </c>
      <c r="T22" s="81" t="str">
        <f>IFERROR(__xludf.DUMMYFUNCTION("""COMPUTED_VALUE"""),"La Convención")</f>
        <v>La Convención</v>
      </c>
      <c r="U22" s="82">
        <f>IFERROR(__xludf.DUMMYFUNCTION("""COMPUTED_VALUE"""),46255.0)</f>
        <v>46255</v>
      </c>
      <c r="V22" s="82">
        <f>IFERROR(__xludf.DUMMYFUNCTION("""COMPUTED_VALUE"""),46265.0)</f>
        <v>46265</v>
      </c>
      <c r="W22" s="72" t="str">
        <f>IFERROR(__xludf.DUMMYFUNCTION("""COMPUTED_VALUE"""),"14")</f>
        <v>14</v>
      </c>
      <c r="X22" s="72">
        <f t="array" ref="X22">IF(B22&lt;&gt;"",INDEX(LISTA!$M$2:$N$27,MATCH(S22,LISTA!$N$2:$N$27,0),1),"")</f>
        <v>10</v>
      </c>
    </row>
    <row r="23">
      <c r="A23" s="49">
        <v>12.0</v>
      </c>
      <c r="B23" s="52">
        <f>IFERROR(__xludf.DUMMYFUNCTION("""COMPUTED_VALUE"""),46254.67738465278)</f>
        <v>46254.67738</v>
      </c>
      <c r="C23" s="58" t="str">
        <f>IFERROR(__xludf.DUMMYFUNCTION("""COMPUTED_VALUE"""),"4 - PROG-EJECUCION")</f>
        <v>4 - PROG-EJECUCION</v>
      </c>
      <c r="D23" s="58" t="str">
        <f>IFERROR(__xludf.DUMMYFUNCTION("""COMPUTED_VALUE"""),"MASIVO RESIDENCIAL")</f>
        <v>MASIVO RESIDENCIAL</v>
      </c>
      <c r="E23" s="61">
        <f>IFERROR(__xludf.DUMMYFUNCTION("""COMPUTED_VALUE"""),46267.375)</f>
        <v>46267.375</v>
      </c>
      <c r="F23" s="64" t="str">
        <f>IFERROR(__xludf.DUMMYFUNCTION("""COMPUTED_VALUE"""),"106377179")</f>
        <v>106377179</v>
      </c>
      <c r="G23" s="66" t="str">
        <f>IFERROR(__xludf.DUMMYFUNCTION("""COMPUTED_VALUE"""),"90171543")</f>
        <v>90171543</v>
      </c>
      <c r="H23" s="68" t="str">
        <f>IFERROR(__xludf.DUMMYFUNCTION("""COMPUTED_VALUE"""),"JULIANA")</f>
        <v>JULIANA</v>
      </c>
      <c r="I23" s="71" t="str">
        <f>IFERROR(__xludf.DUMMYFUNCTION("""COMPUTED_VALUE"""),"969147630")</f>
        <v>969147630</v>
      </c>
      <c r="J23" s="72" t="str">
        <f>IFERROR(__xludf.DUMMYFUNCTION("""COMPUTED_VALUE"""),"DNI")</f>
        <v>DNI</v>
      </c>
      <c r="K23" s="72" t="str">
        <f>IFERROR(__xludf.DUMMYFUNCTION("""COMPUTED_VALUE"""),"00114939 ")</f>
        <v>00114939 </v>
      </c>
      <c r="L23" s="75" t="str">
        <f>IFERROR(__xludf.DUMMYFUNCTION("""COMPUTED_VALUE"""),"JUAN MIGUEL ALVAREZ GARCIA")</f>
        <v>JUAN MIGUEL ALVAREZ GARCIA</v>
      </c>
      <c r="M23" s="72" t="str">
        <f>IFERROR(__xludf.DUMMYFUNCTION("""COMPUTED_VALUE"""),"JUAN")</f>
        <v>JUAN</v>
      </c>
      <c r="N23" s="72" t="str">
        <f>IFERROR(__xludf.DUMMYFUNCTION("""COMPUTED_VALUE"""),"ANA")</f>
        <v>ANA</v>
      </c>
      <c r="O23" s="76" t="str">
        <f>IFERROR(__xludf.DUMMYFUNCTION("""COMPUTED_VALUE"""),"969147630")</f>
        <v>969147630</v>
      </c>
      <c r="P23" s="72" t="str">
        <f>IFERROR(__xludf.DUMMYFUNCTION("""COMPUTED_VALUE"""),"969147630")</f>
        <v>969147630</v>
      </c>
      <c r="Q23" s="72" t="str">
        <f>IFERROR(__xludf.DUMMYFUNCTION("""COMPUTED_VALUE"""),"969147630")</f>
        <v>969147630</v>
      </c>
      <c r="R23" s="72" t="str">
        <f>IFERROR(__xludf.DUMMYFUNCTION("""COMPUTED_VALUE"""),"CPYC006   ")</f>
        <v>CPYC006   </v>
      </c>
      <c r="S23" s="72" t="str">
        <f>IFERROR(__xludf.DUMMYFUNCTION("""COMPUTED_VALUE"""),"UCAYALI")</f>
        <v>UCAYALI</v>
      </c>
      <c r="T23" s="81" t="str">
        <f>IFERROR(__xludf.DUMMYFUNCTION("""COMPUTED_VALUE"""),"Coronel Portillo")</f>
        <v>Coronel Portillo</v>
      </c>
      <c r="U23" s="82">
        <f>IFERROR(__xludf.DUMMYFUNCTION("""COMPUTED_VALUE"""),46254.0)</f>
        <v>46254</v>
      </c>
      <c r="V23" s="82">
        <f>IFERROR(__xludf.DUMMYFUNCTION("""COMPUTED_VALUE"""),46267.0)</f>
        <v>46267</v>
      </c>
      <c r="W23" s="72" t="str">
        <f>IFERROR(__xludf.DUMMYFUNCTION("""COMPUTED_VALUE"""),"09")</f>
        <v>09</v>
      </c>
      <c r="X23" s="72">
        <f t="array" ref="X23">IF(B23&lt;&gt;"",INDEX(LISTA!$M$2:$N$27,MATCH(S23,LISTA!$N$2:$N$27,0),1),"")</f>
        <v>26</v>
      </c>
    </row>
    <row r="24">
      <c r="A24" s="49">
        <v>13.0</v>
      </c>
      <c r="B24" s="52">
        <f>IFERROR(__xludf.DUMMYFUNCTION("""COMPUTED_VALUE"""),46254.37259928241)</f>
        <v>46254.3726</v>
      </c>
      <c r="C24" s="58" t="str">
        <f>IFERROR(__xludf.DUMMYFUNCTION("""COMPUTED_VALUE"""),"4 - PROG-EJECUCION")</f>
        <v>4 - PROG-EJECUCION</v>
      </c>
      <c r="D24" s="58" t="str">
        <f>IFERROR(__xludf.DUMMYFUNCTION("""COMPUTED_VALUE"""),"MASIVO RESIDENCIAL")</f>
        <v>MASIVO RESIDENCIAL</v>
      </c>
      <c r="E24" s="61">
        <f>IFERROR(__xludf.DUMMYFUNCTION("""COMPUTED_VALUE"""),46268.375)</f>
        <v>46268.375</v>
      </c>
      <c r="F24" s="64" t="str">
        <f>IFERROR(__xludf.DUMMYFUNCTION("""COMPUTED_VALUE"""),"106406154")</f>
        <v>106406154</v>
      </c>
      <c r="G24" s="66" t="str">
        <f>IFERROR(__xludf.DUMMYFUNCTION("""COMPUTED_VALUE"""),"90205496")</f>
        <v>90205496</v>
      </c>
      <c r="H24" s="68" t="str">
        <f>IFERROR(__xludf.DUMMYFUNCTION("""COMPUTED_VALUE"""),"M. JOSE")</f>
        <v>M. JOSE</v>
      </c>
      <c r="I24" s="71" t="str">
        <f>IFERROR(__xludf.DUMMYFUNCTION("""COMPUTED_VALUE"""),"976493839")</f>
        <v>976493839</v>
      </c>
      <c r="J24" s="72" t="str">
        <f>IFERROR(__xludf.DUMMYFUNCTION("""COMPUTED_VALUE"""),"DNI")</f>
        <v>DNI</v>
      </c>
      <c r="K24" s="72" t="str">
        <f>IFERROR(__xludf.DUMMYFUNCTION("""COMPUTED_VALUE"""),"00428538")</f>
        <v>00428538</v>
      </c>
      <c r="L24" s="75" t="str">
        <f>IFERROR(__xludf.DUMMYFUNCTION("""COMPUTED_VALUE""")," EDDA LOURDES GOMEZ DE ARCE")</f>
        <v> EDDA LOURDES GOMEZ DE ARCE</v>
      </c>
      <c r="M24" s="72" t="str">
        <f>IFERROR(__xludf.DUMMYFUNCTION("""COMPUTED_VALUE"""),"Victor")</f>
        <v>Victor</v>
      </c>
      <c r="N24" s="72" t="str">
        <f>IFERROR(__xludf.DUMMYFUNCTION("""COMPUTED_VALUE"""),"Lidia")</f>
        <v>Lidia</v>
      </c>
      <c r="O24" s="76" t="str">
        <f>IFERROR(__xludf.DUMMYFUNCTION("""COMPUTED_VALUE"""),"976493839")</f>
        <v>976493839</v>
      </c>
      <c r="P24" s="72" t="str">
        <f>IFERROR(__xludf.DUMMYFUNCTION("""COMPUTED_VALUE"""),"995991135")</f>
        <v>995991135</v>
      </c>
      <c r="Q24" s="72" t="str">
        <f>IFERROR(__xludf.DUMMYFUNCTION("""COMPUTED_VALUE"""),"976493839")</f>
        <v>976493839</v>
      </c>
      <c r="R24" s="72" t="str">
        <f>IFERROR(__xludf.DUMMYFUNCTION("""COMPUTED_VALUE"""),"TCNA139")</f>
        <v>TCNA139</v>
      </c>
      <c r="S24" s="72" t="str">
        <f>IFERROR(__xludf.DUMMYFUNCTION("""COMPUTED_VALUE"""),"TACNA")</f>
        <v>TACNA</v>
      </c>
      <c r="T24" s="81" t="str">
        <f>IFERROR(__xludf.DUMMYFUNCTION("""COMPUTED_VALUE"""),"Tacna")</f>
        <v>Tacna</v>
      </c>
      <c r="U24" s="82">
        <f>IFERROR(__xludf.DUMMYFUNCTION("""COMPUTED_VALUE"""),46254.0)</f>
        <v>46254</v>
      </c>
      <c r="V24" s="82">
        <f>IFERROR(__xludf.DUMMYFUNCTION("""COMPUTED_VALUE"""),46268.0)</f>
        <v>46268</v>
      </c>
      <c r="W24" s="72" t="str">
        <f>IFERROR(__xludf.DUMMYFUNCTION("""COMPUTED_VALUE"""),"09")</f>
        <v>09</v>
      </c>
      <c r="X24" s="72">
        <f t="array" ref="X24">IF(B24&lt;&gt;"",INDEX(LISTA!$M$2:$N$27,MATCH(S24,LISTA!$N$2:$N$27,0),1),"")</f>
        <v>24</v>
      </c>
    </row>
    <row r="25">
      <c r="A25" s="49">
        <v>14.0</v>
      </c>
      <c r="B25" s="52">
        <f>IFERROR(__xludf.DUMMYFUNCTION("""COMPUTED_VALUE"""),46254.640898356476)</f>
        <v>46254.6409</v>
      </c>
      <c r="C25" s="58" t="str">
        <f>IFERROR(__xludf.DUMMYFUNCTION("""COMPUTED_VALUE"""),"4 - PROG-EJECUCION")</f>
        <v>4 - PROG-EJECUCION</v>
      </c>
      <c r="D25" s="58" t="str">
        <f>IFERROR(__xludf.DUMMYFUNCTION("""COMPUTED_VALUE"""),"MASIVO RESIDENCIAL")</f>
        <v>MASIVO RESIDENCIAL</v>
      </c>
      <c r="E25" s="61">
        <f>IFERROR(__xludf.DUMMYFUNCTION("""COMPUTED_VALUE"""),46269.0)</f>
        <v>46269</v>
      </c>
      <c r="F25" s="64" t="str">
        <f>IFERROR(__xludf.DUMMYFUNCTION("""COMPUTED_VALUE"""),"106375053")</f>
        <v>106375053</v>
      </c>
      <c r="G25" s="66" t="str">
        <f>IFERROR(__xludf.DUMMYFUNCTION("""COMPUTED_VALUE"""),"90194526")</f>
        <v>90194526</v>
      </c>
      <c r="H25" s="68" t="str">
        <f>IFERROR(__xludf.DUMMYFUNCTION("""COMPUTED_VALUE"""),"LUANA")</f>
        <v>LUANA</v>
      </c>
      <c r="I25" s="71" t="str">
        <f>IFERROR(__xludf.DUMMYFUNCTION("""COMPUTED_VALUE"""),"961612838")</f>
        <v>961612838</v>
      </c>
      <c r="J25" s="72" t="str">
        <f>IFERROR(__xludf.DUMMYFUNCTION("""COMPUTED_VALUE"""),"RUC")</f>
        <v>RUC</v>
      </c>
      <c r="K25" s="72" t="str">
        <f>IFERROR(__xludf.DUMMYFUNCTION("""COMPUTED_VALUE"""),"20393344459")</f>
        <v>20393344459</v>
      </c>
      <c r="L25" s="75" t="str">
        <f>IFERROR(__xludf.DUMMYFUNCTION("""COMPUTED_VALUE"""),"EDUARD MOSQUERA ALIAGA")</f>
        <v>EDUARD MOSQUERA ALIAGA</v>
      </c>
      <c r="M25" s="72" t="str">
        <f>IFERROR(__xludf.DUMMYFUNCTION("""COMPUTED_VALUE"""),"FIDEL")</f>
        <v>FIDEL</v>
      </c>
      <c r="N25" s="72" t="str">
        <f>IFERROR(__xludf.DUMMYFUNCTION("""COMPUTED_VALUE"""),"CLARA")</f>
        <v>CLARA</v>
      </c>
      <c r="O25" s="76" t="str">
        <f>IFERROR(__xludf.DUMMYFUNCTION("""COMPUTED_VALUE"""),"961612838")</f>
        <v>961612838</v>
      </c>
      <c r="P25" s="72" t="str">
        <f>IFERROR(__xludf.DUMMYFUNCTION("""COMPUTED_VALUE"""),"961612838")</f>
        <v>961612838</v>
      </c>
      <c r="Q25" s="72" t="str">
        <f>IFERROR(__xludf.DUMMYFUNCTION("""COMPUTED_VALUE"""),"961612838")</f>
        <v>961612838</v>
      </c>
      <c r="R25" s="72" t="str">
        <f>IFERROR(__xludf.DUMMYFUNCTION("""COMPUTED_VALUE"""),"CPCL006")</f>
        <v>CPCL006</v>
      </c>
      <c r="S25" s="72" t="str">
        <f>IFERROR(__xludf.DUMMYFUNCTION("""COMPUTED_VALUE"""),"UCAYALI")</f>
        <v>UCAYALI</v>
      </c>
      <c r="T25" s="81" t="str">
        <f>IFERROR(__xludf.DUMMYFUNCTION("""COMPUTED_VALUE"""),"Coronel Portillo")</f>
        <v>Coronel Portillo</v>
      </c>
      <c r="U25" s="82">
        <f>IFERROR(__xludf.DUMMYFUNCTION("""COMPUTED_VALUE"""),46254.0)</f>
        <v>46254</v>
      </c>
      <c r="V25" s="82">
        <f>IFERROR(__xludf.DUMMYFUNCTION("""COMPUTED_VALUE"""),46269.0)</f>
        <v>46269</v>
      </c>
      <c r="W25" s="72" t="str">
        <f>IFERROR(__xludf.DUMMYFUNCTION("""COMPUTED_VALUE"""),"00")</f>
        <v>00</v>
      </c>
      <c r="X25" s="72">
        <f t="array" ref="X25">IF(B25&lt;&gt;"",INDEX(LISTA!$M$2:$N$27,MATCH(S25,LISTA!$N$2:$N$27,0),1),"")</f>
        <v>26</v>
      </c>
    </row>
    <row r="26">
      <c r="A26" s="49">
        <v>15.0</v>
      </c>
      <c r="B26" s="52">
        <f>IFERROR(__xludf.DUMMYFUNCTION("""COMPUTED_VALUE"""),46255.784644722225)</f>
        <v>46255.78464</v>
      </c>
      <c r="C26" s="58" t="str">
        <f>IFERROR(__xludf.DUMMYFUNCTION("""COMPUTED_VALUE"""),"4 - PROG-EJECUCION")</f>
        <v>4 - PROG-EJECUCION</v>
      </c>
      <c r="D26" s="58" t="str">
        <f>IFERROR(__xludf.DUMMYFUNCTION("""COMPUTED_VALUE"""),"MASIVO RESIDENCIAL")</f>
        <v>MASIVO RESIDENCIAL</v>
      </c>
      <c r="E26" s="61">
        <f>IFERROR(__xludf.DUMMYFUNCTION("""COMPUTED_VALUE"""),46272.375)</f>
        <v>46272.375</v>
      </c>
      <c r="F26" s="64" t="str">
        <f>IFERROR(__xludf.DUMMYFUNCTION("""COMPUTED_VALUE"""),"106415980")</f>
        <v>106415980</v>
      </c>
      <c r="G26" s="66" t="str">
        <f>IFERROR(__xludf.DUMMYFUNCTION("""COMPUTED_VALUE"""),"90211369")</f>
        <v>90211369</v>
      </c>
      <c r="H26" s="68" t="str">
        <f>IFERROR(__xludf.DUMMYFUNCTION("""COMPUTED_VALUE"""),"LUANA")</f>
        <v>LUANA</v>
      </c>
      <c r="I26" s="71" t="str">
        <f>IFERROR(__xludf.DUMMYFUNCTION("""COMPUTED_VALUE"""),"980725079")</f>
        <v>980725079</v>
      </c>
      <c r="J26" s="72" t="str">
        <f>IFERROR(__xludf.DUMMYFUNCTION("""COMPUTED_VALUE"""),"DNI")</f>
        <v>DNI</v>
      </c>
      <c r="K26" s="72" t="str">
        <f>IFERROR(__xludf.DUMMYFUNCTION("""COMPUTED_VALUE"""),"71883226")</f>
        <v>71883226</v>
      </c>
      <c r="L26" s="75" t="str">
        <f>IFERROR(__xludf.DUMMYFUNCTION("""COMPUTED_VALUE"""),"KATERIN VIANEY DURAN LINO")</f>
        <v>KATERIN VIANEY DURAN LINO</v>
      </c>
      <c r="M26" s="72" t="str">
        <f>IFERROR(__xludf.DUMMYFUNCTION("""COMPUTED_VALUE"""),"EFRAIN")</f>
        <v>EFRAIN</v>
      </c>
      <c r="N26" s="72" t="str">
        <f>IFERROR(__xludf.DUMMYFUNCTION("""COMPUTED_VALUE"""),"EDI AMELIA")</f>
        <v>EDI AMELIA</v>
      </c>
      <c r="O26" s="76" t="str">
        <f>IFERROR(__xludf.DUMMYFUNCTION("""COMPUTED_VALUE"""),"980725079")</f>
        <v>980725079</v>
      </c>
      <c r="P26" s="72" t="str">
        <f>IFERROR(__xludf.DUMMYFUNCTION("""COMPUTED_VALUE"""),"980725079")</f>
        <v>980725079</v>
      </c>
      <c r="Q26" s="72" t="str">
        <f>IFERROR(__xludf.DUMMYFUNCTION("""COMPUTED_VALUE"""),"980725079")</f>
        <v>980725079</v>
      </c>
      <c r="R26" s="72" t="str">
        <f>IFERROR(__xludf.DUMMYFUNCTION("""COMPUTED_VALUE"""),"UCCL015-F")</f>
        <v>UCCL015-F</v>
      </c>
      <c r="S26" s="72" t="str">
        <f>IFERROR(__xludf.DUMMYFUNCTION("""COMPUTED_VALUE"""),"UCAYALI")</f>
        <v>UCAYALI</v>
      </c>
      <c r="T26" s="81" t="str">
        <f>IFERROR(__xludf.DUMMYFUNCTION("""COMPUTED_VALUE"""),"Coronel Portillo")</f>
        <v>Coronel Portillo</v>
      </c>
      <c r="U26" s="82">
        <f>IFERROR(__xludf.DUMMYFUNCTION("""COMPUTED_VALUE"""),46255.0)</f>
        <v>46255</v>
      </c>
      <c r="V26" s="82">
        <f>IFERROR(__xludf.DUMMYFUNCTION("""COMPUTED_VALUE"""),46272.0)</f>
        <v>46272</v>
      </c>
      <c r="W26" s="72" t="str">
        <f>IFERROR(__xludf.DUMMYFUNCTION("""COMPUTED_VALUE"""),"09")</f>
        <v>09</v>
      </c>
      <c r="X26" s="72">
        <f t="array" ref="X26">IF(B26&lt;&gt;"",INDEX(LISTA!$M$2:$N$27,MATCH(S26,LISTA!$N$2:$N$27,0),1),"")</f>
        <v>26</v>
      </c>
    </row>
    <row r="27">
      <c r="A27" s="49"/>
      <c r="B27" s="52"/>
      <c r="C27" s="58"/>
      <c r="D27" s="58"/>
      <c r="E27" s="120"/>
      <c r="F27" s="64"/>
      <c r="G27" s="66"/>
      <c r="H27" s="68"/>
      <c r="I27" s="71"/>
      <c r="J27" s="72"/>
      <c r="K27" s="72"/>
      <c r="L27" s="75"/>
      <c r="M27" s="72"/>
      <c r="N27" s="72"/>
      <c r="O27" s="76"/>
      <c r="P27" s="72"/>
      <c r="Q27" s="72"/>
      <c r="R27" s="72"/>
      <c r="S27" s="72"/>
      <c r="T27" s="81"/>
      <c r="U27" s="82"/>
      <c r="V27" s="82"/>
      <c r="W27" s="72"/>
      <c r="X27" s="72" t="str">
        <f t="array" ref="X27">IF(B27&lt;&gt;"",INDEX(LISTA!$M$2:$N$27,MATCH(S27,LISTA!$N$2:$N$27,0),1),"")</f>
        <v/>
      </c>
    </row>
    <row r="28">
      <c r="A28" s="49"/>
      <c r="B28" s="52"/>
      <c r="C28" s="58"/>
      <c r="D28" s="58"/>
      <c r="E28" s="120"/>
      <c r="F28" s="64"/>
      <c r="G28" s="66"/>
      <c r="H28" s="68"/>
      <c r="I28" s="71"/>
      <c r="J28" s="72"/>
      <c r="K28" s="72"/>
      <c r="L28" s="75"/>
      <c r="M28" s="72"/>
      <c r="N28" s="72"/>
      <c r="O28" s="76"/>
      <c r="P28" s="72"/>
      <c r="Q28" s="72"/>
      <c r="R28" s="72"/>
      <c r="S28" s="72"/>
      <c r="T28" s="81"/>
      <c r="U28" s="82"/>
      <c r="V28" s="82"/>
      <c r="W28" s="72"/>
      <c r="X28" s="72" t="str">
        <f t="array" ref="X28">IF(B28&lt;&gt;"",INDEX(LISTA!$M$2:$N$27,MATCH(S28,LISTA!$N$2:$N$27,0),1),"")</f>
        <v/>
      </c>
    </row>
    <row r="29">
      <c r="A29" s="49"/>
      <c r="B29" s="52"/>
      <c r="C29" s="58"/>
      <c r="D29" s="58"/>
      <c r="E29" s="120"/>
      <c r="F29" s="64"/>
      <c r="G29" s="66"/>
      <c r="H29" s="68"/>
      <c r="I29" s="71"/>
      <c r="J29" s="72"/>
      <c r="K29" s="72"/>
      <c r="L29" s="75"/>
      <c r="M29" s="72"/>
      <c r="N29" s="72"/>
      <c r="O29" s="76"/>
      <c r="P29" s="72"/>
      <c r="Q29" s="72"/>
      <c r="R29" s="72"/>
      <c r="S29" s="72"/>
      <c r="T29" s="81"/>
      <c r="U29" s="82"/>
      <c r="V29" s="82"/>
      <c r="W29" s="72"/>
      <c r="X29" s="72" t="str">
        <f t="array" ref="X29">IF(B29&lt;&gt;"",INDEX(LISTA!$M$2:$N$27,MATCH(S29,LISTA!$N$2:$N$27,0),1),"")</f>
        <v/>
      </c>
    </row>
    <row r="30">
      <c r="A30" s="49"/>
      <c r="B30" s="52"/>
      <c r="C30" s="58"/>
      <c r="D30" s="58"/>
      <c r="E30" s="120"/>
      <c r="F30" s="64"/>
      <c r="G30" s="66"/>
      <c r="H30" s="68"/>
      <c r="I30" s="71"/>
      <c r="J30" s="72"/>
      <c r="K30" s="72"/>
      <c r="L30" s="75"/>
      <c r="M30" s="72"/>
      <c r="N30" s="72"/>
      <c r="O30" s="76"/>
      <c r="P30" s="72"/>
      <c r="Q30" s="72"/>
      <c r="R30" s="72"/>
      <c r="S30" s="72"/>
      <c r="T30" s="81"/>
      <c r="U30" s="82"/>
      <c r="V30" s="82"/>
      <c r="W30" s="72"/>
      <c r="X30" s="72" t="str">
        <f t="array" ref="X30">IF(B30&lt;&gt;"",INDEX(LISTA!$M$2:$N$27,MATCH(S30,LISTA!$N$2:$N$27,0),1),"")</f>
        <v/>
      </c>
    </row>
    <row r="31">
      <c r="A31" s="49"/>
      <c r="B31" s="52"/>
      <c r="C31" s="58"/>
      <c r="D31" s="58"/>
      <c r="E31" s="120"/>
      <c r="F31" s="64"/>
      <c r="G31" s="66"/>
      <c r="H31" s="68"/>
      <c r="I31" s="71"/>
      <c r="J31" s="72"/>
      <c r="K31" s="72"/>
      <c r="L31" s="75"/>
      <c r="M31" s="72"/>
      <c r="N31" s="72"/>
      <c r="O31" s="76"/>
      <c r="P31" s="72"/>
      <c r="Q31" s="72"/>
      <c r="R31" s="72"/>
      <c r="S31" s="72"/>
      <c r="T31" s="81"/>
      <c r="U31" s="82"/>
      <c r="V31" s="82"/>
      <c r="W31" s="72"/>
      <c r="X31" s="72" t="str">
        <f t="array" ref="X31">IF(B31&lt;&gt;"",INDEX(LISTA!$M$2:$N$27,MATCH(S31,LISTA!$N$2:$N$27,0),1),"")</f>
        <v/>
      </c>
    </row>
    <row r="32">
      <c r="A32" s="49"/>
      <c r="B32" s="52"/>
      <c r="C32" s="58"/>
      <c r="D32" s="58"/>
      <c r="E32" s="120"/>
      <c r="F32" s="64"/>
      <c r="G32" s="66"/>
      <c r="H32" s="68"/>
      <c r="I32" s="71"/>
      <c r="J32" s="72"/>
      <c r="K32" s="72"/>
      <c r="L32" s="75"/>
      <c r="M32" s="72"/>
      <c r="N32" s="72"/>
      <c r="O32" s="76"/>
      <c r="P32" s="72"/>
      <c r="Q32" s="72"/>
      <c r="R32" s="72"/>
      <c r="S32" s="72"/>
      <c r="T32" s="81"/>
      <c r="U32" s="82"/>
      <c r="V32" s="82"/>
      <c r="W32" s="72"/>
      <c r="X32" s="72" t="str">
        <f t="array" ref="X32">IF(B32&lt;&gt;"",INDEX(LISTA!$M$2:$N$27,MATCH(S32,LISTA!$N$2:$N$27,0),1),"")</f>
        <v/>
      </c>
    </row>
    <row r="33">
      <c r="A33" s="49"/>
      <c r="B33" s="52"/>
      <c r="C33" s="58"/>
      <c r="D33" s="58"/>
      <c r="E33" s="120"/>
      <c r="F33" s="64"/>
      <c r="G33" s="66"/>
      <c r="H33" s="68"/>
      <c r="I33" s="71"/>
      <c r="J33" s="72"/>
      <c r="K33" s="72"/>
      <c r="L33" s="75"/>
      <c r="M33" s="72"/>
      <c r="N33" s="72"/>
      <c r="O33" s="76"/>
      <c r="P33" s="72"/>
      <c r="Q33" s="72"/>
      <c r="R33" s="72"/>
      <c r="S33" s="72"/>
      <c r="T33" s="81"/>
      <c r="U33" s="82"/>
      <c r="V33" s="82"/>
      <c r="W33" s="72"/>
      <c r="X33" s="72" t="str">
        <f t="array" ref="X33">IF(B33&lt;&gt;"",INDEX(LISTA!$M$2:$N$27,MATCH(S33,LISTA!$N$2:$N$27,0),1),"")</f>
        <v/>
      </c>
    </row>
    <row r="34">
      <c r="A34" s="49"/>
      <c r="B34" s="52"/>
      <c r="C34" s="58"/>
      <c r="D34" s="58"/>
      <c r="E34" s="120"/>
      <c r="F34" s="64"/>
      <c r="G34" s="66"/>
      <c r="H34" s="68"/>
      <c r="I34" s="71"/>
      <c r="J34" s="72"/>
      <c r="K34" s="72"/>
      <c r="L34" s="75"/>
      <c r="M34" s="72"/>
      <c r="N34" s="72"/>
      <c r="O34" s="76"/>
      <c r="P34" s="72"/>
      <c r="Q34" s="72"/>
      <c r="R34" s="72"/>
      <c r="S34" s="72"/>
      <c r="T34" s="81"/>
      <c r="U34" s="82"/>
      <c r="V34" s="82"/>
      <c r="W34" s="72"/>
      <c r="X34" s="72" t="str">
        <f t="array" ref="X34">IF(B34&lt;&gt;"",INDEX(LISTA!$M$2:$N$27,MATCH(S34,LISTA!$N$2:$N$27,0),1),"")</f>
        <v/>
      </c>
    </row>
    <row r="35">
      <c r="A35" s="49"/>
      <c r="B35" s="52"/>
      <c r="C35" s="58"/>
      <c r="D35" s="58"/>
      <c r="E35" s="120"/>
      <c r="F35" s="64"/>
      <c r="G35" s="66"/>
      <c r="H35" s="68"/>
      <c r="I35" s="71"/>
      <c r="J35" s="72"/>
      <c r="K35" s="72"/>
      <c r="L35" s="75"/>
      <c r="M35" s="72"/>
      <c r="N35" s="72"/>
      <c r="O35" s="76"/>
      <c r="P35" s="72"/>
      <c r="Q35" s="72"/>
      <c r="R35" s="72"/>
      <c r="S35" s="72"/>
      <c r="T35" s="81"/>
      <c r="U35" s="82"/>
      <c r="V35" s="82"/>
      <c r="W35" s="72"/>
      <c r="X35" s="72" t="str">
        <f t="array" ref="X35">IF(B35&lt;&gt;"",INDEX(LISTA!$M$2:$N$27,MATCH(S35,LISTA!$N$2:$N$27,0),1),"")</f>
        <v/>
      </c>
    </row>
    <row r="36">
      <c r="A36" s="49"/>
      <c r="B36" s="52"/>
      <c r="C36" s="58"/>
      <c r="D36" s="58"/>
      <c r="E36" s="120"/>
      <c r="F36" s="64"/>
      <c r="G36" s="66"/>
      <c r="H36" s="68"/>
      <c r="I36" s="71"/>
      <c r="J36" s="72"/>
      <c r="K36" s="72"/>
      <c r="L36" s="75"/>
      <c r="M36" s="72"/>
      <c r="N36" s="72"/>
      <c r="O36" s="76"/>
      <c r="P36" s="72"/>
      <c r="Q36" s="72"/>
      <c r="R36" s="72"/>
      <c r="S36" s="72"/>
      <c r="T36" s="81"/>
      <c r="U36" s="82"/>
      <c r="V36" s="82"/>
      <c r="W36" s="72"/>
      <c r="X36" s="72" t="str">
        <f t="array" ref="X36">IF(B36&lt;&gt;"",INDEX(LISTA!$M$2:$N$27,MATCH(S36,LISTA!$N$2:$N$27,0),1),"")</f>
        <v/>
      </c>
    </row>
    <row r="37">
      <c r="A37" s="49"/>
      <c r="B37" s="52"/>
      <c r="C37" s="58"/>
      <c r="D37" s="58"/>
      <c r="E37" s="120"/>
      <c r="F37" s="64"/>
      <c r="G37" s="66"/>
      <c r="H37" s="68"/>
      <c r="I37" s="71"/>
      <c r="J37" s="72"/>
      <c r="K37" s="72"/>
      <c r="L37" s="75"/>
      <c r="M37" s="72"/>
      <c r="N37" s="72"/>
      <c r="O37" s="76"/>
      <c r="P37" s="72"/>
      <c r="Q37" s="72"/>
      <c r="R37" s="72"/>
      <c r="S37" s="72"/>
      <c r="T37" s="81"/>
      <c r="U37" s="82"/>
      <c r="V37" s="82"/>
      <c r="W37" s="72"/>
      <c r="X37" s="72" t="str">
        <f t="array" ref="X37">IF(B37&lt;&gt;"",INDEX(LISTA!$M$2:$N$27,MATCH(S37,LISTA!$N$2:$N$27,0),1),"")</f>
        <v/>
      </c>
    </row>
    <row r="38">
      <c r="A38" s="49"/>
      <c r="B38" s="52"/>
      <c r="C38" s="58"/>
      <c r="D38" s="58"/>
      <c r="E38" s="120"/>
      <c r="F38" s="64"/>
      <c r="G38" s="66"/>
      <c r="H38" s="68"/>
      <c r="I38" s="71"/>
      <c r="J38" s="72"/>
      <c r="K38" s="72"/>
      <c r="L38" s="75"/>
      <c r="M38" s="72"/>
      <c r="N38" s="72"/>
      <c r="O38" s="76"/>
      <c r="P38" s="72"/>
      <c r="Q38" s="72"/>
      <c r="R38" s="72"/>
      <c r="S38" s="72"/>
      <c r="T38" s="81"/>
      <c r="U38" s="82"/>
      <c r="V38" s="82"/>
      <c r="W38" s="72"/>
      <c r="X38" s="72" t="str">
        <f t="array" ref="X38">IF(B38&lt;&gt;"",INDEX(LISTA!$M$2:$N$27,MATCH(S38,LISTA!$N$2:$N$27,0),1),"")</f>
        <v/>
      </c>
    </row>
    <row r="39">
      <c r="A39" s="49"/>
      <c r="B39" s="52"/>
      <c r="C39" s="58"/>
      <c r="D39" s="58"/>
      <c r="E39" s="120"/>
      <c r="F39" s="64"/>
      <c r="G39" s="66"/>
      <c r="H39" s="68"/>
      <c r="I39" s="71"/>
      <c r="J39" s="72"/>
      <c r="K39" s="72"/>
      <c r="L39" s="75"/>
      <c r="M39" s="72"/>
      <c r="N39" s="72"/>
      <c r="O39" s="76"/>
      <c r="P39" s="72"/>
      <c r="Q39" s="72"/>
      <c r="R39" s="72"/>
      <c r="S39" s="72"/>
      <c r="T39" s="81"/>
      <c r="U39" s="82"/>
      <c r="V39" s="82"/>
      <c r="W39" s="72"/>
      <c r="X39" s="72" t="str">
        <f t="array" ref="X39">IF(B39&lt;&gt;"",INDEX(LISTA!$M$2:$N$27,MATCH(S39,LISTA!$N$2:$N$27,0),1),"")</f>
        <v/>
      </c>
    </row>
    <row r="40">
      <c r="A40" s="49"/>
      <c r="B40" s="52"/>
      <c r="C40" s="58"/>
      <c r="D40" s="58"/>
      <c r="E40" s="120"/>
      <c r="F40" s="64"/>
      <c r="G40" s="66"/>
      <c r="H40" s="68"/>
      <c r="I40" s="71"/>
      <c r="J40" s="72"/>
      <c r="K40" s="72"/>
      <c r="L40" s="75"/>
      <c r="M40" s="72"/>
      <c r="N40" s="72"/>
      <c r="O40" s="76"/>
      <c r="P40" s="72"/>
      <c r="Q40" s="72"/>
      <c r="R40" s="72"/>
      <c r="S40" s="72"/>
      <c r="T40" s="81"/>
      <c r="U40" s="82"/>
      <c r="V40" s="82"/>
      <c r="W40" s="72"/>
      <c r="X40" s="72" t="str">
        <f t="array" ref="X40">IF(B40&lt;&gt;"",INDEX(LISTA!$M$2:$N$27,MATCH(S40,LISTA!$N$2:$N$27,0),1),"")</f>
        <v/>
      </c>
    </row>
    <row r="41">
      <c r="A41" s="49"/>
      <c r="B41" s="52"/>
      <c r="C41" s="58"/>
      <c r="D41" s="58"/>
      <c r="E41" s="120"/>
      <c r="F41" s="64"/>
      <c r="G41" s="66"/>
      <c r="H41" s="68"/>
      <c r="I41" s="71"/>
      <c r="J41" s="72"/>
      <c r="K41" s="72"/>
      <c r="L41" s="75"/>
      <c r="M41" s="72"/>
      <c r="N41" s="72"/>
      <c r="O41" s="76"/>
      <c r="P41" s="72"/>
      <c r="Q41" s="72"/>
      <c r="R41" s="72"/>
      <c r="S41" s="72"/>
      <c r="T41" s="81"/>
      <c r="U41" s="82"/>
      <c r="V41" s="82"/>
      <c r="W41" s="72"/>
      <c r="X41" s="72" t="str">
        <f t="array" ref="X41">IF(B41&lt;&gt;"",INDEX(LISTA!$M$2:$N$27,MATCH(S41,LISTA!$N$2:$N$27,0),1),"")</f>
        <v/>
      </c>
    </row>
    <row r="42">
      <c r="A42" s="49"/>
      <c r="B42" s="52"/>
      <c r="C42" s="58"/>
      <c r="D42" s="58"/>
      <c r="E42" s="120"/>
      <c r="F42" s="64"/>
      <c r="G42" s="66"/>
      <c r="H42" s="68"/>
      <c r="I42" s="71"/>
      <c r="J42" s="72"/>
      <c r="K42" s="72"/>
      <c r="L42" s="75"/>
      <c r="M42" s="72"/>
      <c r="N42" s="72"/>
      <c r="O42" s="76"/>
      <c r="P42" s="72"/>
      <c r="Q42" s="72"/>
      <c r="R42" s="72"/>
      <c r="S42" s="72"/>
      <c r="T42" s="81"/>
      <c r="U42" s="82"/>
      <c r="V42" s="82"/>
      <c r="W42" s="72"/>
      <c r="X42" s="72" t="str">
        <f t="array" ref="X42">IF(B42&lt;&gt;"",INDEX(LISTA!$M$2:$N$27,MATCH(S42,LISTA!$N$2:$N$27,0),1),"")</f>
        <v/>
      </c>
    </row>
    <row r="43">
      <c r="A43" s="49"/>
      <c r="B43" s="52"/>
      <c r="C43" s="58"/>
      <c r="D43" s="58"/>
      <c r="E43" s="120"/>
      <c r="F43" s="64"/>
      <c r="G43" s="66"/>
      <c r="H43" s="68"/>
      <c r="I43" s="71"/>
      <c r="J43" s="72"/>
      <c r="K43" s="72"/>
      <c r="L43" s="75"/>
      <c r="M43" s="72"/>
      <c r="N43" s="72"/>
      <c r="O43" s="76"/>
      <c r="P43" s="72"/>
      <c r="Q43" s="72"/>
      <c r="R43" s="72"/>
      <c r="S43" s="72"/>
      <c r="T43" s="81"/>
      <c r="U43" s="82"/>
      <c r="V43" s="82"/>
      <c r="W43" s="72"/>
      <c r="X43" s="72" t="str">
        <f t="array" ref="X43">IF(B43&lt;&gt;"",INDEX(LISTA!$M$2:$N$27,MATCH(S43,LISTA!$N$2:$N$27,0),1),"")</f>
        <v/>
      </c>
    </row>
    <row r="44">
      <c r="A44" s="49"/>
      <c r="B44" s="52"/>
      <c r="C44" s="58"/>
      <c r="D44" s="58"/>
      <c r="E44" s="120"/>
      <c r="F44" s="64"/>
      <c r="G44" s="66"/>
      <c r="H44" s="68"/>
      <c r="I44" s="71"/>
      <c r="J44" s="72"/>
      <c r="K44" s="72"/>
      <c r="L44" s="75"/>
      <c r="M44" s="72"/>
      <c r="N44" s="72"/>
      <c r="O44" s="76"/>
      <c r="P44" s="72"/>
      <c r="Q44" s="72"/>
      <c r="R44" s="72"/>
      <c r="S44" s="72"/>
      <c r="T44" s="81"/>
      <c r="U44" s="82"/>
      <c r="V44" s="82"/>
      <c r="W44" s="72"/>
      <c r="X44" s="72" t="str">
        <f t="array" ref="X44">IF(B44&lt;&gt;"",INDEX(LISTA!$M$2:$N$27,MATCH(S44,LISTA!$N$2:$N$27,0),1),"")</f>
        <v/>
      </c>
    </row>
    <row r="45">
      <c r="A45" s="49"/>
      <c r="B45" s="52"/>
      <c r="C45" s="58"/>
      <c r="D45" s="58"/>
      <c r="E45" s="120"/>
      <c r="F45" s="64"/>
      <c r="G45" s="66"/>
      <c r="H45" s="68"/>
      <c r="I45" s="71"/>
      <c r="J45" s="72"/>
      <c r="K45" s="72"/>
      <c r="L45" s="75"/>
      <c r="M45" s="72"/>
      <c r="N45" s="72"/>
      <c r="O45" s="76"/>
      <c r="P45" s="72"/>
      <c r="Q45" s="72"/>
      <c r="R45" s="72"/>
      <c r="S45" s="72"/>
      <c r="T45" s="81"/>
      <c r="U45" s="82"/>
      <c r="V45" s="82"/>
      <c r="W45" s="72"/>
      <c r="X45" s="72" t="str">
        <f t="array" ref="X45">IF(B45&lt;&gt;"",INDEX(LISTA!$M$2:$N$27,MATCH(S45,LISTA!$N$2:$N$27,0),1),"")</f>
        <v/>
      </c>
    </row>
    <row r="46">
      <c r="A46" s="49"/>
      <c r="B46" s="52"/>
      <c r="C46" s="58"/>
      <c r="D46" s="58"/>
      <c r="E46" s="120"/>
      <c r="F46" s="64"/>
      <c r="G46" s="66"/>
      <c r="H46" s="68"/>
      <c r="I46" s="71"/>
      <c r="J46" s="72"/>
      <c r="K46" s="72"/>
      <c r="L46" s="75"/>
      <c r="M46" s="72"/>
      <c r="N46" s="72"/>
      <c r="O46" s="76"/>
      <c r="P46" s="72"/>
      <c r="Q46" s="72"/>
      <c r="R46" s="72"/>
      <c r="S46" s="72"/>
      <c r="T46" s="81"/>
      <c r="U46" s="82"/>
      <c r="V46" s="82"/>
      <c r="W46" s="72"/>
      <c r="X46" s="72" t="str">
        <f t="array" ref="X46">IF(B46&lt;&gt;"",INDEX(LISTA!$M$2:$N$27,MATCH(S46,LISTA!$N$2:$N$27,0),1),"")</f>
        <v/>
      </c>
    </row>
    <row r="47">
      <c r="A47" s="49"/>
      <c r="B47" s="52"/>
      <c r="C47" s="58"/>
      <c r="D47" s="58"/>
      <c r="E47" s="120"/>
      <c r="F47" s="64"/>
      <c r="G47" s="66"/>
      <c r="H47" s="68"/>
      <c r="I47" s="71"/>
      <c r="J47" s="72"/>
      <c r="K47" s="72"/>
      <c r="L47" s="75"/>
      <c r="M47" s="72"/>
      <c r="N47" s="72"/>
      <c r="O47" s="76"/>
      <c r="P47" s="72"/>
      <c r="Q47" s="72"/>
      <c r="R47" s="72"/>
      <c r="S47" s="72"/>
      <c r="T47" s="81"/>
      <c r="U47" s="82"/>
      <c r="V47" s="82"/>
      <c r="W47" s="72"/>
      <c r="X47" s="72" t="str">
        <f t="array" ref="X47">IF(B47&lt;&gt;"",INDEX(LISTA!$M$2:$N$27,MATCH(S47,LISTA!$N$2:$N$27,0),1),"")</f>
        <v/>
      </c>
    </row>
    <row r="48">
      <c r="A48" s="49"/>
      <c r="B48" s="52"/>
      <c r="C48" s="58"/>
      <c r="D48" s="58"/>
      <c r="E48" s="120"/>
      <c r="F48" s="64"/>
      <c r="G48" s="66"/>
      <c r="H48" s="68"/>
      <c r="I48" s="71"/>
      <c r="J48" s="72"/>
      <c r="K48" s="72"/>
      <c r="L48" s="75"/>
      <c r="M48" s="72"/>
      <c r="N48" s="72"/>
      <c r="O48" s="76"/>
      <c r="P48" s="72"/>
      <c r="Q48" s="72"/>
      <c r="R48" s="72"/>
      <c r="S48" s="72"/>
      <c r="T48" s="81"/>
      <c r="U48" s="82"/>
      <c r="V48" s="82"/>
      <c r="W48" s="72"/>
      <c r="X48" s="72" t="str">
        <f t="array" ref="X48">IF(B48&lt;&gt;"",INDEX(LISTA!$M$2:$N$27,MATCH(S48,LISTA!$N$2:$N$27,0),1),"")</f>
        <v/>
      </c>
    </row>
    <row r="49">
      <c r="A49" s="49"/>
      <c r="B49" s="52"/>
      <c r="C49" s="58"/>
      <c r="D49" s="58"/>
      <c r="E49" s="120"/>
      <c r="F49" s="64"/>
      <c r="G49" s="66"/>
      <c r="H49" s="68"/>
      <c r="I49" s="71"/>
      <c r="J49" s="72"/>
      <c r="K49" s="72"/>
      <c r="L49" s="75"/>
      <c r="M49" s="72"/>
      <c r="N49" s="72"/>
      <c r="O49" s="76"/>
      <c r="P49" s="72"/>
      <c r="Q49" s="72"/>
      <c r="R49" s="72"/>
      <c r="S49" s="72"/>
      <c r="T49" s="81"/>
      <c r="U49" s="82"/>
      <c r="V49" s="82"/>
      <c r="W49" s="72"/>
      <c r="X49" s="72" t="str">
        <f t="array" ref="X49">IF(B49&lt;&gt;"",INDEX(LISTA!$M$2:$N$27,MATCH(S49,LISTA!$N$2:$N$27,0),1),"")</f>
        <v/>
      </c>
    </row>
    <row r="50">
      <c r="A50" s="49"/>
      <c r="B50" s="52"/>
      <c r="C50" s="58"/>
      <c r="D50" s="58"/>
      <c r="E50" s="120"/>
      <c r="F50" s="64"/>
      <c r="G50" s="66"/>
      <c r="H50" s="68"/>
      <c r="I50" s="71"/>
      <c r="J50" s="72"/>
      <c r="K50" s="72"/>
      <c r="L50" s="75"/>
      <c r="M50" s="72"/>
      <c r="N50" s="72"/>
      <c r="O50" s="76"/>
      <c r="P50" s="72"/>
      <c r="Q50" s="72"/>
      <c r="R50" s="72"/>
      <c r="S50" s="72"/>
      <c r="T50" s="81"/>
      <c r="U50" s="82"/>
      <c r="V50" s="82"/>
      <c r="W50" s="72"/>
      <c r="X50" s="72" t="str">
        <f t="array" ref="X50">IF(B50&lt;&gt;"",INDEX(LISTA!$M$2:$N$27,MATCH(S50,LISTA!$N$2:$N$27,0),1),"")</f>
        <v/>
      </c>
    </row>
  </sheetData>
  <mergeCells count="4">
    <mergeCell ref="B1:C2"/>
    <mergeCell ref="D1:D2"/>
    <mergeCell ref="E1:F1"/>
    <mergeCell ref="H1:I1"/>
  </mergeCells>
  <conditionalFormatting sqref="A12:X50">
    <cfRule type="expression" dxfId="9" priority="1">
      <formula>$V12=TODAY()</formula>
    </cfRule>
  </conditionalFormatting>
  <conditionalFormatting sqref="E2:E10">
    <cfRule type="notContainsBlanks" dxfId="10" priority="2">
      <formula>LEN(TRIM(E2))&gt;0</formula>
    </cfRule>
  </conditionalFormatting>
  <conditionalFormatting sqref="F2:F10">
    <cfRule type="notContainsBlanks" dxfId="11" priority="3">
      <formula>LEN(TRIM(F2))&gt;0</formula>
    </cfRule>
  </conditionalFormatting>
  <conditionalFormatting sqref="H2:H10">
    <cfRule type="notContainsBlanks" dxfId="10" priority="4">
      <formula>LEN(TRIM(H2))&gt;0</formula>
    </cfRule>
  </conditionalFormatting>
  <conditionalFormatting sqref="I2:I10">
    <cfRule type="notContainsBlanks" dxfId="11" priority="5">
      <formula>LEN(TRIM(I2))&gt;0</formula>
    </cfRule>
  </conditionalFormatting>
  <dataValidations>
    <dataValidation type="list" allowBlank="1" showErrorMessage="1" sqref="C12:C50">
      <formula1>LISTA!$U$2:$U50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25"/>
    <col customWidth="1" min="3" max="3" width="10.25"/>
    <col customWidth="1" min="4" max="4" width="14.38"/>
    <col customWidth="1" min="5" max="5" width="8.5"/>
    <col customWidth="1" min="6" max="6" width="7.63"/>
    <col customWidth="1" min="7" max="7" width="8.88"/>
    <col customWidth="1" min="8" max="8" width="13.5"/>
    <col customWidth="1" min="9" max="9" width="12.0"/>
    <col customWidth="1" min="10" max="10" width="14.13"/>
    <col customWidth="1" min="11" max="11" width="26.63"/>
    <col customWidth="1" min="12" max="12" width="9.25"/>
    <col customWidth="1" min="13" max="13" width="11.25"/>
    <col customWidth="1" min="14" max="14" width="11.13"/>
    <col customWidth="1" min="15" max="15" width="11.25"/>
    <col customWidth="1" min="16" max="16" width="15.0"/>
    <col customWidth="1" min="17" max="17" width="8.38"/>
    <col customWidth="1" min="18" max="18" width="12.13"/>
    <col customWidth="1" min="19" max="19" width="11.13"/>
    <col customWidth="1" min="20" max="20" width="17.88"/>
    <col customWidth="1" min="21" max="21" width="10.75"/>
    <col customWidth="1" min="22" max="22" width="13.0"/>
    <col customWidth="1" min="23" max="23" width="12.25"/>
    <col customWidth="1" min="24" max="24" width="5.5"/>
  </cols>
  <sheetData>
    <row r="1">
      <c r="A1" s="2"/>
      <c r="B1" s="121" t="s">
        <v>251</v>
      </c>
      <c r="C1" s="7"/>
      <c r="D1" s="122">
        <f>IFERROR(COUNTA(B12:B50),0)</f>
        <v>0</v>
      </c>
      <c r="E1" s="123" t="s">
        <v>259</v>
      </c>
      <c r="F1" s="4"/>
      <c r="G1" s="17"/>
      <c r="H1" s="123" t="s">
        <v>262</v>
      </c>
      <c r="I1" s="4"/>
      <c r="K1" s="123" t="s">
        <v>264</v>
      </c>
      <c r="L1" s="4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2"/>
      <c r="B2" s="21"/>
      <c r="C2" s="22"/>
      <c r="D2" s="23"/>
      <c r="E2" s="26" t="str">
        <f>IFERROR(__xludf.DUMMYFUNCTION("UNIQUE(FILTER($R$12:$R$50,$R$12:$R$50&lt;&gt;""""))"),"#N/A")</f>
        <v>#N/A</v>
      </c>
      <c r="F2" s="17" t="str">
        <f>IF($E2&lt;&gt;"", COUNTIF($R$12:$R50,E2),"")</f>
        <v>#N/A</v>
      </c>
      <c r="G2" s="17"/>
      <c r="H2" s="26" t="str">
        <f>IFERROR(__xludf.DUMMYFUNCTION("UNIQUE(FILTER($S$12:$S$50,$S$12:$S$50&lt;&gt;""""))"),"#N/A")</f>
        <v>#N/A</v>
      </c>
      <c r="I2" s="17" t="str">
        <f t="shared" ref="I2:I10" si="1">IF($H2&lt;&gt;"", COUNTIF($S$12:$S50,$H2),"")</f>
        <v>#N/A</v>
      </c>
      <c r="K2" s="26" t="str">
        <f>IFERROR(__xludf.DUMMYFUNCTION("UNIQUE(FILTER($T$12:$T$50,$T$12:$T$50&lt;&gt;""""))"),"#N/A")</f>
        <v>#N/A</v>
      </c>
      <c r="L2" s="17" t="str">
        <f t="shared" ref="L2:L10" si="2">IF($K2&lt;&gt;"", COUNTIF($T$12:$T50,$K2),"")</f>
        <v>#N/A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2"/>
      <c r="B3" s="124" t="s">
        <v>37</v>
      </c>
      <c r="C3" s="124" t="s">
        <v>38</v>
      </c>
      <c r="D3" s="2"/>
      <c r="E3" s="26"/>
      <c r="F3" s="17" t="str">
        <f t="shared" ref="F3:F10" si="3">IF($E3&lt;&gt;"", COUNTIF(#REF!,E3),"")</f>
        <v/>
      </c>
      <c r="G3" s="17"/>
      <c r="H3" s="26"/>
      <c r="I3" s="17" t="str">
        <f t="shared" si="1"/>
        <v/>
      </c>
      <c r="K3" s="26"/>
      <c r="L3" s="17" t="str">
        <f t="shared" si="2"/>
        <v/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2"/>
      <c r="B4" s="33">
        <f>COUNTIFS($X$12:$X50,"&lt;3")</f>
        <v>0</v>
      </c>
      <c r="C4" s="33">
        <f>COUNTIFS($X$12:$X50,"&gt;=3")</f>
        <v>0</v>
      </c>
      <c r="E4" s="26"/>
      <c r="F4" s="17" t="str">
        <f t="shared" si="3"/>
        <v/>
      </c>
      <c r="G4" s="17"/>
      <c r="H4" s="26"/>
      <c r="I4" s="17" t="str">
        <f t="shared" si="1"/>
        <v/>
      </c>
      <c r="K4" s="17"/>
      <c r="L4" s="17" t="str">
        <f t="shared" si="2"/>
        <v/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2"/>
      <c r="B5" s="125"/>
      <c r="C5" s="125"/>
      <c r="E5" s="26"/>
      <c r="F5" s="17" t="str">
        <f t="shared" si="3"/>
        <v/>
      </c>
      <c r="G5" s="17"/>
      <c r="H5" s="26"/>
      <c r="I5" s="17" t="str">
        <f t="shared" si="1"/>
        <v/>
      </c>
      <c r="K5" s="17"/>
      <c r="L5" s="17" t="str">
        <f t="shared" si="2"/>
        <v/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2"/>
      <c r="B6" s="17"/>
      <c r="C6" s="17"/>
      <c r="D6" s="2"/>
      <c r="E6" s="26"/>
      <c r="F6" s="17" t="str">
        <f t="shared" si="3"/>
        <v/>
      </c>
      <c r="G6" s="17"/>
      <c r="H6" s="26"/>
      <c r="I6" s="17" t="str">
        <f t="shared" si="1"/>
        <v/>
      </c>
      <c r="K6" s="17"/>
      <c r="L6" s="17" t="str">
        <f t="shared" si="2"/>
        <v/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2"/>
      <c r="B7" s="17"/>
      <c r="C7" s="17"/>
      <c r="D7" s="2"/>
      <c r="E7" s="26"/>
      <c r="F7" s="17" t="str">
        <f t="shared" si="3"/>
        <v/>
      </c>
      <c r="G7" s="17"/>
      <c r="H7" s="26"/>
      <c r="I7" s="17" t="str">
        <f t="shared" si="1"/>
        <v/>
      </c>
      <c r="K7" s="17"/>
      <c r="L7" s="17" t="str">
        <f t="shared" si="2"/>
        <v/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2"/>
      <c r="B8" s="17"/>
      <c r="C8" s="17"/>
      <c r="D8" s="2"/>
      <c r="E8" s="26"/>
      <c r="F8" s="17" t="str">
        <f t="shared" si="3"/>
        <v/>
      </c>
      <c r="G8" s="17"/>
      <c r="H8" s="26"/>
      <c r="I8" s="17" t="str">
        <f t="shared" si="1"/>
        <v/>
      </c>
      <c r="K8" s="17"/>
      <c r="L8" s="17" t="str">
        <f t="shared" si="2"/>
        <v/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2"/>
      <c r="B9" s="17"/>
      <c r="C9" s="17"/>
      <c r="D9" s="2"/>
      <c r="E9" s="26"/>
      <c r="F9" s="17" t="str">
        <f t="shared" si="3"/>
        <v/>
      </c>
      <c r="G9" s="17"/>
      <c r="H9" s="26"/>
      <c r="I9" s="17" t="str">
        <f t="shared" si="1"/>
        <v/>
      </c>
      <c r="K9" s="17"/>
      <c r="L9" s="17" t="str">
        <f t="shared" si="2"/>
        <v/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>
      <c r="A10" s="2"/>
      <c r="B10" s="17"/>
      <c r="C10" s="17"/>
      <c r="D10" s="2"/>
      <c r="E10" s="26"/>
      <c r="F10" s="17" t="str">
        <f t="shared" si="3"/>
        <v/>
      </c>
      <c r="G10" s="17"/>
      <c r="H10" s="26"/>
      <c r="I10" s="17" t="str">
        <f t="shared" si="1"/>
        <v/>
      </c>
      <c r="K10" s="17"/>
      <c r="L10" s="17" t="str">
        <f t="shared" si="2"/>
        <v/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126" t="s">
        <v>76</v>
      </c>
      <c r="B11" s="126" t="str">
        <f>IFERROR(__xludf.DUMMYFUNCTION("QUERY(PREVENTAS!A1:CB50,""SELECT Col1,Col2,Col3,Col7,Col8,Col9,Col10,Col11,Col12,Col13,Col46,Col47,Col48,Col54,Col55,Col56,Col57,Col64,Col65,Col67,Col72,Col73 WHERE Col72= date '""&amp;TEXT(TODAY(),""yyyy-mm-dd"")&amp;""' ORDER BY Col75,Col76 ASC"")"),"Marca temporal")</f>
        <v>Marca temporal</v>
      </c>
      <c r="C11" s="126" t="str">
        <f>IFERROR(__xludf.DUMMYFUNCTION("""COMPUTED_VALUE"""),"STATUS")</f>
        <v>STATUS</v>
      </c>
      <c r="D11" s="126" t="str">
        <f>IFERROR(__xludf.DUMMYFUNCTION("""COMPUTED_VALUE"""),"SEGMENTO")</f>
        <v>SEGMENTO</v>
      </c>
      <c r="E11" s="126" t="str">
        <f>IFERROR(__xludf.DUMMYFUNCTION("""COMPUTED_VALUE"""),"SEC")</f>
        <v>SEC</v>
      </c>
      <c r="F11" s="126" t="str">
        <f>IFERROR(__xludf.DUMMYFUNCTION("""COMPUTED_VALUE"""),"SOT")</f>
        <v>SOT</v>
      </c>
      <c r="G11" s="126" t="str">
        <f>IFERROR(__xludf.DUMMYFUNCTION("""COMPUTED_VALUE"""),"ASESOR")</f>
        <v>ASESOR</v>
      </c>
      <c r="H11" s="126" t="str">
        <f>IFERROR(__xludf.DUMMYFUNCTION("""COMPUTED_VALUE"""),"LEAD")</f>
        <v>LEAD</v>
      </c>
      <c r="I11" s="126" t="str">
        <f>IFERROR(__xludf.DUMMYFUNCTION("""COMPUTED_VALUE"""),"TIPO DOCUMENTO")</f>
        <v>TIPO DOCUMENTO</v>
      </c>
      <c r="J11" s="126" t="str">
        <f>IFERROR(__xludf.DUMMYFUNCTION("""COMPUTED_VALUE"""),"N° DOCUMENTO")</f>
        <v>N° DOCUMENTO</v>
      </c>
      <c r="K11" s="126" t="str">
        <f>IFERROR(__xludf.DUMMYFUNCTION("""COMPUTED_VALUE"""),"NOMBRE COMPLETO CLIENTE")</f>
        <v>NOMBRE COMPLETO CLIENTE</v>
      </c>
      <c r="L11" s="126" t="str">
        <f>IFERROR(__xludf.DUMMYFUNCTION("""COMPUTED_VALUE"""),"TELF REGISTRO")</f>
        <v>TELF REGISTRO</v>
      </c>
      <c r="M11" s="126" t="str">
        <f>IFERROR(__xludf.DUMMYFUNCTION("""COMPUTED_VALUE"""),"TELF GRABACION")</f>
        <v>TELF GRABACION</v>
      </c>
      <c r="N11" s="126" t="str">
        <f>IFERROR(__xludf.DUMMYFUNCTION("""COMPUTED_VALUE"""),"TELF REFERENCIA")</f>
        <v>TELF REFERENCIA</v>
      </c>
      <c r="O11" s="126" t="str">
        <f>IFERROR(__xludf.DUMMYFUNCTION("""COMPUTED_VALUE"""),"PLANO")</f>
        <v>PLANO</v>
      </c>
      <c r="P11" s="126" t="str">
        <f>IFERROR(__xludf.DUMMYFUNCTION("""COMPUTED_VALUE"""),"DEPARTAMENTO")</f>
        <v>DEPARTAMENTO</v>
      </c>
      <c r="Q11" s="126" t="str">
        <f>IFERROR(__xludf.DUMMYFUNCTION("""COMPUTED_VALUE"""),"PROV / DISTRITO")</f>
        <v>PROV / DISTRITO</v>
      </c>
      <c r="R11" s="126" t="str">
        <f>IFERROR(__xludf.DUMMYFUNCTION("""COMPUTED_VALUE"""),"TECNOLOGIA")</f>
        <v>TECNOLOGIA</v>
      </c>
      <c r="S11" s="126" t="str">
        <f>IFERROR(__xludf.DUMMYFUNCTION("""COMPUTED_VALUE"""),"SERVICIO A CONTRATAR")</f>
        <v>SERVICIO A CONTRATAR</v>
      </c>
      <c r="T11" s="126" t="str">
        <f>IFERROR(__xludf.DUMMYFUNCTION("""COMPUTED_VALUE"""),"OFERTA COMERCIAL ALTA NUEVA")</f>
        <v>OFERTA COMERCIAL ALTA NUEVA</v>
      </c>
      <c r="U11" s="126" t="str">
        <f>IFERROR(__xludf.DUMMYFUNCTION("""COMPUTED_VALUE"""),"VELOCIDAD PLAN")</f>
        <v>VELOCIDAD PLAN</v>
      </c>
      <c r="V11" s="126" t="str">
        <f>IFERROR(__xludf.DUMMYFUNCTION("""COMPUTED_VALUE"""),"FECHA INSTALACIÓN")</f>
        <v>FECHA INSTALACIÓN</v>
      </c>
      <c r="W11" s="126" t="str">
        <f>IFERROR(__xludf.DUMMYFUNCTION("""COMPUTED_VALUE"""),"ORDEN INSTALACION")</f>
        <v>ORDEN INSTALACION</v>
      </c>
      <c r="X11" s="126" t="s">
        <v>92</v>
      </c>
    </row>
    <row r="12">
      <c r="A12" s="49" t="str">
        <f t="array" ref="A12">IF(COUNTA($B$12:$B50)&gt;0,SEQUENCE(COUNTA(B12:B50),1),"")</f>
        <v/>
      </c>
      <c r="B12" s="127"/>
      <c r="C12" s="128"/>
      <c r="D12" s="58"/>
      <c r="E12" s="49"/>
      <c r="F12" s="72"/>
      <c r="G12" s="128"/>
      <c r="H12" s="72"/>
      <c r="I12" s="71"/>
      <c r="J12" s="72"/>
      <c r="K12" s="76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 t="str">
        <f t="array" ref="X12">IF(B12&lt;&gt;"",INDEX(LISTA!$M$2:$N$27,MATCH(P12,LISTA!$N$2:$N$27,0),1),"")</f>
        <v/>
      </c>
    </row>
    <row r="13">
      <c r="A13" s="49"/>
      <c r="B13" s="127"/>
      <c r="C13" s="128"/>
      <c r="D13" s="58"/>
      <c r="E13" s="49"/>
      <c r="F13" s="127"/>
      <c r="G13" s="128"/>
      <c r="H13" s="72"/>
      <c r="I13" s="71"/>
      <c r="J13" s="72"/>
      <c r="K13" s="76"/>
      <c r="L13" s="129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 t="str">
        <f t="array" ref="X13">IF(B13&lt;&gt;"",INDEX(LISTA!$M$2:$N$27,MATCH(P13,LISTA!$N$2:$N$27,0),1),"")</f>
        <v/>
      </c>
    </row>
    <row r="14">
      <c r="A14" s="49"/>
      <c r="B14" s="127"/>
      <c r="C14" s="128"/>
      <c r="D14" s="58"/>
      <c r="E14" s="49"/>
      <c r="F14" s="127"/>
      <c r="G14" s="128"/>
      <c r="H14" s="72"/>
      <c r="I14" s="71"/>
      <c r="J14" s="72"/>
      <c r="K14" s="76"/>
      <c r="L14" s="129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 t="str">
        <f t="array" ref="X14">IF(B14&lt;&gt;"",INDEX(LISTA!$M$2:$N$27,MATCH(P14,LISTA!$N$2:$N$27,0),1),"")</f>
        <v/>
      </c>
    </row>
    <row r="15">
      <c r="A15" s="49"/>
      <c r="B15" s="127"/>
      <c r="C15" s="128"/>
      <c r="D15" s="58"/>
      <c r="E15" s="49"/>
      <c r="F15" s="127"/>
      <c r="G15" s="128"/>
      <c r="H15" s="72"/>
      <c r="I15" s="71"/>
      <c r="J15" s="72"/>
      <c r="K15" s="76"/>
      <c r="L15" s="129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 t="str">
        <f t="array" ref="X15">IF(B15&lt;&gt;"",INDEX(LISTA!$M$2:$N$27,MATCH(P15,LISTA!$N$2:$N$27,0),1),"")</f>
        <v/>
      </c>
    </row>
    <row r="16">
      <c r="A16" s="49"/>
      <c r="B16" s="127"/>
      <c r="C16" s="128"/>
      <c r="D16" s="58"/>
      <c r="E16" s="49"/>
      <c r="F16" s="127"/>
      <c r="G16" s="128"/>
      <c r="H16" s="72"/>
      <c r="I16" s="71"/>
      <c r="J16" s="72"/>
      <c r="K16" s="76"/>
      <c r="L16" s="129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 t="str">
        <f t="array" ref="X16">IF(B16&lt;&gt;"",INDEX(LISTA!$M$2:$N$27,MATCH(P16,LISTA!$N$2:$N$27,0),1),"")</f>
        <v/>
      </c>
    </row>
    <row r="17">
      <c r="A17" s="49"/>
      <c r="B17" s="127"/>
      <c r="C17" s="128"/>
      <c r="D17" s="58"/>
      <c r="E17" s="49"/>
      <c r="F17" s="127"/>
      <c r="G17" s="128"/>
      <c r="H17" s="72"/>
      <c r="I17" s="71"/>
      <c r="J17" s="72"/>
      <c r="K17" s="76"/>
      <c r="L17" s="129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 t="str">
        <f t="array" ref="X17">IF(B17&lt;&gt;"",INDEX(LISTA!$M$2:$N$27,MATCH(P17,LISTA!$N$2:$N$27,0),1),"")</f>
        <v/>
      </c>
    </row>
    <row r="18">
      <c r="A18" s="49"/>
      <c r="B18" s="127"/>
      <c r="C18" s="128"/>
      <c r="D18" s="58"/>
      <c r="E18" s="49"/>
      <c r="F18" s="127"/>
      <c r="G18" s="128"/>
      <c r="H18" s="72"/>
      <c r="I18" s="71"/>
      <c r="J18" s="72"/>
      <c r="K18" s="76"/>
      <c r="L18" s="129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 t="str">
        <f t="array" ref="X18">IF(B18&lt;&gt;"",INDEX(LISTA!$M$2:$N$27,MATCH(P18,LISTA!$N$2:$N$27,0),1),"")</f>
        <v/>
      </c>
    </row>
    <row r="19">
      <c r="A19" s="49"/>
      <c r="B19" s="127"/>
      <c r="C19" s="128"/>
      <c r="D19" s="58"/>
      <c r="E19" s="49"/>
      <c r="F19" s="127"/>
      <c r="G19" s="128"/>
      <c r="H19" s="72"/>
      <c r="I19" s="71"/>
      <c r="J19" s="72"/>
      <c r="K19" s="76"/>
      <c r="L19" s="129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 t="str">
        <f t="array" ref="X19">IF(B19&lt;&gt;"",INDEX(LISTA!$M$2:$N$27,MATCH(P19,LISTA!$N$2:$N$27,0),1),"")</f>
        <v/>
      </c>
    </row>
    <row r="20">
      <c r="A20" s="49"/>
      <c r="B20" s="127"/>
      <c r="C20" s="128"/>
      <c r="D20" s="58"/>
      <c r="E20" s="49"/>
      <c r="F20" s="127"/>
      <c r="G20" s="128"/>
      <c r="H20" s="72"/>
      <c r="I20" s="71"/>
      <c r="J20" s="72"/>
      <c r="K20" s="76"/>
      <c r="L20" s="129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 t="str">
        <f t="array" ref="X20">IF(B20&lt;&gt;"",INDEX(LISTA!$M$2:$N$27,MATCH(P20,LISTA!$N$2:$N$27,0),1),"")</f>
        <v/>
      </c>
    </row>
    <row r="21">
      <c r="A21" s="49"/>
      <c r="B21" s="127"/>
      <c r="C21" s="128"/>
      <c r="D21" s="58"/>
      <c r="E21" s="49"/>
      <c r="F21" s="127"/>
      <c r="G21" s="128"/>
      <c r="H21" s="72"/>
      <c r="I21" s="71"/>
      <c r="J21" s="72"/>
      <c r="K21" s="76"/>
      <c r="L21" s="129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 t="str">
        <f t="array" ref="X21">IF(B21&lt;&gt;"",INDEX(LISTA!$M$2:$N$27,MATCH(P21,LISTA!$N$2:$N$27,0),1),"")</f>
        <v/>
      </c>
    </row>
    <row r="22">
      <c r="A22" s="49"/>
      <c r="B22" s="127"/>
      <c r="C22" s="128"/>
      <c r="D22" s="58"/>
      <c r="E22" s="49"/>
      <c r="F22" s="127"/>
      <c r="G22" s="128"/>
      <c r="H22" s="72"/>
      <c r="I22" s="71"/>
      <c r="J22" s="72"/>
      <c r="K22" s="76"/>
      <c r="L22" s="129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 t="str">
        <f t="array" ref="X22">IF(B22&lt;&gt;"",INDEX(LISTA!$M$2:$N$27,MATCH(P22,LISTA!$N$2:$N$27,0),1),"")</f>
        <v/>
      </c>
    </row>
    <row r="23">
      <c r="A23" s="49"/>
      <c r="B23" s="127"/>
      <c r="C23" s="128"/>
      <c r="D23" s="58"/>
      <c r="E23" s="49"/>
      <c r="F23" s="127"/>
      <c r="G23" s="128"/>
      <c r="H23" s="72"/>
      <c r="I23" s="71"/>
      <c r="J23" s="72"/>
      <c r="K23" s="76"/>
      <c r="L23" s="129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 t="str">
        <f t="array" ref="X23">IF(B23&lt;&gt;"",INDEX(LISTA!$M$2:$N$27,MATCH(P23,LISTA!$N$2:$N$27,0),1),"")</f>
        <v/>
      </c>
    </row>
    <row r="24">
      <c r="A24" s="49"/>
      <c r="B24" s="127"/>
      <c r="C24" s="128"/>
      <c r="D24" s="58"/>
      <c r="E24" s="49"/>
      <c r="F24" s="127"/>
      <c r="G24" s="128"/>
      <c r="H24" s="72"/>
      <c r="I24" s="71"/>
      <c r="J24" s="72"/>
      <c r="K24" s="76"/>
      <c r="L24" s="129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 t="str">
        <f t="array" ref="X24">IF(B24&lt;&gt;"",INDEX(LISTA!$M$2:$N$27,MATCH(P24,LISTA!$N$2:$N$27,0),1),"")</f>
        <v/>
      </c>
    </row>
    <row r="25">
      <c r="A25" s="49"/>
      <c r="B25" s="127"/>
      <c r="C25" s="128"/>
      <c r="D25" s="58"/>
      <c r="E25" s="49"/>
      <c r="F25" s="127"/>
      <c r="G25" s="128"/>
      <c r="H25" s="72"/>
      <c r="I25" s="71"/>
      <c r="J25" s="72"/>
      <c r="K25" s="76"/>
      <c r="L25" s="129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 t="str">
        <f t="array" ref="X25">IF(B25&lt;&gt;"",INDEX(LISTA!$M$2:$N$27,MATCH(P25,LISTA!$N$2:$N$27,0),1),"")</f>
        <v/>
      </c>
    </row>
    <row r="26">
      <c r="A26" s="49"/>
      <c r="B26" s="127"/>
      <c r="C26" s="128"/>
      <c r="D26" s="58"/>
      <c r="E26" s="49"/>
      <c r="F26" s="127"/>
      <c r="G26" s="128"/>
      <c r="H26" s="72"/>
      <c r="I26" s="71"/>
      <c r="J26" s="72"/>
      <c r="K26" s="76"/>
      <c r="L26" s="129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 t="str">
        <f t="array" ref="X26">IF(B26&lt;&gt;"",INDEX(LISTA!$M$2:$N$27,MATCH(P26,LISTA!$N$2:$N$27,0),1),"")</f>
        <v/>
      </c>
    </row>
    <row r="27">
      <c r="A27" s="49"/>
      <c r="B27" s="127"/>
      <c r="C27" s="128"/>
      <c r="D27" s="58"/>
      <c r="E27" s="49"/>
      <c r="F27" s="127"/>
      <c r="G27" s="128"/>
      <c r="H27" s="72"/>
      <c r="I27" s="71"/>
      <c r="J27" s="72"/>
      <c r="K27" s="76"/>
      <c r="L27" s="129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 t="str">
        <f t="array" ref="X27">IF(B27&lt;&gt;"",INDEX(LISTA!$M$2:$N$27,MATCH(P27,LISTA!$N$2:$N$27,0),1),"")</f>
        <v/>
      </c>
    </row>
    <row r="28">
      <c r="A28" s="49"/>
      <c r="B28" s="127"/>
      <c r="C28" s="128"/>
      <c r="D28" s="58"/>
      <c r="E28" s="49"/>
      <c r="F28" s="127"/>
      <c r="G28" s="128"/>
      <c r="H28" s="72"/>
      <c r="I28" s="71"/>
      <c r="J28" s="72"/>
      <c r="K28" s="76"/>
      <c r="L28" s="129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 t="str">
        <f t="array" ref="X28">IF(B28&lt;&gt;"",INDEX(LISTA!$M$2:$N$27,MATCH(P28,LISTA!$N$2:$N$27,0),1),"")</f>
        <v/>
      </c>
    </row>
    <row r="29">
      <c r="A29" s="49"/>
      <c r="B29" s="127"/>
      <c r="C29" s="128"/>
      <c r="D29" s="58"/>
      <c r="E29" s="49"/>
      <c r="F29" s="127"/>
      <c r="G29" s="128"/>
      <c r="H29" s="72"/>
      <c r="I29" s="71"/>
      <c r="J29" s="72"/>
      <c r="K29" s="76"/>
      <c r="L29" s="129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 t="str">
        <f t="array" ref="X29">IF(B29&lt;&gt;"",INDEX(LISTA!$M$2:$N$27,MATCH(P29,LISTA!$N$2:$N$27,0),1),"")</f>
        <v/>
      </c>
    </row>
    <row r="30">
      <c r="A30" s="49"/>
      <c r="B30" s="127"/>
      <c r="C30" s="128"/>
      <c r="D30" s="58"/>
      <c r="E30" s="49"/>
      <c r="F30" s="127"/>
      <c r="G30" s="128"/>
      <c r="H30" s="72"/>
      <c r="I30" s="71"/>
      <c r="J30" s="72"/>
      <c r="K30" s="76"/>
      <c r="L30" s="129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 t="str">
        <f t="array" ref="X30">IF(B30&lt;&gt;"",INDEX(LISTA!$M$2:$N$27,MATCH(P30,LISTA!$N$2:$N$27,0),1),"")</f>
        <v/>
      </c>
    </row>
    <row r="31">
      <c r="A31" s="49"/>
      <c r="B31" s="127"/>
      <c r="C31" s="128"/>
      <c r="D31" s="58"/>
      <c r="E31" s="49"/>
      <c r="F31" s="127"/>
      <c r="G31" s="128"/>
      <c r="H31" s="72"/>
      <c r="I31" s="71"/>
      <c r="J31" s="72"/>
      <c r="K31" s="76"/>
      <c r="L31" s="129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 t="str">
        <f t="array" ref="X31">IF(B31&lt;&gt;"",INDEX(LISTA!$M$2:$N$27,MATCH(P31,LISTA!$N$2:$N$27,0),1),"")</f>
        <v/>
      </c>
    </row>
    <row r="32">
      <c r="A32" s="49"/>
      <c r="B32" s="127"/>
      <c r="C32" s="128"/>
      <c r="D32" s="58"/>
      <c r="E32" s="49"/>
      <c r="F32" s="127"/>
      <c r="G32" s="128"/>
      <c r="H32" s="72"/>
      <c r="I32" s="71"/>
      <c r="J32" s="72"/>
      <c r="K32" s="76"/>
      <c r="L32" s="129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 t="str">
        <f t="array" ref="X32">IF(B32&lt;&gt;"",INDEX(LISTA!$M$2:$N$27,MATCH(P32,LISTA!$N$2:$N$27,0),1),"")</f>
        <v/>
      </c>
    </row>
    <row r="33">
      <c r="A33" s="49"/>
      <c r="B33" s="127"/>
      <c r="C33" s="128"/>
      <c r="D33" s="58"/>
      <c r="E33" s="49"/>
      <c r="F33" s="127"/>
      <c r="G33" s="128"/>
      <c r="H33" s="72"/>
      <c r="I33" s="71"/>
      <c r="J33" s="72"/>
      <c r="K33" s="76"/>
      <c r="L33" s="129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 t="str">
        <f t="array" ref="X33">IF(B33&lt;&gt;"",INDEX(LISTA!$M$2:$N$27,MATCH(P33,LISTA!$N$2:$N$27,0),1),"")</f>
        <v/>
      </c>
    </row>
    <row r="34">
      <c r="A34" s="49"/>
      <c r="B34" s="127"/>
      <c r="C34" s="128"/>
      <c r="D34" s="58"/>
      <c r="E34" s="49"/>
      <c r="F34" s="127"/>
      <c r="G34" s="128"/>
      <c r="H34" s="72"/>
      <c r="I34" s="71"/>
      <c r="J34" s="72"/>
      <c r="K34" s="76"/>
      <c r="L34" s="129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 t="str">
        <f t="array" ref="X34">IF(B34&lt;&gt;"",INDEX(LISTA!$M$2:$N$27,MATCH(P34,LISTA!$N$2:$N$27,0),1),"")</f>
        <v/>
      </c>
    </row>
    <row r="35">
      <c r="A35" s="49"/>
      <c r="B35" s="127"/>
      <c r="C35" s="128"/>
      <c r="D35" s="58"/>
      <c r="E35" s="49"/>
      <c r="F35" s="127"/>
      <c r="G35" s="128"/>
      <c r="H35" s="72"/>
      <c r="I35" s="71"/>
      <c r="J35" s="72"/>
      <c r="K35" s="76"/>
      <c r="L35" s="129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 t="str">
        <f t="array" ref="X35">IF(B35&lt;&gt;"",INDEX(LISTA!$M$2:$N$27,MATCH(P35,LISTA!$N$2:$N$27,0),1),"")</f>
        <v/>
      </c>
    </row>
    <row r="36">
      <c r="A36" s="49"/>
      <c r="B36" s="127"/>
      <c r="C36" s="128"/>
      <c r="D36" s="58"/>
      <c r="E36" s="49"/>
      <c r="F36" s="127"/>
      <c r="G36" s="128"/>
      <c r="H36" s="72"/>
      <c r="I36" s="71"/>
      <c r="J36" s="72"/>
      <c r="K36" s="76"/>
      <c r="L36" s="129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 t="str">
        <f t="array" ref="X36">IF(B36&lt;&gt;"",INDEX(LISTA!$M$2:$N$27,MATCH(P36,LISTA!$N$2:$N$27,0),1),"")</f>
        <v/>
      </c>
    </row>
    <row r="37">
      <c r="A37" s="49"/>
      <c r="B37" s="127"/>
      <c r="C37" s="128"/>
      <c r="D37" s="58"/>
      <c r="E37" s="49"/>
      <c r="F37" s="127"/>
      <c r="G37" s="128"/>
      <c r="H37" s="72"/>
      <c r="I37" s="71"/>
      <c r="J37" s="72"/>
      <c r="K37" s="76"/>
      <c r="L37" s="129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 t="str">
        <f t="array" ref="X37">IF(B37&lt;&gt;"",INDEX(LISTA!$M$2:$N$27,MATCH(P37,LISTA!$N$2:$N$27,0),1),"")</f>
        <v/>
      </c>
    </row>
    <row r="38">
      <c r="A38" s="49"/>
      <c r="B38" s="127"/>
      <c r="C38" s="128"/>
      <c r="D38" s="58"/>
      <c r="E38" s="49"/>
      <c r="F38" s="127"/>
      <c r="G38" s="128"/>
      <c r="H38" s="72"/>
      <c r="I38" s="71"/>
      <c r="J38" s="72"/>
      <c r="K38" s="76"/>
      <c r="L38" s="129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 t="str">
        <f t="array" ref="X38">IF(B38&lt;&gt;"",INDEX(LISTA!$M$2:$N$27,MATCH(P38,LISTA!$N$2:$N$27,0),1),"")</f>
        <v/>
      </c>
    </row>
    <row r="39">
      <c r="A39" s="49"/>
      <c r="B39" s="127"/>
      <c r="C39" s="128"/>
      <c r="D39" s="58"/>
      <c r="E39" s="49"/>
      <c r="F39" s="127"/>
      <c r="G39" s="128"/>
      <c r="H39" s="72"/>
      <c r="I39" s="71"/>
      <c r="J39" s="72"/>
      <c r="K39" s="76"/>
      <c r="L39" s="129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 t="str">
        <f t="array" ref="X39">IF(B39&lt;&gt;"",INDEX(LISTA!$M$2:$N$27,MATCH(P39,LISTA!$N$2:$N$27,0),1),"")</f>
        <v/>
      </c>
    </row>
    <row r="40">
      <c r="A40" s="49"/>
      <c r="B40" s="127"/>
      <c r="C40" s="128"/>
      <c r="D40" s="58"/>
      <c r="E40" s="49"/>
      <c r="F40" s="127"/>
      <c r="G40" s="128"/>
      <c r="H40" s="72"/>
      <c r="I40" s="71"/>
      <c r="J40" s="72"/>
      <c r="K40" s="76"/>
      <c r="L40" s="129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 t="str">
        <f t="array" ref="X40">IF(B40&lt;&gt;"",INDEX(LISTA!$M$2:$N$27,MATCH(P40,LISTA!$N$2:$N$27,0),1),"")</f>
        <v/>
      </c>
    </row>
    <row r="41">
      <c r="A41" s="49"/>
      <c r="B41" s="127"/>
      <c r="C41" s="128"/>
      <c r="D41" s="58"/>
      <c r="E41" s="49"/>
      <c r="F41" s="127"/>
      <c r="G41" s="128"/>
      <c r="H41" s="72"/>
      <c r="I41" s="71"/>
      <c r="J41" s="72"/>
      <c r="K41" s="76"/>
      <c r="L41" s="129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 t="str">
        <f t="array" ref="X41">IF(B41&lt;&gt;"",INDEX(LISTA!$M$2:$N$27,MATCH(P41,LISTA!$N$2:$N$27,0),1),"")</f>
        <v/>
      </c>
    </row>
    <row r="42">
      <c r="A42" s="49"/>
      <c r="B42" s="127"/>
      <c r="C42" s="128"/>
      <c r="D42" s="58"/>
      <c r="E42" s="49"/>
      <c r="F42" s="127"/>
      <c r="G42" s="128"/>
      <c r="H42" s="72"/>
      <c r="I42" s="71"/>
      <c r="J42" s="72"/>
      <c r="K42" s="76"/>
      <c r="L42" s="129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 t="str">
        <f t="array" ref="X42">IF(B42&lt;&gt;"",INDEX(LISTA!$M$2:$N$27,MATCH(P42,LISTA!$N$2:$N$27,0),1),"")</f>
        <v/>
      </c>
    </row>
    <row r="43">
      <c r="A43" s="49"/>
      <c r="B43" s="127"/>
      <c r="C43" s="128"/>
      <c r="D43" s="58"/>
      <c r="E43" s="49"/>
      <c r="F43" s="127"/>
      <c r="G43" s="128"/>
      <c r="H43" s="72"/>
      <c r="I43" s="71"/>
      <c r="J43" s="72"/>
      <c r="K43" s="76"/>
      <c r="L43" s="129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 t="str">
        <f t="array" ref="X43">IF(B43&lt;&gt;"",INDEX(LISTA!$M$2:$N$27,MATCH(P43,LISTA!$N$2:$N$27,0),1),"")</f>
        <v/>
      </c>
    </row>
    <row r="44">
      <c r="A44" s="49"/>
      <c r="B44" s="127"/>
      <c r="C44" s="128"/>
      <c r="D44" s="58"/>
      <c r="E44" s="49"/>
      <c r="F44" s="127"/>
      <c r="G44" s="128"/>
      <c r="H44" s="72"/>
      <c r="I44" s="71"/>
      <c r="J44" s="72"/>
      <c r="K44" s="76"/>
      <c r="L44" s="129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 t="str">
        <f t="array" ref="X44">IF(B44&lt;&gt;"",INDEX(LISTA!$M$2:$N$27,MATCH(P44,LISTA!$N$2:$N$27,0),1),"")</f>
        <v/>
      </c>
    </row>
    <row r="45">
      <c r="A45" s="49"/>
      <c r="B45" s="127"/>
      <c r="C45" s="128"/>
      <c r="D45" s="58"/>
      <c r="E45" s="49"/>
      <c r="F45" s="127"/>
      <c r="G45" s="128"/>
      <c r="H45" s="72"/>
      <c r="I45" s="71"/>
      <c r="J45" s="72"/>
      <c r="K45" s="76"/>
      <c r="L45" s="129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 t="str">
        <f t="array" ref="X45">IF(B45&lt;&gt;"",INDEX(LISTA!$M$2:$N$27,MATCH(P45,LISTA!$N$2:$N$27,0),1),"")</f>
        <v/>
      </c>
    </row>
    <row r="46">
      <c r="A46" s="49"/>
      <c r="B46" s="127"/>
      <c r="C46" s="128"/>
      <c r="D46" s="58"/>
      <c r="E46" s="49"/>
      <c r="F46" s="127"/>
      <c r="G46" s="128"/>
      <c r="H46" s="72"/>
      <c r="I46" s="71"/>
      <c r="J46" s="72"/>
      <c r="K46" s="76"/>
      <c r="L46" s="129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 t="str">
        <f t="array" ref="X46">IF(B46&lt;&gt;"",INDEX(LISTA!$M$2:$N$27,MATCH(P46,LISTA!$N$2:$N$27,0),1),"")</f>
        <v/>
      </c>
    </row>
    <row r="47">
      <c r="A47" s="49"/>
      <c r="B47" s="127"/>
      <c r="C47" s="128"/>
      <c r="D47" s="58"/>
      <c r="E47" s="49"/>
      <c r="F47" s="127"/>
      <c r="G47" s="128"/>
      <c r="H47" s="72"/>
      <c r="I47" s="71"/>
      <c r="J47" s="72"/>
      <c r="K47" s="76"/>
      <c r="L47" s="129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 t="str">
        <f t="array" ref="X47">IF(B47&lt;&gt;"",INDEX(LISTA!$M$2:$N$27,MATCH(P47,LISTA!$N$2:$N$27,0),1),"")</f>
        <v/>
      </c>
    </row>
    <row r="48">
      <c r="A48" s="49"/>
      <c r="B48" s="127"/>
      <c r="C48" s="128"/>
      <c r="D48" s="58"/>
      <c r="E48" s="49"/>
      <c r="F48" s="127"/>
      <c r="G48" s="128"/>
      <c r="H48" s="72"/>
      <c r="I48" s="71"/>
      <c r="J48" s="72"/>
      <c r="K48" s="76"/>
      <c r="L48" s="129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 t="str">
        <f t="array" ref="X48">IF(B48&lt;&gt;"",INDEX(LISTA!$M$2:$N$27,MATCH(P48,LISTA!$N$2:$N$27,0),1),"")</f>
        <v/>
      </c>
    </row>
    <row r="49">
      <c r="A49" s="49"/>
      <c r="B49" s="127"/>
      <c r="C49" s="128"/>
      <c r="D49" s="58"/>
      <c r="E49" s="49"/>
      <c r="F49" s="127"/>
      <c r="G49" s="128"/>
      <c r="H49" s="72"/>
      <c r="I49" s="71"/>
      <c r="J49" s="72"/>
      <c r="K49" s="76"/>
      <c r="L49" s="129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 t="str">
        <f t="array" ref="X49">IF(B49&lt;&gt;"",INDEX(LISTA!$M$2:$N$27,MATCH(P49,LISTA!$N$2:$N$27,0),1),"")</f>
        <v/>
      </c>
    </row>
    <row r="50">
      <c r="A50" s="49"/>
      <c r="B50" s="127"/>
      <c r="C50" s="128"/>
      <c r="D50" s="58"/>
      <c r="E50" s="49"/>
      <c r="F50" s="127"/>
      <c r="G50" s="128"/>
      <c r="H50" s="72"/>
      <c r="I50" s="71"/>
      <c r="J50" s="72"/>
      <c r="K50" s="76"/>
      <c r="L50" s="129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 t="str">
        <f t="array" ref="X50">IF(B50&lt;&gt;"",INDEX(LISTA!$M$2:$N$27,MATCH(P50,LISTA!$N$2:$N$27,0),1),"")</f>
        <v/>
      </c>
    </row>
  </sheetData>
  <mergeCells count="5">
    <mergeCell ref="B1:C2"/>
    <mergeCell ref="D1:D2"/>
    <mergeCell ref="E1:F1"/>
    <mergeCell ref="H1:I1"/>
    <mergeCell ref="K1:L1"/>
  </mergeCells>
  <conditionalFormatting sqref="A12:X50">
    <cfRule type="expression" dxfId="9" priority="1">
      <formula>#REF!=TODAY()</formula>
    </cfRule>
  </conditionalFormatting>
  <conditionalFormatting sqref="E2:E10 H2:H10 K2:K10">
    <cfRule type="notContainsBlanks" dxfId="18" priority="2">
      <formula>LEN(TRIM(E2))&gt;0</formula>
    </cfRule>
  </conditionalFormatting>
  <conditionalFormatting sqref="F2:F10 I2:I10 L2:L10">
    <cfRule type="notContainsBlanks" dxfId="11" priority="3">
      <formula>LEN(TRIM(F2))&gt;0</formula>
    </cfRule>
  </conditionalFormatting>
  <conditionalFormatting sqref="H4:H10">
    <cfRule type="notContainsBlanks" dxfId="10" priority="4">
      <formula>LEN(TRIM(H4))&gt;0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30.75"/>
    <col customWidth="1" min="2" max="2" width="4.0"/>
    <col customWidth="1" min="3" max="3" width="2.63"/>
    <col customWidth="1" hidden="1" min="4" max="4" width="8.5"/>
    <col customWidth="1" min="5" max="5" width="2.63"/>
    <col customWidth="1" min="6" max="6" width="4.0"/>
    <col customWidth="1" min="7" max="7" width="12.13"/>
    <col customWidth="1" min="8" max="8" width="4.75"/>
    <col customWidth="1" min="9" max="9" width="2.63"/>
    <col customWidth="1" min="10" max="10" width="2.38"/>
    <col customWidth="1" min="11" max="11" width="8.38"/>
    <col customWidth="1" min="12" max="12" width="2.63"/>
    <col customWidth="1" min="13" max="13" width="4.0"/>
    <col customWidth="1" min="14" max="14" width="15.0"/>
    <col customWidth="1" min="15" max="15" width="2.63"/>
    <col customWidth="1" min="17" max="17" width="2.63"/>
    <col customWidth="1" min="19" max="19" width="4.75"/>
    <col customWidth="1" min="20" max="20" width="9.63"/>
    <col customWidth="1" min="21" max="21" width="19.75"/>
    <col customWidth="1" min="22" max="22" width="5.0"/>
    <col customWidth="1" min="23" max="32" width="12.13"/>
  </cols>
  <sheetData>
    <row r="1">
      <c r="A1" s="130" t="s">
        <v>4</v>
      </c>
      <c r="B1" s="130" t="s">
        <v>301</v>
      </c>
      <c r="C1" s="131"/>
      <c r="D1" s="130" t="s">
        <v>7</v>
      </c>
      <c r="E1" s="131"/>
      <c r="F1" s="130" t="s">
        <v>301</v>
      </c>
      <c r="G1" s="132" t="s">
        <v>302</v>
      </c>
      <c r="H1" s="132" t="s">
        <v>303</v>
      </c>
      <c r="I1" s="131"/>
      <c r="J1" s="130" t="s">
        <v>304</v>
      </c>
      <c r="K1" s="132" t="s">
        <v>305</v>
      </c>
      <c r="L1" s="131"/>
      <c r="M1" s="130" t="s">
        <v>301</v>
      </c>
      <c r="N1" s="132" t="s">
        <v>69</v>
      </c>
      <c r="O1" s="131"/>
      <c r="P1" s="130" t="s">
        <v>306</v>
      </c>
      <c r="Q1" s="131"/>
      <c r="R1" s="133" t="s">
        <v>307</v>
      </c>
      <c r="S1" s="133" t="s">
        <v>303</v>
      </c>
      <c r="T1" s="131"/>
      <c r="U1" s="133" t="s">
        <v>308</v>
      </c>
      <c r="V1" s="133" t="s">
        <v>303</v>
      </c>
      <c r="W1" s="131"/>
      <c r="X1" s="131"/>
      <c r="Y1" s="131"/>
      <c r="Z1" s="131"/>
      <c r="AA1" s="131"/>
      <c r="AB1" s="131"/>
      <c r="AC1" s="131"/>
      <c r="AD1" s="131"/>
      <c r="AE1" s="131"/>
      <c r="AF1" s="131"/>
    </row>
    <row r="2">
      <c r="A2" s="134" t="s">
        <v>311</v>
      </c>
      <c r="B2" s="134">
        <f t="shared" ref="B2:B52" si="1">IF(A2&lt;&gt;"",VALUE(MID(A2 ,1,SEARCH("-",A2,1)-1)),"")</f>
        <v>0</v>
      </c>
      <c r="C2" s="131"/>
      <c r="D2" s="135" t="s">
        <v>319</v>
      </c>
      <c r="E2" s="131"/>
      <c r="F2" s="136">
        <v>0.0</v>
      </c>
      <c r="G2" s="137" t="s">
        <v>321</v>
      </c>
      <c r="H2" s="136">
        <f>COUNTIF('PREVENTAS DEL DÍA'!$Y$13:$Y60,G2)</f>
        <v>0</v>
      </c>
      <c r="I2" s="131"/>
      <c r="J2" s="136">
        <v>1.0</v>
      </c>
      <c r="K2" s="137" t="s">
        <v>325</v>
      </c>
      <c r="L2" s="131"/>
      <c r="M2" s="136">
        <v>1.0</v>
      </c>
      <c r="N2" s="137" t="s">
        <v>41</v>
      </c>
      <c r="O2" s="131"/>
      <c r="P2" s="137" t="str">
        <f t="array" ref="P2:P36">UNIQUE(PREVENTAS!I2:I60)</f>
        <v>ROCIO</v>
      </c>
      <c r="Q2" s="131"/>
      <c r="R2" s="136" t="str">
        <f>IFERROR(__xludf.DUMMYFUNCTION("FILTER(G2:H9,H2:H9&gt;0)"),"#N/A")</f>
        <v>#N/A</v>
      </c>
      <c r="S2" s="136"/>
      <c r="T2" s="131"/>
      <c r="U2" s="137" t="str">
        <f>IFERROR(__xludf.DUMMYFUNCTION("FILTER(A2:B52,B2:B52=4)"),"4 - PROG-EJECUCION")</f>
        <v>4 - PROG-EJECUCION</v>
      </c>
      <c r="V2" s="137">
        <f>IFERROR(__xludf.DUMMYFUNCTION("""COMPUTED_VALUE"""),4.0)</f>
        <v>4</v>
      </c>
      <c r="W2" s="137"/>
      <c r="X2" s="137"/>
      <c r="Y2" s="137"/>
      <c r="Z2" s="137"/>
      <c r="AA2" s="137"/>
      <c r="AB2" s="137"/>
      <c r="AC2" s="137"/>
      <c r="AD2" s="137"/>
      <c r="AE2" s="137"/>
      <c r="AF2" s="137"/>
    </row>
    <row r="3">
      <c r="A3" s="138" t="s">
        <v>329</v>
      </c>
      <c r="B3" s="138">
        <f t="shared" si="1"/>
        <v>0</v>
      </c>
      <c r="C3" s="131"/>
      <c r="D3" s="135" t="s">
        <v>331</v>
      </c>
      <c r="E3" s="131"/>
      <c r="F3" s="136">
        <v>1.0</v>
      </c>
      <c r="G3" s="137" t="s">
        <v>332</v>
      </c>
      <c r="H3" s="136">
        <f>COUNTIF('PREVENTAS DEL DÍA'!$Y$13:$Y60,G3)</f>
        <v>0</v>
      </c>
      <c r="I3" s="131"/>
      <c r="J3" s="136">
        <v>2.0</v>
      </c>
      <c r="K3" s="137" t="s">
        <v>334</v>
      </c>
      <c r="L3" s="131"/>
      <c r="M3" s="136">
        <v>2.0</v>
      </c>
      <c r="N3" s="137" t="s">
        <v>30</v>
      </c>
      <c r="O3" s="131"/>
      <c r="P3" s="137" t="s">
        <v>192</v>
      </c>
      <c r="Q3" s="131"/>
      <c r="R3" s="136"/>
      <c r="S3" s="136"/>
      <c r="T3" s="131"/>
      <c r="U3" s="137" t="str">
        <f>IFERROR(__xludf.DUMMYFUNCTION("""COMPUTED_VALUE"""),"4 - PROG-EN CAMINO")</f>
        <v>4 - PROG-EN CAMINO</v>
      </c>
      <c r="V3" s="137">
        <f>IFERROR(__xludf.DUMMYFUNCTION("""COMPUTED_VALUE"""),4.0)</f>
        <v>4</v>
      </c>
      <c r="W3" s="137"/>
      <c r="X3" s="137"/>
      <c r="Y3" s="137"/>
      <c r="Z3" s="137"/>
      <c r="AA3" s="137"/>
      <c r="AB3" s="137"/>
      <c r="AC3" s="137"/>
      <c r="AD3" s="137"/>
      <c r="AE3" s="137"/>
      <c r="AF3" s="137"/>
    </row>
    <row r="4">
      <c r="A4" s="134" t="s">
        <v>335</v>
      </c>
      <c r="B4" s="134">
        <f t="shared" si="1"/>
        <v>0</v>
      </c>
      <c r="C4" s="131"/>
      <c r="D4" s="137" t="s">
        <v>336</v>
      </c>
      <c r="E4" s="131"/>
      <c r="F4" s="136">
        <v>2.0</v>
      </c>
      <c r="G4" s="135" t="s">
        <v>337</v>
      </c>
      <c r="H4" s="136">
        <f>COUNTIF('PREVENTAS DEL DÍA'!$Y$13:$Y60,G4)</f>
        <v>0</v>
      </c>
      <c r="I4" s="131"/>
      <c r="J4" s="136">
        <v>3.0</v>
      </c>
      <c r="K4" s="137" t="s">
        <v>338</v>
      </c>
      <c r="L4" s="131"/>
      <c r="M4" s="136">
        <v>3.0</v>
      </c>
      <c r="N4" s="137" t="s">
        <v>37</v>
      </c>
      <c r="O4" s="131"/>
      <c r="P4" s="137" t="s">
        <v>150</v>
      </c>
      <c r="Q4" s="131"/>
      <c r="R4" s="136"/>
      <c r="S4" s="136"/>
      <c r="T4" s="131"/>
      <c r="U4" s="135" t="str">
        <f>IFERROR(__xludf.DUMMYFUNCTION("""COMPUTED_VALUE"""),"4 - PROG-INICIADA")</f>
        <v>4 - PROG-INICIADA</v>
      </c>
      <c r="V4" s="135">
        <f>IFERROR(__xludf.DUMMYFUNCTION("""COMPUTED_VALUE"""),4.0)</f>
        <v>4</v>
      </c>
      <c r="W4" s="135"/>
      <c r="X4" s="135"/>
      <c r="Y4" s="135"/>
      <c r="Z4" s="135"/>
      <c r="AA4" s="135"/>
      <c r="AB4" s="135"/>
      <c r="AC4" s="135"/>
      <c r="AD4" s="135"/>
      <c r="AE4" s="135"/>
      <c r="AF4" s="135"/>
    </row>
    <row r="5">
      <c r="A5" s="134" t="s">
        <v>339</v>
      </c>
      <c r="B5" s="134">
        <f t="shared" si="1"/>
        <v>0</v>
      </c>
      <c r="C5" s="131"/>
      <c r="D5" s="137" t="s">
        <v>101</v>
      </c>
      <c r="E5" s="131"/>
      <c r="F5" s="139">
        <v>3.0</v>
      </c>
      <c r="G5" s="135" t="s">
        <v>340</v>
      </c>
      <c r="H5" s="136">
        <f>COUNTIF('PREVENTAS DEL DÍA'!$Y$13:$Y60,G5)</f>
        <v>0</v>
      </c>
      <c r="I5" s="131"/>
      <c r="J5" s="136">
        <v>4.0</v>
      </c>
      <c r="K5" s="137" t="s">
        <v>341</v>
      </c>
      <c r="L5" s="131"/>
      <c r="M5" s="136">
        <v>4.0</v>
      </c>
      <c r="N5" s="137" t="s">
        <v>23</v>
      </c>
      <c r="O5" s="131"/>
      <c r="P5" s="137" t="s">
        <v>260</v>
      </c>
      <c r="Q5" s="131"/>
      <c r="R5" s="136"/>
      <c r="S5" s="136"/>
      <c r="T5" s="131"/>
      <c r="U5" s="135" t="str">
        <f>IFERROR(__xludf.DUMMYFUNCTION("""COMPUTED_VALUE"""),"4 - PROG-SIN CD")</f>
        <v>4 - PROG-SIN CD</v>
      </c>
      <c r="V5" s="135">
        <f>IFERROR(__xludf.DUMMYFUNCTION("""COMPUTED_VALUE"""),4.0)</f>
        <v>4</v>
      </c>
      <c r="W5" s="135"/>
      <c r="X5" s="135"/>
      <c r="Y5" s="135"/>
      <c r="Z5" s="135"/>
      <c r="AA5" s="135"/>
      <c r="AB5" s="135"/>
      <c r="AC5" s="135"/>
      <c r="AD5" s="135"/>
      <c r="AE5" s="135"/>
      <c r="AF5" s="135"/>
    </row>
    <row r="6">
      <c r="A6" s="134" t="s">
        <v>342</v>
      </c>
      <c r="B6" s="134">
        <f t="shared" si="1"/>
        <v>0</v>
      </c>
      <c r="C6" s="131"/>
      <c r="D6" s="137" t="s">
        <v>150</v>
      </c>
      <c r="E6" s="131"/>
      <c r="F6" s="139">
        <v>4.0</v>
      </c>
      <c r="G6" s="137" t="s">
        <v>343</v>
      </c>
      <c r="H6" s="136">
        <f>COUNTIF('PREVENTAS DEL DÍA'!$Y$13:$Y60,G6)</f>
        <v>0</v>
      </c>
      <c r="I6" s="131"/>
      <c r="J6" s="136">
        <v>5.0</v>
      </c>
      <c r="K6" s="137" t="s">
        <v>344</v>
      </c>
      <c r="L6" s="131"/>
      <c r="M6" s="136">
        <v>5.0</v>
      </c>
      <c r="N6" s="137" t="s">
        <v>24</v>
      </c>
      <c r="O6" s="131"/>
      <c r="P6" s="137" t="s">
        <v>293</v>
      </c>
      <c r="Q6" s="131"/>
      <c r="R6" s="136"/>
      <c r="S6" s="136"/>
      <c r="T6" s="131"/>
      <c r="U6" s="137" t="str">
        <f>IFERROR(__xludf.DUMMYFUNCTION("""COMPUTED_VALUE"""),"4 - PROG-TEC EN CASA")</f>
        <v>4 - PROG-TEC EN CASA</v>
      </c>
      <c r="V6" s="137">
        <f>IFERROR(__xludf.DUMMYFUNCTION("""COMPUTED_VALUE"""),4.0)</f>
        <v>4</v>
      </c>
      <c r="W6" s="137"/>
      <c r="X6" s="137"/>
      <c r="Y6" s="137"/>
      <c r="Z6" s="137"/>
      <c r="AA6" s="137"/>
      <c r="AB6" s="137"/>
      <c r="AC6" s="137"/>
      <c r="AD6" s="137"/>
      <c r="AE6" s="137"/>
      <c r="AF6" s="137"/>
    </row>
    <row r="7">
      <c r="A7" s="134" t="s">
        <v>345</v>
      </c>
      <c r="B7" s="134">
        <f t="shared" si="1"/>
        <v>0</v>
      </c>
      <c r="C7" s="131"/>
      <c r="D7" s="137" t="s">
        <v>346</v>
      </c>
      <c r="E7" s="131"/>
      <c r="F7" s="139">
        <v>5.0</v>
      </c>
      <c r="G7" s="135" t="s">
        <v>347</v>
      </c>
      <c r="H7" s="136">
        <f>COUNTIF('PREVENTAS DEL DÍA'!$Y$13:$Y60,G7)</f>
        <v>0</v>
      </c>
      <c r="I7" s="131"/>
      <c r="J7" s="136">
        <v>6.0</v>
      </c>
      <c r="K7" s="137" t="s">
        <v>348</v>
      </c>
      <c r="L7" s="131"/>
      <c r="M7" s="136">
        <v>6.0</v>
      </c>
      <c r="N7" s="137" t="s">
        <v>25</v>
      </c>
      <c r="O7" s="131"/>
      <c r="P7" s="137" t="s">
        <v>107</v>
      </c>
      <c r="Q7" s="131"/>
      <c r="R7" s="136"/>
      <c r="S7" s="136"/>
      <c r="T7" s="131"/>
      <c r="U7" s="135" t="str">
        <f>IFERROR(__xludf.DUMMYFUNCTION("""COMPUTED_VALUE"""),"4 - PROG-REPROGRAMADA")</f>
        <v>4 - PROG-REPROGRAMADA</v>
      </c>
      <c r="V7" s="135">
        <f>IFERROR(__xludf.DUMMYFUNCTION("""COMPUTED_VALUE"""),4.0)</f>
        <v>4</v>
      </c>
      <c r="W7" s="135"/>
      <c r="X7" s="135"/>
      <c r="Y7" s="135"/>
      <c r="Z7" s="135"/>
      <c r="AA7" s="135"/>
      <c r="AB7" s="135"/>
      <c r="AC7" s="135"/>
      <c r="AD7" s="135"/>
      <c r="AE7" s="135"/>
      <c r="AF7" s="135"/>
    </row>
    <row r="8">
      <c r="A8" s="134" t="s">
        <v>349</v>
      </c>
      <c r="B8" s="134">
        <f t="shared" si="1"/>
        <v>0</v>
      </c>
      <c r="C8" s="131"/>
      <c r="E8" s="131"/>
      <c r="F8" s="136"/>
      <c r="G8" s="135"/>
      <c r="H8" s="136"/>
      <c r="I8" s="131"/>
      <c r="J8" s="136">
        <v>7.0</v>
      </c>
      <c r="K8" s="137" t="s">
        <v>234</v>
      </c>
      <c r="L8" s="131"/>
      <c r="M8" s="136">
        <v>7.0</v>
      </c>
      <c r="N8" s="137" t="s">
        <v>27</v>
      </c>
      <c r="O8" s="131"/>
      <c r="P8" s="137" t="s">
        <v>350</v>
      </c>
      <c r="Q8" s="131"/>
      <c r="R8" s="136"/>
      <c r="S8" s="136"/>
      <c r="T8" s="131"/>
      <c r="U8" s="135" t="str">
        <f>IFERROR(__xludf.DUMMYFUNCTION("""COMPUTED_VALUE"""),"4 - PROG-TARDANZA TECNICA")</f>
        <v>4 - PROG-TARDANZA TECNICA</v>
      </c>
      <c r="V8" s="135">
        <f>IFERROR(__xludf.DUMMYFUNCTION("""COMPUTED_VALUE"""),4.0)</f>
        <v>4</v>
      </c>
      <c r="W8" s="135"/>
      <c r="X8" s="135"/>
      <c r="Y8" s="135"/>
      <c r="Z8" s="135"/>
      <c r="AA8" s="135"/>
      <c r="AB8" s="135"/>
      <c r="AC8" s="135"/>
      <c r="AD8" s="135"/>
      <c r="AE8" s="135"/>
      <c r="AF8" s="135"/>
    </row>
    <row r="9">
      <c r="A9" s="134" t="s">
        <v>351</v>
      </c>
      <c r="B9" s="134">
        <f t="shared" si="1"/>
        <v>0</v>
      </c>
      <c r="C9" s="131"/>
      <c r="D9" s="131"/>
      <c r="E9" s="131"/>
      <c r="F9" s="136"/>
      <c r="G9" s="135"/>
      <c r="H9" s="136"/>
      <c r="I9" s="131"/>
      <c r="J9" s="136">
        <v>8.0</v>
      </c>
      <c r="K9" s="137" t="s">
        <v>352</v>
      </c>
      <c r="L9" s="131"/>
      <c r="M9" s="136">
        <v>8.0</v>
      </c>
      <c r="N9" s="137" t="s">
        <v>28</v>
      </c>
      <c r="O9" s="131"/>
      <c r="P9" s="137" t="s">
        <v>287</v>
      </c>
      <c r="Q9" s="131"/>
      <c r="R9" s="136"/>
      <c r="S9" s="136"/>
      <c r="T9" s="131"/>
      <c r="U9" s="135" t="str">
        <f>IFERROR(__xludf.DUMMYFUNCTION("""COMPUTED_VALUE"""),"4 - PROG-RECUPERADO")</f>
        <v>4 - PROG-RECUPERADO</v>
      </c>
      <c r="V9" s="135">
        <f>IFERROR(__xludf.DUMMYFUNCTION("""COMPUTED_VALUE"""),4.0)</f>
        <v>4</v>
      </c>
      <c r="W9" s="135"/>
      <c r="X9" s="135"/>
      <c r="Y9" s="135"/>
      <c r="Z9" s="135"/>
      <c r="AA9" s="135"/>
      <c r="AB9" s="135"/>
      <c r="AC9" s="135"/>
      <c r="AD9" s="135"/>
      <c r="AE9" s="135"/>
      <c r="AF9" s="135"/>
    </row>
    <row r="10">
      <c r="A10" s="134" t="s">
        <v>353</v>
      </c>
      <c r="B10" s="134">
        <f t="shared" si="1"/>
        <v>0</v>
      </c>
      <c r="C10" s="131"/>
      <c r="D10" s="131"/>
      <c r="E10" s="131"/>
      <c r="F10" s="131"/>
      <c r="G10" s="131"/>
      <c r="H10" s="136"/>
      <c r="I10" s="131"/>
      <c r="J10" s="136">
        <v>9.0</v>
      </c>
      <c r="K10" s="137" t="s">
        <v>354</v>
      </c>
      <c r="L10" s="131"/>
      <c r="M10" s="136">
        <v>9.0</v>
      </c>
      <c r="N10" s="137" t="s">
        <v>29</v>
      </c>
      <c r="O10" s="131"/>
      <c r="P10" s="137" t="s">
        <v>355</v>
      </c>
      <c r="Q10" s="131"/>
      <c r="R10" s="136"/>
      <c r="S10" s="136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</row>
    <row r="11">
      <c r="A11" s="134" t="s">
        <v>356</v>
      </c>
      <c r="B11" s="134">
        <f t="shared" si="1"/>
        <v>0</v>
      </c>
      <c r="C11" s="131"/>
      <c r="D11" s="131"/>
      <c r="E11" s="131"/>
      <c r="F11" s="131"/>
      <c r="G11" s="131"/>
      <c r="H11" s="136"/>
      <c r="I11" s="131"/>
      <c r="J11" s="136">
        <v>10.0</v>
      </c>
      <c r="K11" s="137" t="s">
        <v>357</v>
      </c>
      <c r="L11" s="131"/>
      <c r="M11" s="136">
        <v>10.0</v>
      </c>
      <c r="N11" s="137" t="s">
        <v>31</v>
      </c>
      <c r="O11" s="131"/>
      <c r="P11" s="137" t="s">
        <v>156</v>
      </c>
      <c r="Q11" s="131"/>
      <c r="R11" s="136"/>
      <c r="S11" s="136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</row>
    <row r="12">
      <c r="A12" s="134" t="s">
        <v>358</v>
      </c>
      <c r="B12" s="134">
        <f t="shared" si="1"/>
        <v>0</v>
      </c>
      <c r="C12" s="131"/>
      <c r="D12" s="131"/>
      <c r="E12" s="131"/>
      <c r="F12" s="131"/>
      <c r="G12" s="131"/>
      <c r="H12" s="136"/>
      <c r="I12" s="131"/>
      <c r="J12" s="136">
        <v>11.0</v>
      </c>
      <c r="K12" s="137" t="s">
        <v>359</v>
      </c>
      <c r="L12" s="131"/>
      <c r="M12" s="136">
        <v>11.0</v>
      </c>
      <c r="N12" s="137" t="s">
        <v>32</v>
      </c>
      <c r="O12" s="131"/>
      <c r="P12" s="137" t="s">
        <v>360</v>
      </c>
      <c r="Q12" s="131"/>
      <c r="R12" s="136"/>
      <c r="S12" s="136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</row>
    <row r="13">
      <c r="A13" s="134" t="s">
        <v>361</v>
      </c>
      <c r="B13" s="134">
        <f t="shared" si="1"/>
        <v>0</v>
      </c>
      <c r="C13" s="131"/>
      <c r="D13" s="131"/>
      <c r="E13" s="131"/>
      <c r="F13" s="131"/>
      <c r="G13" s="131"/>
      <c r="H13" s="136"/>
      <c r="I13" s="131"/>
      <c r="J13" s="136">
        <v>12.0</v>
      </c>
      <c r="K13" s="137" t="s">
        <v>362</v>
      </c>
      <c r="L13" s="131"/>
      <c r="M13" s="136">
        <v>12.0</v>
      </c>
      <c r="N13" s="137" t="s">
        <v>33</v>
      </c>
      <c r="O13" s="131"/>
      <c r="P13" s="137" t="s">
        <v>363</v>
      </c>
      <c r="Q13" s="131"/>
      <c r="R13" s="136"/>
      <c r="S13" s="136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</row>
    <row r="14">
      <c r="A14" s="134" t="s">
        <v>364</v>
      </c>
      <c r="B14" s="134">
        <f t="shared" si="1"/>
        <v>0</v>
      </c>
      <c r="C14" s="131"/>
      <c r="D14" s="131"/>
      <c r="E14" s="131"/>
      <c r="F14" s="131"/>
      <c r="G14" s="131"/>
      <c r="H14" s="136"/>
      <c r="I14" s="131"/>
      <c r="J14" s="131"/>
      <c r="K14" s="131"/>
      <c r="L14" s="131"/>
      <c r="M14" s="136">
        <v>13.0</v>
      </c>
      <c r="N14" s="137" t="s">
        <v>34</v>
      </c>
      <c r="O14" s="131"/>
      <c r="P14" s="137" t="s">
        <v>365</v>
      </c>
      <c r="Q14" s="131"/>
      <c r="R14" s="136"/>
      <c r="S14" s="136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</row>
    <row r="15">
      <c r="A15" s="134" t="s">
        <v>366</v>
      </c>
      <c r="B15" s="134">
        <f t="shared" si="1"/>
        <v>0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6">
        <v>14.0</v>
      </c>
      <c r="N15" s="137" t="s">
        <v>36</v>
      </c>
      <c r="O15" s="131"/>
      <c r="P15" s="137" t="s">
        <v>367</v>
      </c>
      <c r="Q15" s="131"/>
      <c r="R15" s="136"/>
      <c r="S15" s="136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</row>
    <row r="16">
      <c r="A16" s="134" t="s">
        <v>368</v>
      </c>
      <c r="B16" s="134">
        <f t="shared" si="1"/>
        <v>0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6">
        <v>15.0</v>
      </c>
      <c r="N16" s="137" t="s">
        <v>39</v>
      </c>
      <c r="O16" s="131"/>
      <c r="P16" s="137" t="s">
        <v>369</v>
      </c>
      <c r="Q16" s="131"/>
      <c r="R16" s="136"/>
      <c r="S16" s="136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</row>
    <row r="17">
      <c r="A17" s="134" t="s">
        <v>370</v>
      </c>
      <c r="B17" s="134">
        <f t="shared" si="1"/>
        <v>0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6">
        <v>16.0</v>
      </c>
      <c r="N17" s="137" t="s">
        <v>40</v>
      </c>
      <c r="O17" s="131"/>
      <c r="P17" s="137" t="s">
        <v>234</v>
      </c>
      <c r="Q17" s="131"/>
      <c r="R17" s="136"/>
      <c r="S17" s="136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</row>
    <row r="18">
      <c r="A18" s="140" t="s">
        <v>371</v>
      </c>
      <c r="B18" s="140">
        <f t="shared" si="1"/>
        <v>1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6">
        <v>17.0</v>
      </c>
      <c r="N18" s="137" t="s">
        <v>42</v>
      </c>
      <c r="O18" s="131"/>
      <c r="P18" s="137" t="s">
        <v>372</v>
      </c>
      <c r="Q18" s="131"/>
      <c r="R18" s="136"/>
      <c r="S18" s="136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</row>
    <row r="19">
      <c r="A19" s="141" t="s">
        <v>373</v>
      </c>
      <c r="B19" s="141">
        <f t="shared" si="1"/>
        <v>2</v>
      </c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6">
        <v>18.0</v>
      </c>
      <c r="N19" s="137" t="s">
        <v>43</v>
      </c>
      <c r="O19" s="131"/>
      <c r="P19" s="137" t="s">
        <v>374</v>
      </c>
      <c r="Q19" s="131"/>
      <c r="R19" s="136"/>
      <c r="S19" s="136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</row>
    <row r="20">
      <c r="A20" s="141" t="s">
        <v>375</v>
      </c>
      <c r="B20" s="141">
        <f t="shared" si="1"/>
        <v>2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6">
        <v>19.0</v>
      </c>
      <c r="N20" s="137" t="s">
        <v>44</v>
      </c>
      <c r="O20" s="131"/>
      <c r="P20" s="137" t="s">
        <v>376</v>
      </c>
      <c r="Q20" s="131"/>
      <c r="R20" s="136"/>
      <c r="S20" s="136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</row>
    <row r="21">
      <c r="A21" s="141" t="s">
        <v>377</v>
      </c>
      <c r="B21" s="141">
        <f t="shared" si="1"/>
        <v>2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6">
        <v>20.0</v>
      </c>
      <c r="N21" s="137" t="s">
        <v>45</v>
      </c>
      <c r="O21" s="131"/>
      <c r="P21" s="137" t="s">
        <v>378</v>
      </c>
      <c r="Q21" s="131"/>
      <c r="R21" s="136"/>
      <c r="S21" s="136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</row>
    <row r="22">
      <c r="A22" s="141" t="s">
        <v>379</v>
      </c>
      <c r="B22" s="141">
        <f t="shared" si="1"/>
        <v>2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6">
        <v>21.0</v>
      </c>
      <c r="N22" s="137" t="s">
        <v>46</v>
      </c>
      <c r="O22" s="131"/>
      <c r="P22" s="137" t="s">
        <v>380</v>
      </c>
      <c r="Q22" s="131"/>
      <c r="R22" s="136"/>
      <c r="S22" s="136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</row>
    <row r="23">
      <c r="A23" s="141" t="s">
        <v>381</v>
      </c>
      <c r="B23" s="141">
        <f t="shared" si="1"/>
        <v>2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6">
        <v>22.0</v>
      </c>
      <c r="N23" s="137" t="s">
        <v>48</v>
      </c>
      <c r="O23" s="131"/>
      <c r="P23" s="137" t="s">
        <v>382</v>
      </c>
      <c r="Q23" s="131"/>
      <c r="R23" s="136"/>
      <c r="S23" s="136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</row>
    <row r="24">
      <c r="A24" s="141" t="s">
        <v>383</v>
      </c>
      <c r="B24" s="141">
        <f t="shared" si="1"/>
        <v>2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6">
        <v>23.0</v>
      </c>
      <c r="N24" s="137" t="s">
        <v>49</v>
      </c>
      <c r="O24" s="131"/>
      <c r="P24" s="137" t="s">
        <v>384</v>
      </c>
      <c r="Q24" s="131"/>
      <c r="R24" s="136"/>
      <c r="S24" s="136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</row>
    <row r="25">
      <c r="A25" s="141" t="s">
        <v>385</v>
      </c>
      <c r="B25" s="141">
        <f t="shared" si="1"/>
        <v>2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6">
        <v>24.0</v>
      </c>
      <c r="N25" s="137" t="s">
        <v>50</v>
      </c>
      <c r="O25" s="131"/>
      <c r="P25" s="137" t="s">
        <v>386</v>
      </c>
      <c r="Q25" s="131"/>
      <c r="R25" s="136"/>
      <c r="S25" s="136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</row>
    <row r="26">
      <c r="A26" s="141" t="s">
        <v>387</v>
      </c>
      <c r="B26" s="141">
        <f t="shared" si="1"/>
        <v>2</v>
      </c>
      <c r="D26" s="131"/>
      <c r="E26" s="131"/>
      <c r="F26" s="131"/>
      <c r="G26" s="131"/>
      <c r="H26" s="131"/>
      <c r="I26" s="131"/>
      <c r="J26" s="131"/>
      <c r="K26" s="131"/>
      <c r="L26" s="131"/>
      <c r="M26" s="136">
        <v>25.0</v>
      </c>
      <c r="N26" s="137" t="s">
        <v>51</v>
      </c>
      <c r="O26" s="131"/>
      <c r="P26" s="131" t="s">
        <v>388</v>
      </c>
      <c r="Q26" s="131"/>
      <c r="R26" s="136"/>
      <c r="S26" s="136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</row>
    <row r="27">
      <c r="A27" s="141" t="s">
        <v>389</v>
      </c>
      <c r="B27" s="141">
        <f t="shared" si="1"/>
        <v>2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6">
        <v>26.0</v>
      </c>
      <c r="N27" s="137" t="s">
        <v>52</v>
      </c>
      <c r="O27" s="131"/>
      <c r="P27" s="131" t="s">
        <v>390</v>
      </c>
      <c r="Q27" s="131"/>
      <c r="R27" s="136"/>
      <c r="S27" s="136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</row>
    <row r="28">
      <c r="A28" s="141" t="s">
        <v>391</v>
      </c>
      <c r="B28" s="141">
        <f t="shared" si="1"/>
        <v>2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O28" s="131"/>
      <c r="P28" s="131" t="s">
        <v>392</v>
      </c>
      <c r="Q28" s="131"/>
      <c r="R28" s="136"/>
      <c r="S28" s="136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</row>
    <row r="29">
      <c r="A29" s="141" t="s">
        <v>393</v>
      </c>
      <c r="B29" s="141">
        <f t="shared" si="1"/>
        <v>2</v>
      </c>
      <c r="C29" s="142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 t="s">
        <v>394</v>
      </c>
      <c r="Q29" s="131"/>
      <c r="R29" s="136"/>
      <c r="S29" s="136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</row>
    <row r="30">
      <c r="A30" s="141" t="s">
        <v>395</v>
      </c>
      <c r="B30" s="141">
        <f t="shared" si="1"/>
        <v>2</v>
      </c>
      <c r="C30" s="142" t="s">
        <v>396</v>
      </c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 t="s">
        <v>397</v>
      </c>
      <c r="Q30" s="131"/>
      <c r="R30" s="136"/>
      <c r="S30" s="136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</row>
    <row r="31">
      <c r="A31" s="141" t="s">
        <v>398</v>
      </c>
      <c r="B31" s="141">
        <f t="shared" si="1"/>
        <v>2</v>
      </c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 t="s">
        <v>399</v>
      </c>
      <c r="Q31" s="131"/>
      <c r="R31" s="136"/>
      <c r="S31" s="136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</row>
    <row r="32">
      <c r="A32" s="141" t="s">
        <v>400</v>
      </c>
      <c r="B32" s="141">
        <f t="shared" si="1"/>
        <v>2</v>
      </c>
      <c r="C32" s="142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 t="s">
        <v>401</v>
      </c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</row>
    <row r="33">
      <c r="A33" s="141" t="s">
        <v>402</v>
      </c>
      <c r="B33" s="141">
        <f t="shared" si="1"/>
        <v>2</v>
      </c>
      <c r="C33" s="142" t="s">
        <v>396</v>
      </c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 t="s">
        <v>403</v>
      </c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</row>
    <row r="34">
      <c r="A34" s="141" t="s">
        <v>404</v>
      </c>
      <c r="B34" s="141">
        <f t="shared" si="1"/>
        <v>2</v>
      </c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 t="s">
        <v>405</v>
      </c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</row>
    <row r="35">
      <c r="A35" s="141" t="s">
        <v>406</v>
      </c>
      <c r="B35" s="141">
        <f t="shared" si="1"/>
        <v>2</v>
      </c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 t="s">
        <v>407</v>
      </c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</row>
    <row r="36">
      <c r="A36" s="141" t="s">
        <v>408</v>
      </c>
      <c r="B36" s="141">
        <f t="shared" si="1"/>
        <v>2</v>
      </c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</row>
    <row r="37">
      <c r="A37" s="143" t="s">
        <v>409</v>
      </c>
      <c r="B37" s="143">
        <f t="shared" si="1"/>
        <v>3</v>
      </c>
      <c r="C37" s="142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</row>
    <row r="38">
      <c r="A38" s="143" t="s">
        <v>410</v>
      </c>
      <c r="B38" s="143">
        <f t="shared" si="1"/>
        <v>3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</row>
    <row r="39">
      <c r="A39" s="143" t="s">
        <v>411</v>
      </c>
      <c r="B39" s="143">
        <f t="shared" si="1"/>
        <v>3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</row>
    <row r="40">
      <c r="A40" s="143" t="s">
        <v>412</v>
      </c>
      <c r="B40" s="143">
        <f t="shared" si="1"/>
        <v>3</v>
      </c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</row>
    <row r="41">
      <c r="A41" s="143" t="s">
        <v>413</v>
      </c>
      <c r="B41" s="143">
        <f t="shared" si="1"/>
        <v>3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</row>
    <row r="42">
      <c r="A42" s="143" t="s">
        <v>414</v>
      </c>
      <c r="B42" s="143">
        <f t="shared" si="1"/>
        <v>3</v>
      </c>
      <c r="C42" s="142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</row>
    <row r="43">
      <c r="A43" s="143" t="s">
        <v>417</v>
      </c>
      <c r="B43" s="143">
        <f t="shared" si="1"/>
        <v>3</v>
      </c>
      <c r="C43" s="142" t="s">
        <v>396</v>
      </c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</row>
    <row r="44">
      <c r="A44" s="144" t="s">
        <v>419</v>
      </c>
      <c r="B44" s="144">
        <f t="shared" si="1"/>
        <v>4</v>
      </c>
      <c r="C44" s="142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>
      <c r="A45" s="144" t="s">
        <v>423</v>
      </c>
      <c r="B45" s="144">
        <f t="shared" si="1"/>
        <v>4</v>
      </c>
      <c r="C45" s="142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</row>
    <row r="46">
      <c r="A46" s="144" t="s">
        <v>424</v>
      </c>
      <c r="B46" s="144">
        <f t="shared" si="1"/>
        <v>4</v>
      </c>
      <c r="C46" s="142" t="s">
        <v>396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</row>
    <row r="47">
      <c r="A47" s="144" t="s">
        <v>426</v>
      </c>
      <c r="B47" s="144">
        <f t="shared" si="1"/>
        <v>4</v>
      </c>
      <c r="C47" s="142" t="s">
        <v>396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</row>
    <row r="48">
      <c r="A48" s="144" t="s">
        <v>427</v>
      </c>
      <c r="B48" s="144">
        <f t="shared" si="1"/>
        <v>4</v>
      </c>
      <c r="C48" s="142" t="s">
        <v>396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</row>
    <row r="49">
      <c r="A49" s="144" t="s">
        <v>428</v>
      </c>
      <c r="B49" s="144">
        <f t="shared" si="1"/>
        <v>4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</row>
    <row r="50">
      <c r="A50" s="144" t="s">
        <v>429</v>
      </c>
      <c r="B50" s="144">
        <f t="shared" si="1"/>
        <v>4</v>
      </c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</row>
    <row r="51">
      <c r="A51" s="144" t="s">
        <v>430</v>
      </c>
      <c r="B51" s="144">
        <f t="shared" si="1"/>
        <v>4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</row>
    <row r="52">
      <c r="A52" s="145" t="s">
        <v>105</v>
      </c>
      <c r="B52" s="145">
        <f t="shared" si="1"/>
        <v>5</v>
      </c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</row>
    <row r="53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</row>
    <row r="54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</row>
    <row r="5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</row>
    <row r="56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</row>
    <row r="57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2" max="2" width="4.88"/>
    <col customWidth="1" min="3" max="3" width="11.25"/>
    <col customWidth="1" min="4" max="4" width="42.88"/>
    <col customWidth="1" min="5" max="5" width="9.5"/>
    <col customWidth="1" min="6" max="6" width="41.63"/>
    <col customWidth="1" min="7" max="8" width="9.75"/>
    <col customWidth="1" min="9" max="9" width="10.25"/>
    <col customWidth="1" min="10" max="10" width="11.88"/>
    <col customWidth="1" min="11" max="11" width="11.25"/>
    <col customWidth="1" min="12" max="12" width="42.0"/>
    <col customWidth="1" min="13" max="13" width="19.5"/>
    <col customWidth="1" min="14" max="14" width="20.0"/>
    <col customWidth="1" min="15" max="15" width="20.5"/>
    <col customWidth="1" min="16" max="16" width="8.13"/>
    <col customWidth="1" min="17" max="17" width="9.38"/>
  </cols>
  <sheetData>
    <row r="1">
      <c r="A1" s="146" t="str">
        <f>SI.ERROR(INDICE(IMPORTRANGE("1SWL2tETH7valhJjEVxNBvr8pnKmuzxSOp58BsS3mXCY","PREVENTAS!A2:AY"),COINCIDIR(ESPACIOS(R2C3),IMPORTRANGE("1SWL2tETH7valhJjEVxNBvr8pnKmuzxSOp58BsS3mXCY","PREVENTAS!O2:O"),0),22),"")</f>
        <v>#ERROR!</v>
      </c>
      <c r="C1" s="147"/>
    </row>
    <row r="2">
      <c r="C2" s="148" t="s">
        <v>225</v>
      </c>
      <c r="D2" s="149" t="s">
        <v>227</v>
      </c>
      <c r="E2" s="150">
        <v>46192.0</v>
      </c>
      <c r="F2" s="149" t="s">
        <v>439</v>
      </c>
      <c r="G2" s="149" t="s">
        <v>440</v>
      </c>
      <c r="H2" s="151">
        <f t="array" ref="H2">IF(C2&lt;&gt;"", INDEX(PREVENTAS!$A$2:$CB990,MATCH(C2,PREVENTAS!$L$2:$L990,0),72),"")</f>
        <v>46192</v>
      </c>
      <c r="K2" s="146" t="str">
        <f>IFERROR(__xludf.DUMMYFUNCTION("QUERY(PREVENTAS!$A$2:$CB990, ""SELECT Col12,Col13,Col55,Col64,Col65,Col66,Col72 WHERE Col77=5"")"),"43729341")</f>
        <v>43729341</v>
      </c>
      <c r="L2" s="146" t="str">
        <f>IFERROR(__xludf.DUMMYFUNCTION("""COMPUTED_VALUE"""),"HUGO HERRERA NUÑEZ")</f>
        <v>HUGO HERRERA NUÑEZ</v>
      </c>
      <c r="M2" s="146" t="str">
        <f>IFERROR(__xludf.DUMMYFUNCTION("""COMPUTED_VALUE"""),"LIMA METROPOLITANA")</f>
        <v>LIMA METROPOLITANA</v>
      </c>
      <c r="N2" s="146" t="str">
        <f>IFERROR(__xludf.DUMMYFUNCTION("""COMPUTED_VALUE"""),"2 PLAY + TV ESTANDAR")</f>
        <v>2 PLAY + TV ESTANDAR</v>
      </c>
      <c r="O2" s="146" t="str">
        <f>IFERROR(__xludf.DUMMYFUNCTION("""COMPUTED_VALUE"""),"Campaña Regular")</f>
        <v>Campaña Regular</v>
      </c>
      <c r="P2" s="152">
        <f>IFERROR(__xludf.DUMMYFUNCTION("""COMPUTED_VALUE"""),170.0)</f>
        <v>170</v>
      </c>
      <c r="Q2" s="151">
        <f>IFERROR(__xludf.DUMMYFUNCTION("""COMPUTED_VALUE"""),46185.0)</f>
        <v>46185</v>
      </c>
      <c r="R2" s="146" t="str">
        <f t="shared" ref="R2:R115" si="1">INDEX($C$2:$H990,MATCH($K2,$C$2:$C990,0),3)</f>
        <v>#N/A</v>
      </c>
    </row>
    <row r="3">
      <c r="C3" s="148" t="s">
        <v>263</v>
      </c>
      <c r="D3" s="149" t="s">
        <v>265</v>
      </c>
      <c r="E3" s="150">
        <v>46194.0</v>
      </c>
      <c r="F3" s="149" t="s">
        <v>441</v>
      </c>
      <c r="G3" s="149" t="s">
        <v>442</v>
      </c>
      <c r="H3" s="151">
        <f t="array" ref="H3">IF(C3&lt;&gt;"", INDEX(PREVENTAS!$A$2:$CB990,MATCH(C3,PREVENTAS!$L$2:$L990,0),72),"")</f>
        <v>46194</v>
      </c>
      <c r="K3" s="146" t="str">
        <f>IFERROR(__xludf.DUMMYFUNCTION("""COMPUTED_VALUE"""),"43252312")</f>
        <v>43252312</v>
      </c>
      <c r="L3" s="146" t="str">
        <f>IFERROR(__xludf.DUMMYFUNCTION("""COMPUTED_VALUE"""),"SUSAN IVONNE HEREDIA CORDOVA")</f>
        <v>SUSAN IVONNE HEREDIA CORDOVA</v>
      </c>
      <c r="M3" s="146" t="str">
        <f>IFERROR(__xludf.DUMMYFUNCTION("""COMPUTED_VALUE"""),"LIMA METROPOLITANA")</f>
        <v>LIMA METROPOLITANA</v>
      </c>
      <c r="N3" s="146" t="str">
        <f>IFERROR(__xludf.DUMMYFUNCTION("""COMPUTED_VALUE"""),"1 PLAY")</f>
        <v>1 PLAY</v>
      </c>
      <c r="O3" s="146" t="str">
        <f>IFERROR(__xludf.DUMMYFUNCTION("""COMPUTED_VALUE"""),"Campaña Regular")</f>
        <v>Campaña Regular</v>
      </c>
      <c r="P3" s="152">
        <f>IFERROR(__xludf.DUMMYFUNCTION("""COMPUTED_VALUE"""),110.0)</f>
        <v>110</v>
      </c>
      <c r="Q3" s="151">
        <f>IFERROR(__xludf.DUMMYFUNCTION("""COMPUTED_VALUE"""),46186.0)</f>
        <v>46186</v>
      </c>
      <c r="R3" s="146" t="str">
        <f t="shared" si="1"/>
        <v>#N/A</v>
      </c>
    </row>
    <row r="4">
      <c r="C4" s="148" t="s">
        <v>296</v>
      </c>
      <c r="D4" s="149" t="s">
        <v>297</v>
      </c>
      <c r="E4" s="150">
        <v>46194.0</v>
      </c>
      <c r="F4" s="149" t="s">
        <v>441</v>
      </c>
      <c r="G4" s="149" t="s">
        <v>442</v>
      </c>
      <c r="H4" s="151">
        <f t="array" ref="H4">IF(C4&lt;&gt;"", INDEX(PREVENTAS!$A$2:$CB990,MATCH(C4,PREVENTAS!$L$2:$L990,0),72),"")</f>
        <v>46194</v>
      </c>
      <c r="K4" s="146" t="str">
        <f>IFERROR(__xludf.DUMMYFUNCTION("""COMPUTED_VALUE"""),"70350550")</f>
        <v>70350550</v>
      </c>
      <c r="L4" s="146" t="str">
        <f>IFERROR(__xludf.DUMMYFUNCTION("""COMPUTED_VALUE"""),"CLAUDIA ISABEL GIL VIDAL")</f>
        <v>CLAUDIA ISABEL GIL VIDAL</v>
      </c>
      <c r="M4" s="146" t="str">
        <f>IFERROR(__xludf.DUMMYFUNCTION("""COMPUTED_VALUE"""),"LIMA METROPOLITANA")</f>
        <v>LIMA METROPOLITANA</v>
      </c>
      <c r="N4" s="146" t="str">
        <f>IFERROR(__xludf.DUMMYFUNCTION("""COMPUTED_VALUE"""),"1 PLAY + L1MAX")</f>
        <v>1 PLAY + L1MAX</v>
      </c>
      <c r="O4" s="146" t="str">
        <f>IFERROR(__xludf.DUMMYFUNCTION("""COMPUTED_VALUE"""),"Campaña Regular PRO")</f>
        <v>Campaña Regular PRO</v>
      </c>
      <c r="P4" s="152">
        <f>IFERROR(__xludf.DUMMYFUNCTION("""COMPUTED_VALUE"""),110.0)</f>
        <v>110</v>
      </c>
      <c r="Q4" s="151">
        <f>IFERROR(__xludf.DUMMYFUNCTION("""COMPUTED_VALUE"""),46191.0)</f>
        <v>46191</v>
      </c>
      <c r="R4" s="146" t="str">
        <f t="shared" si="1"/>
        <v>#N/A</v>
      </c>
    </row>
    <row r="5">
      <c r="C5" s="148" t="s">
        <v>111</v>
      </c>
      <c r="D5" s="149" t="s">
        <v>113</v>
      </c>
      <c r="E5" s="150">
        <v>46195.0</v>
      </c>
      <c r="F5" s="149" t="s">
        <v>452</v>
      </c>
      <c r="G5" s="149" t="s">
        <v>454</v>
      </c>
      <c r="H5" s="151">
        <f t="array" ref="H5">IF(C5&lt;&gt;"", INDEX(PREVENTAS!$A$2:$CB990,MATCH(C5,PREVENTAS!$L$2:$L990,0),72),"")</f>
        <v>46195</v>
      </c>
      <c r="K5" s="146" t="str">
        <f>IFERROR(__xludf.DUMMYFUNCTION("""COMPUTED_VALUE"""),"40537157")</f>
        <v>40537157</v>
      </c>
      <c r="L5" s="146" t="str">
        <f>IFERROR(__xludf.DUMMYFUNCTION("""COMPUTED_VALUE"""),"JOHANA MEDALITH MELENDEZ CHINGA")</f>
        <v>JOHANA MEDALITH MELENDEZ CHINGA</v>
      </c>
      <c r="M5" s="146" t="str">
        <f>IFERROR(__xludf.DUMMYFUNCTION("""COMPUTED_VALUE"""),"LIMA")</f>
        <v>LIMA</v>
      </c>
      <c r="N5" s="146" t="str">
        <f>IFERROR(__xludf.DUMMYFUNCTION("""COMPUTED_VALUE"""),"1 PLAY")</f>
        <v>1 PLAY</v>
      </c>
      <c r="O5" s="146" t="str">
        <f>IFERROR(__xludf.DUMMYFUNCTION("""COMPUTED_VALUE"""),"Campaña Regular")</f>
        <v>Campaña Regular</v>
      </c>
      <c r="P5" s="152">
        <f>IFERROR(__xludf.DUMMYFUNCTION("""COMPUTED_VALUE"""),110.0)</f>
        <v>110</v>
      </c>
      <c r="Q5" s="151">
        <f>IFERROR(__xludf.DUMMYFUNCTION("""COMPUTED_VALUE"""),46192.0)</f>
        <v>46192</v>
      </c>
      <c r="R5" s="153">
        <f t="shared" si="1"/>
        <v>46192</v>
      </c>
    </row>
    <row r="6">
      <c r="C6" s="148" t="s">
        <v>421</v>
      </c>
      <c r="D6" s="149" t="s">
        <v>422</v>
      </c>
      <c r="E6" s="150">
        <v>46196.0</v>
      </c>
      <c r="F6" s="149" t="s">
        <v>460</v>
      </c>
      <c r="G6" s="149" t="s">
        <v>454</v>
      </c>
      <c r="H6" s="151">
        <f t="array" ref="H6">IF(C6&lt;&gt;"", INDEX(PREVENTAS!$A$2:$CB990,MATCH(C6,PREVENTAS!$L$2:$L990,0),72),"")</f>
        <v>46196</v>
      </c>
      <c r="K6" s="146" t="str">
        <f>IFERROR(__xludf.DUMMYFUNCTION("""COMPUTED_VALUE"""),"43379508")</f>
        <v>43379508</v>
      </c>
      <c r="L6" s="146" t="str">
        <f>IFERROR(__xludf.DUMMYFUNCTION("""COMPUTED_VALUE"""),"JULIO RAMON CHUNG GONZALES")</f>
        <v>JULIO RAMON CHUNG GONZALES</v>
      </c>
      <c r="M6" s="146" t="str">
        <f>IFERROR(__xludf.DUMMYFUNCTION("""COMPUTED_VALUE"""),"LIMA METROPOLITANA")</f>
        <v>LIMA METROPOLITANA</v>
      </c>
      <c r="N6" s="146" t="str">
        <f>IFERROR(__xludf.DUMMYFUNCTION("""COMPUTED_VALUE"""),"2PLAY + TELF")</f>
        <v>2PLAY + TELF</v>
      </c>
      <c r="O6" s="146" t="str">
        <f>IFERROR(__xludf.DUMMYFUNCTION("""COMPUTED_VALUE"""),"Campaña Regular")</f>
        <v>Campaña Regular</v>
      </c>
      <c r="P6" s="152">
        <f>IFERROR(__xludf.DUMMYFUNCTION("""COMPUTED_VALUE"""),94.0)</f>
        <v>94</v>
      </c>
      <c r="Q6" s="151">
        <f>IFERROR(__xludf.DUMMYFUNCTION("""COMPUTED_VALUE"""),46194.0)</f>
        <v>46194</v>
      </c>
      <c r="R6" s="153">
        <f t="shared" si="1"/>
        <v>46194</v>
      </c>
    </row>
    <row r="7">
      <c r="C7" s="148" t="s">
        <v>447</v>
      </c>
      <c r="D7" s="149" t="s">
        <v>448</v>
      </c>
      <c r="E7" s="150">
        <v>46196.0</v>
      </c>
      <c r="F7" s="149" t="s">
        <v>464</v>
      </c>
      <c r="G7" s="149" t="s">
        <v>440</v>
      </c>
      <c r="H7" s="151">
        <f t="array" ref="H7">IF(C7&lt;&gt;"", INDEX(PREVENTAS!$A$2:$CB990,MATCH(C7,PREVENTAS!$L$2:$L990,0),72),"")</f>
        <v>46196</v>
      </c>
      <c r="K7" s="146" t="str">
        <f>IFERROR(__xludf.DUMMYFUNCTION("""COMPUTED_VALUE"""),"75081907")</f>
        <v>75081907</v>
      </c>
      <c r="L7" s="146" t="str">
        <f>IFERROR(__xludf.DUMMYFUNCTION("""COMPUTED_VALUE"""),"MANUEL ALDAYR MONTUFAR LAIME")</f>
        <v>MANUEL ALDAYR MONTUFAR LAIME</v>
      </c>
      <c r="M7" s="146" t="str">
        <f>IFERROR(__xludf.DUMMYFUNCTION("""COMPUTED_VALUE"""),"CUSCO")</f>
        <v>CUSCO</v>
      </c>
      <c r="N7" s="146" t="str">
        <f>IFERROR(__xludf.DUMMYFUNCTION("""COMPUTED_VALUE"""),"2PLAY + TELF")</f>
        <v>2PLAY + TELF</v>
      </c>
      <c r="O7" s="146" t="str">
        <f>IFERROR(__xludf.DUMMYFUNCTION("""COMPUTED_VALUE"""),"Campaña Relámpago")</f>
        <v>Campaña Relámpago</v>
      </c>
      <c r="P7" s="152">
        <f>IFERROR(__xludf.DUMMYFUNCTION("""COMPUTED_VALUE"""),94.0)</f>
        <v>94</v>
      </c>
      <c r="Q7" s="151">
        <f>IFERROR(__xludf.DUMMYFUNCTION("""COMPUTED_VALUE"""),46194.0)</f>
        <v>46194</v>
      </c>
      <c r="R7" s="153">
        <f t="shared" si="1"/>
        <v>46194</v>
      </c>
    </row>
    <row r="8">
      <c r="C8" s="148" t="s">
        <v>290</v>
      </c>
      <c r="D8" s="149" t="s">
        <v>291</v>
      </c>
      <c r="E8" s="150">
        <v>46197.0</v>
      </c>
      <c r="F8" s="149" t="s">
        <v>470</v>
      </c>
      <c r="G8" s="149" t="s">
        <v>471</v>
      </c>
      <c r="H8" s="151">
        <f t="array" ref="H8">IF(C8&lt;&gt;"", INDEX(PREVENTAS!$A$2:$CB990,MATCH(C8,PREVENTAS!$L$2:$L990,0),72),"")</f>
        <v>46197</v>
      </c>
      <c r="K8" s="146" t="str">
        <f>IFERROR(__xludf.DUMMYFUNCTION("""COMPUTED_VALUE"""),"72187246")</f>
        <v>72187246</v>
      </c>
      <c r="L8" s="146" t="str">
        <f>IFERROR(__xludf.DUMMYFUNCTION("""COMPUTED_VALUE"""),"MARIA DEL CARMEN SALAZAR JUUYPA")</f>
        <v>MARIA DEL CARMEN SALAZAR JUUYPA</v>
      </c>
      <c r="M8" s="146" t="str">
        <f>IFERROR(__xludf.DUMMYFUNCTION("""COMPUTED_VALUE"""),"AREQUIPA")</f>
        <v>AREQUIPA</v>
      </c>
      <c r="N8" s="146" t="str">
        <f>IFERROR(__xludf.DUMMYFUNCTION("""COMPUTED_VALUE"""),"1 PLAY")</f>
        <v>1 PLAY</v>
      </c>
      <c r="O8" s="146" t="str">
        <f>IFERROR(__xludf.DUMMYFUNCTION("""COMPUTED_VALUE"""),"Campaña Regular")</f>
        <v>Campaña Regular</v>
      </c>
      <c r="P8" s="152">
        <f>IFERROR(__xludf.DUMMYFUNCTION("""COMPUTED_VALUE"""),89.0)</f>
        <v>89</v>
      </c>
      <c r="Q8" s="151">
        <f>IFERROR(__xludf.DUMMYFUNCTION("""COMPUTED_VALUE"""),46195.0)</f>
        <v>46195</v>
      </c>
      <c r="R8" s="153">
        <f t="shared" si="1"/>
        <v>46195</v>
      </c>
    </row>
    <row r="9">
      <c r="C9" s="148" t="s">
        <v>475</v>
      </c>
      <c r="D9" s="149" t="s">
        <v>476</v>
      </c>
      <c r="E9" s="150">
        <v>46197.0</v>
      </c>
      <c r="F9" s="149" t="s">
        <v>452</v>
      </c>
      <c r="G9" s="149" t="s">
        <v>454</v>
      </c>
      <c r="H9" s="151">
        <f t="array" ref="H9">IF(C9&lt;&gt;"", INDEX(PREVENTAS!$A$2:$CB990,MATCH(C9,PREVENTAS!$L$2:$L990,0),72),"")</f>
        <v>46197</v>
      </c>
      <c r="K9" s="146" t="str">
        <f>IFERROR(__xludf.DUMMYFUNCTION("""COMPUTED_VALUE"""),"74602108")</f>
        <v>74602108</v>
      </c>
      <c r="L9" s="146" t="str">
        <f>IFERROR(__xludf.DUMMYFUNCTION("""COMPUTED_VALUE"""),"BRYAN ALFREDO MOREANO OBANDO")</f>
        <v>BRYAN ALFREDO MOREANO OBANDO</v>
      </c>
      <c r="M9" s="146" t="str">
        <f>IFERROR(__xludf.DUMMYFUNCTION("""COMPUTED_VALUE"""),"LIMA METROPOLITANA")</f>
        <v>LIMA METROPOLITANA</v>
      </c>
      <c r="N9" s="146" t="str">
        <f>IFERROR(__xludf.DUMMYFUNCTION("""COMPUTED_VALUE"""),"1 PLAY")</f>
        <v>1 PLAY</v>
      </c>
      <c r="O9" s="146" t="str">
        <f>IFERROR(__xludf.DUMMYFUNCTION("""COMPUTED_VALUE"""),"Campaña Promo Mediana")</f>
        <v>Campaña Promo Mediana</v>
      </c>
      <c r="P9" s="152">
        <f>IFERROR(__xludf.DUMMYFUNCTION("""COMPUTED_VALUE"""),89.0)</f>
        <v>89</v>
      </c>
      <c r="Q9" s="151">
        <f>IFERROR(__xludf.DUMMYFUNCTION("""COMPUTED_VALUE"""),46196.0)</f>
        <v>46196</v>
      </c>
      <c r="R9" s="153">
        <f t="shared" si="1"/>
        <v>46196</v>
      </c>
    </row>
    <row r="10">
      <c r="C10" s="148" t="s">
        <v>481</v>
      </c>
      <c r="D10" s="149" t="s">
        <v>482</v>
      </c>
      <c r="E10" s="150">
        <v>46198.0</v>
      </c>
      <c r="F10" s="149" t="s">
        <v>464</v>
      </c>
      <c r="G10" s="149" t="s">
        <v>440</v>
      </c>
      <c r="H10" s="151">
        <f t="array" ref="H10">IF(C10&lt;&gt;"", INDEX(PREVENTAS!$A$2:$CB990,MATCH(C10,PREVENTAS!$L$2:$L990,0),72),"")</f>
        <v>46198</v>
      </c>
      <c r="K10" s="146" t="str">
        <f>IFERROR(__xludf.DUMMYFUNCTION("""COMPUTED_VALUE"""),"42520693")</f>
        <v>42520693</v>
      </c>
      <c r="L10" s="146" t="str">
        <f>IFERROR(__xludf.DUMMYFUNCTION("""COMPUTED_VALUE"""),"MARCO ANTONIO JAMANCA ESPINOZA")</f>
        <v>MARCO ANTONIO JAMANCA ESPINOZA</v>
      </c>
      <c r="M10" s="146" t="str">
        <f>IFERROR(__xludf.DUMMYFUNCTION("""COMPUTED_VALUE"""),"ANCASH")</f>
        <v>ANCASH</v>
      </c>
      <c r="N10" s="146" t="str">
        <f>IFERROR(__xludf.DUMMYFUNCTION("""COMPUTED_VALUE"""),"1 PLAY")</f>
        <v>1 PLAY</v>
      </c>
      <c r="O10" s="146" t="str">
        <f>IFERROR(__xludf.DUMMYFUNCTION("""COMPUTED_VALUE"""),"Campaña Regular PRO")</f>
        <v>Campaña Regular PRO</v>
      </c>
      <c r="P10" s="152">
        <f>IFERROR(__xludf.DUMMYFUNCTION("""COMPUTED_VALUE"""),110.0)</f>
        <v>110</v>
      </c>
      <c r="Q10" s="151">
        <f>IFERROR(__xludf.DUMMYFUNCTION("""COMPUTED_VALUE"""),46196.0)</f>
        <v>46196</v>
      </c>
      <c r="R10" s="153">
        <f t="shared" si="1"/>
        <v>46196</v>
      </c>
    </row>
    <row r="11">
      <c r="C11" s="148" t="s">
        <v>483</v>
      </c>
      <c r="D11" s="149" t="s">
        <v>484</v>
      </c>
      <c r="E11" s="150">
        <v>46198.0</v>
      </c>
      <c r="F11" s="149" t="s">
        <v>485</v>
      </c>
      <c r="G11" s="149" t="s">
        <v>486</v>
      </c>
      <c r="H11" s="151">
        <f t="array" ref="H11">IF(C11&lt;&gt;"", INDEX(PREVENTAS!$A$2:$CB990,MATCH(C11,PREVENTAS!$L$2:$L990,0),72),"")</f>
        <v>46198</v>
      </c>
      <c r="K11" s="146" t="str">
        <f>IFERROR(__xludf.DUMMYFUNCTION("""COMPUTED_VALUE"""),"47430926")</f>
        <v>47430926</v>
      </c>
      <c r="L11" s="146" t="str">
        <f>IFERROR(__xludf.DUMMYFUNCTION("""COMPUTED_VALUE"""),"ELIZABETH CRISTINA BARRIENTOS OROSCO")</f>
        <v>ELIZABETH CRISTINA BARRIENTOS OROSCO</v>
      </c>
      <c r="M11" s="146" t="str">
        <f>IFERROR(__xludf.DUMMYFUNCTION("""COMPUTED_VALUE"""),"LIMA METROPOLITANA")</f>
        <v>LIMA METROPOLITANA</v>
      </c>
      <c r="N11" s="146" t="str">
        <f>IFERROR(__xludf.DUMMYFUNCTION("""COMPUTED_VALUE"""),"1 PLAY")</f>
        <v>1 PLAY</v>
      </c>
      <c r="O11" s="146" t="str">
        <f>IFERROR(__xludf.DUMMYFUNCTION("""COMPUTED_VALUE"""),"Campaña Regular")</f>
        <v>Campaña Regular</v>
      </c>
      <c r="P11" s="152">
        <f>IFERROR(__xludf.DUMMYFUNCTION("""COMPUTED_VALUE"""),100.0)</f>
        <v>100</v>
      </c>
      <c r="Q11" s="151">
        <f>IFERROR(__xludf.DUMMYFUNCTION("""COMPUTED_VALUE"""),46197.0)</f>
        <v>46197</v>
      </c>
      <c r="R11" s="153">
        <f t="shared" si="1"/>
        <v>46197</v>
      </c>
    </row>
    <row r="12">
      <c r="C12" s="148" t="s">
        <v>222</v>
      </c>
      <c r="D12" s="149" t="s">
        <v>224</v>
      </c>
      <c r="E12" s="150">
        <v>46198.0</v>
      </c>
      <c r="F12" s="149" t="s">
        <v>460</v>
      </c>
      <c r="G12" s="149" t="s">
        <v>454</v>
      </c>
      <c r="H12" s="151">
        <f t="array" ref="H12">IF(C12&lt;&gt;"", INDEX(PREVENTAS!$A$2:$CB990,MATCH(C12,PREVENTAS!$L$2:$L990,0),72),"")</f>
        <v>46198</v>
      </c>
      <c r="K12" s="146" t="str">
        <f>IFERROR(__xludf.DUMMYFUNCTION("""COMPUTED_VALUE"""),"72000616")</f>
        <v>72000616</v>
      </c>
      <c r="L12" s="146" t="str">
        <f>IFERROR(__xludf.DUMMYFUNCTION("""COMPUTED_VALUE"""),"KARELIA BEATRIZ GAVILAN PURILLA")</f>
        <v>KARELIA BEATRIZ GAVILAN PURILLA</v>
      </c>
      <c r="M12" s="146" t="str">
        <f>IFERROR(__xludf.DUMMYFUNCTION("""COMPUTED_VALUE"""),"ICA")</f>
        <v>ICA</v>
      </c>
      <c r="N12" s="146" t="str">
        <f>IFERROR(__xludf.DUMMYFUNCTION("""COMPUTED_VALUE"""),"1 PLAY")</f>
        <v>1 PLAY</v>
      </c>
      <c r="O12" s="146" t="str">
        <f>IFERROR(__xludf.DUMMYFUNCTION("""COMPUTED_VALUE"""),"Campaña Promo Mediana")</f>
        <v>Campaña Promo Mediana</v>
      </c>
      <c r="P12" s="152">
        <f>IFERROR(__xludf.DUMMYFUNCTION("""COMPUTED_VALUE"""),89.0)</f>
        <v>89</v>
      </c>
      <c r="Q12" s="151">
        <f>IFERROR(__xludf.DUMMYFUNCTION("""COMPUTED_VALUE"""),46197.0)</f>
        <v>46197</v>
      </c>
      <c r="R12" s="153">
        <f t="shared" si="1"/>
        <v>46197</v>
      </c>
    </row>
    <row r="13">
      <c r="C13" s="148" t="s">
        <v>457</v>
      </c>
      <c r="D13" s="149" t="s">
        <v>487</v>
      </c>
      <c r="E13" s="150">
        <v>46199.0</v>
      </c>
      <c r="F13" s="149" t="s">
        <v>464</v>
      </c>
      <c r="G13" s="149" t="s">
        <v>440</v>
      </c>
      <c r="H13" s="151">
        <f t="array" ref="H13">IF(C13&lt;&gt;"", INDEX(PREVENTAS!$A$2:$CB990,MATCH(C13,PREVENTAS!$L$2:$L990,0),72),"")</f>
        <v>46199</v>
      </c>
      <c r="K13" s="146" t="str">
        <f>IFERROR(__xludf.DUMMYFUNCTION("""COMPUTED_VALUE"""),"06063811")</f>
        <v>06063811</v>
      </c>
      <c r="L13" s="146" t="str">
        <f>IFERROR(__xludf.DUMMYFUNCTION("""COMPUTED_VALUE"""),"ALEJANDRO ENRIQUE PALOMINO LEON")</f>
        <v>ALEJANDRO ENRIQUE PALOMINO LEON</v>
      </c>
      <c r="M13" s="146" t="str">
        <f>IFERROR(__xludf.DUMMYFUNCTION("""COMPUTED_VALUE"""),"LIMA METROPOLITANA")</f>
        <v>LIMA METROPOLITANA</v>
      </c>
      <c r="N13" s="146" t="str">
        <f>IFERROR(__xludf.DUMMYFUNCTION("""COMPUTED_VALUE"""),"1 PLAY + L1MAX")</f>
        <v>1 PLAY + L1MAX</v>
      </c>
      <c r="O13" s="146" t="str">
        <f>IFERROR(__xludf.DUMMYFUNCTION("""COMPUTED_VALUE"""),"Campaña Regular PRO")</f>
        <v>Campaña Regular PRO</v>
      </c>
      <c r="P13" s="152">
        <f>IFERROR(__xludf.DUMMYFUNCTION("""COMPUTED_VALUE"""),110.0)</f>
        <v>110</v>
      </c>
      <c r="Q13" s="151">
        <f>IFERROR(__xludf.DUMMYFUNCTION("""COMPUTED_VALUE"""),46198.0)</f>
        <v>46198</v>
      </c>
      <c r="R13" s="153">
        <f t="shared" si="1"/>
        <v>46198</v>
      </c>
    </row>
    <row r="14">
      <c r="C14" s="148" t="s">
        <v>159</v>
      </c>
      <c r="D14" s="149" t="s">
        <v>161</v>
      </c>
      <c r="E14" s="150">
        <v>46199.0</v>
      </c>
      <c r="F14" s="149" t="s">
        <v>460</v>
      </c>
      <c r="G14" s="149" t="s">
        <v>454</v>
      </c>
      <c r="H14" s="151">
        <f t="array" ref="H14">IF(C14&lt;&gt;"", INDEX(PREVENTAS!$A$2:$CB990,MATCH(C14,PREVENTAS!$L$2:$L990,0),72),"")</f>
        <v>46199</v>
      </c>
      <c r="K14" s="146" t="str">
        <f>IFERROR(__xludf.DUMMYFUNCTION("""COMPUTED_VALUE"""),"47139933")</f>
        <v>47139933</v>
      </c>
      <c r="L14" s="146" t="str">
        <f>IFERROR(__xludf.DUMMYFUNCTION("""COMPUTED_VALUE"""),"RICHARDSON LUIS CORDOVA RIVERA")</f>
        <v>RICHARDSON LUIS CORDOVA RIVERA</v>
      </c>
      <c r="M14" s="146" t="str">
        <f>IFERROR(__xludf.DUMMYFUNCTION("""COMPUTED_VALUE"""),"JUNIN")</f>
        <v>JUNIN</v>
      </c>
      <c r="N14" s="146" t="str">
        <f>IFERROR(__xludf.DUMMYFUNCTION("""COMPUTED_VALUE"""),"1 PLAY")</f>
        <v>1 PLAY</v>
      </c>
      <c r="O14" s="146" t="str">
        <f>IFERROR(__xludf.DUMMYFUNCTION("""COMPUTED_VALUE"""),"Campaña Promo Mediana")</f>
        <v>Campaña Promo Mediana</v>
      </c>
      <c r="P14" s="152">
        <f>IFERROR(__xludf.DUMMYFUNCTION("""COMPUTED_VALUE"""),89.0)</f>
        <v>89</v>
      </c>
      <c r="Q14" s="151">
        <f>IFERROR(__xludf.DUMMYFUNCTION("""COMPUTED_VALUE"""),46198.0)</f>
        <v>46198</v>
      </c>
      <c r="R14" s="153">
        <f t="shared" si="1"/>
        <v>46198</v>
      </c>
    </row>
    <row r="15">
      <c r="C15" s="148" t="s">
        <v>488</v>
      </c>
      <c r="D15" s="149" t="s">
        <v>489</v>
      </c>
      <c r="E15" s="150">
        <v>46200.0</v>
      </c>
      <c r="F15" s="149" t="s">
        <v>490</v>
      </c>
      <c r="G15" s="149" t="s">
        <v>486</v>
      </c>
      <c r="H15" s="151">
        <f t="array" ref="H15">IF(C15&lt;&gt;"", INDEX(PREVENTAS!$A$2:$CB990,MATCH(C15,PREVENTAS!$L$2:$L990,0),72),"")</f>
        <v>46200</v>
      </c>
      <c r="K15" s="146" t="str">
        <f>IFERROR(__xludf.DUMMYFUNCTION("""COMPUTED_VALUE"""),"42863482")</f>
        <v>42863482</v>
      </c>
      <c r="L15" s="146" t="str">
        <f>IFERROR(__xludf.DUMMYFUNCTION("""COMPUTED_VALUE"""),"MARCO ANTONIO BLAS ZUÑIGA")</f>
        <v>MARCO ANTONIO BLAS ZUÑIGA</v>
      </c>
      <c r="M15" s="146" t="str">
        <f>IFERROR(__xludf.DUMMYFUNCTION("""COMPUTED_VALUE"""),"LIMA METROPOLITANA")</f>
        <v>LIMA METROPOLITANA</v>
      </c>
      <c r="N15" s="146" t="str">
        <f>IFERROR(__xludf.DUMMYFUNCTION("""COMPUTED_VALUE"""),"2PLAY + TELF")</f>
        <v>2PLAY + TELF</v>
      </c>
      <c r="O15" s="146" t="str">
        <f>IFERROR(__xludf.DUMMYFUNCTION("""COMPUTED_VALUE"""),"Campaña Regular")</f>
        <v>Campaña Regular</v>
      </c>
      <c r="P15" s="152">
        <f>IFERROR(__xludf.DUMMYFUNCTION("""COMPUTED_VALUE"""),94.0)</f>
        <v>94</v>
      </c>
      <c r="Q15" s="151">
        <f>IFERROR(__xludf.DUMMYFUNCTION("""COMPUTED_VALUE"""),46198.0)</f>
        <v>46198</v>
      </c>
      <c r="R15" s="153">
        <f t="shared" si="1"/>
        <v>46198</v>
      </c>
    </row>
    <row r="16">
      <c r="C16" s="148" t="s">
        <v>491</v>
      </c>
      <c r="D16" s="149" t="s">
        <v>492</v>
      </c>
      <c r="E16" s="150">
        <v>46201.0</v>
      </c>
      <c r="F16" s="149" t="s">
        <v>460</v>
      </c>
      <c r="G16" s="149" t="s">
        <v>454</v>
      </c>
      <c r="H16" s="151">
        <f t="array" ref="H16">IF(C16&lt;&gt;"", INDEX(PREVENTAS!$A$2:$CB990,MATCH(C16,PREVENTAS!$L$2:$L990,0),72),"")</f>
        <v>46201</v>
      </c>
      <c r="K16" s="146" t="str">
        <f>IFERROR(__xludf.DUMMYFUNCTION("""COMPUTED_VALUE"""),"72539720")</f>
        <v>72539720</v>
      </c>
      <c r="L16" s="146" t="str">
        <f>IFERROR(__xludf.DUMMYFUNCTION("""COMPUTED_VALUE"""),"AMNER CALEP PEÑA PIÑA")</f>
        <v>AMNER CALEP PEÑA PIÑA</v>
      </c>
      <c r="M16" s="146" t="str">
        <f>IFERROR(__xludf.DUMMYFUNCTION("""COMPUTED_VALUE"""),"SAN MARTIN")</f>
        <v>SAN MARTIN</v>
      </c>
      <c r="N16" s="146" t="str">
        <f>IFERROR(__xludf.DUMMYFUNCTION("""COMPUTED_VALUE"""),"1 PLAY")</f>
        <v>1 PLAY</v>
      </c>
      <c r="O16" s="146" t="str">
        <f>IFERROR(__xludf.DUMMYFUNCTION("""COMPUTED_VALUE"""),"Campaña Regular")</f>
        <v>Campaña Regular</v>
      </c>
      <c r="P16" s="152">
        <f>IFERROR(__xludf.DUMMYFUNCTION("""COMPUTED_VALUE"""),89.0)</f>
        <v>89</v>
      </c>
      <c r="Q16" s="151">
        <f>IFERROR(__xludf.DUMMYFUNCTION("""COMPUTED_VALUE"""),46199.0)</f>
        <v>46199</v>
      </c>
      <c r="R16" s="153">
        <f t="shared" si="1"/>
        <v>46199</v>
      </c>
    </row>
    <row r="17">
      <c r="C17" s="148" t="s">
        <v>497</v>
      </c>
      <c r="D17" s="149" t="s">
        <v>498</v>
      </c>
      <c r="E17" s="150">
        <v>46201.0</v>
      </c>
      <c r="F17" s="149" t="s">
        <v>464</v>
      </c>
      <c r="G17" s="149" t="s">
        <v>440</v>
      </c>
      <c r="H17" s="151">
        <f t="array" ref="H17">IF(C17&lt;&gt;"", INDEX(PREVENTAS!$A$2:$CB990,MATCH(C17,PREVENTAS!$L$2:$L990,0),72),"")</f>
        <v>46201</v>
      </c>
      <c r="K17" s="146" t="str">
        <f>IFERROR(__xludf.DUMMYFUNCTION("""COMPUTED_VALUE"""),"48294663")</f>
        <v>48294663</v>
      </c>
      <c r="L17" s="146" t="str">
        <f>IFERROR(__xludf.DUMMYFUNCTION("""COMPUTED_VALUE"""),"KEVIN JUSTIN GUERRA LÓPEZ")</f>
        <v>KEVIN JUSTIN GUERRA LÓPEZ</v>
      </c>
      <c r="M17" s="146" t="str">
        <f>IFERROR(__xludf.DUMMYFUNCTION("""COMPUTED_VALUE"""),"LIMA METROPOLITANA")</f>
        <v>LIMA METROPOLITANA</v>
      </c>
      <c r="N17" s="146" t="str">
        <f>IFERROR(__xludf.DUMMYFUNCTION("""COMPUTED_VALUE"""),"1 PLAY")</f>
        <v>1 PLAY</v>
      </c>
      <c r="O17" s="146" t="str">
        <f>IFERROR(__xludf.DUMMYFUNCTION("""COMPUTED_VALUE"""),"Campaña Regular")</f>
        <v>Campaña Regular</v>
      </c>
      <c r="P17" s="152">
        <f>IFERROR(__xludf.DUMMYFUNCTION("""COMPUTED_VALUE"""),110.0)</f>
        <v>110</v>
      </c>
      <c r="Q17" s="151">
        <f>IFERROR(__xludf.DUMMYFUNCTION("""COMPUTED_VALUE"""),46199.0)</f>
        <v>46199</v>
      </c>
      <c r="R17" s="153">
        <f t="shared" si="1"/>
        <v>46199</v>
      </c>
    </row>
    <row r="18">
      <c r="C18" s="148" t="s">
        <v>501</v>
      </c>
      <c r="D18" s="149" t="s">
        <v>502</v>
      </c>
      <c r="E18" s="150">
        <v>46202.0</v>
      </c>
      <c r="F18" s="149" t="s">
        <v>485</v>
      </c>
      <c r="G18" s="149" t="s">
        <v>486</v>
      </c>
      <c r="H18" s="151">
        <f t="array" ref="H18">IF(C18&lt;&gt;"", INDEX(PREVENTAS!$A$2:$CB990,MATCH(C18,PREVENTAS!$L$2:$L990,0),72),"")</f>
        <v>46202</v>
      </c>
      <c r="K18" s="146" t="str">
        <f>IFERROR(__xludf.DUMMYFUNCTION("""COMPUTED_VALUE"""),"45346787")</f>
        <v>45346787</v>
      </c>
      <c r="L18" s="146" t="str">
        <f>IFERROR(__xludf.DUMMYFUNCTION("""COMPUTED_VALUE"""),"LEWIS RICHARD CORDOVA HUAMAN")</f>
        <v>LEWIS RICHARD CORDOVA HUAMAN</v>
      </c>
      <c r="M18" s="146" t="str">
        <f>IFERROR(__xludf.DUMMYFUNCTION("""COMPUTED_VALUE"""),"LIMA METROPOLITANA")</f>
        <v>LIMA METROPOLITANA</v>
      </c>
      <c r="N18" s="146" t="str">
        <f>IFERROR(__xludf.DUMMYFUNCTION("""COMPUTED_VALUE"""),"2 PLAY + TV ESTANDAR")</f>
        <v>2 PLAY + TV ESTANDAR</v>
      </c>
      <c r="O18" s="146" t="str">
        <f>IFERROR(__xludf.DUMMYFUNCTION("""COMPUTED_VALUE"""),"Campaña Regular PRO")</f>
        <v>Campaña Regular PRO</v>
      </c>
      <c r="P18" s="152">
        <f>IFERROR(__xludf.DUMMYFUNCTION("""COMPUTED_VALUE"""),170.0)</f>
        <v>170</v>
      </c>
      <c r="Q18" s="151">
        <f>IFERROR(__xludf.DUMMYFUNCTION("""COMPUTED_VALUE"""),46200.0)</f>
        <v>46200</v>
      </c>
      <c r="R18" s="153">
        <f t="shared" si="1"/>
        <v>46200</v>
      </c>
    </row>
    <row r="19">
      <c r="C19" s="148" t="s">
        <v>503</v>
      </c>
      <c r="D19" s="149" t="s">
        <v>504</v>
      </c>
      <c r="E19" s="150">
        <v>46202.0</v>
      </c>
      <c r="F19" s="149" t="s">
        <v>505</v>
      </c>
      <c r="G19" s="149" t="s">
        <v>506</v>
      </c>
      <c r="H19" s="151">
        <f t="array" ref="H19">IF(C19&lt;&gt;"", INDEX(PREVENTAS!$A$2:$CB990,MATCH(C19,PREVENTAS!$L$2:$L990,0),72),"")</f>
        <v>46202</v>
      </c>
      <c r="K19" s="146" t="str">
        <f>IFERROR(__xludf.DUMMYFUNCTION("""COMPUTED_VALUE"""),"75454838")</f>
        <v>75454838</v>
      </c>
      <c r="L19" s="146" t="str">
        <f>IFERROR(__xludf.DUMMYFUNCTION("""COMPUTED_VALUE"""),"ROCIO LESLY FIGUEROA RODRIGUEZ")</f>
        <v>ROCIO LESLY FIGUEROA RODRIGUEZ</v>
      </c>
      <c r="M19" s="146" t="str">
        <f>IFERROR(__xludf.DUMMYFUNCTION("""COMPUTED_VALUE"""),"CALLAO")</f>
        <v>CALLAO</v>
      </c>
      <c r="N19" s="146" t="str">
        <f>IFERROR(__xludf.DUMMYFUNCTION("""COMPUTED_VALUE"""),"1 PLAY")</f>
        <v>1 PLAY</v>
      </c>
      <c r="O19" s="146" t="str">
        <f>IFERROR(__xludf.DUMMYFUNCTION("""COMPUTED_VALUE"""),"Campaña Regular")</f>
        <v>Campaña Regular</v>
      </c>
      <c r="P19" s="152">
        <f>IFERROR(__xludf.DUMMYFUNCTION("""COMPUTED_VALUE"""),89.0)</f>
        <v>89</v>
      </c>
      <c r="Q19" s="151">
        <f>IFERROR(__xludf.DUMMYFUNCTION("""COMPUTED_VALUE"""),46201.0)</f>
        <v>46201</v>
      </c>
      <c r="R19" s="153">
        <f t="shared" si="1"/>
        <v>46201</v>
      </c>
    </row>
    <row r="20">
      <c r="C20" s="148" t="s">
        <v>253</v>
      </c>
      <c r="D20" s="149" t="s">
        <v>254</v>
      </c>
      <c r="E20" s="150">
        <v>46202.0</v>
      </c>
      <c r="F20" s="149" t="s">
        <v>464</v>
      </c>
      <c r="G20" s="149" t="s">
        <v>440</v>
      </c>
      <c r="H20" s="151">
        <f t="array" ref="H20">IF(C20&lt;&gt;"", INDEX(PREVENTAS!$A$2:$CB990,MATCH(C20,PREVENTAS!$L$2:$L990,0),72),"")</f>
        <v>46202</v>
      </c>
      <c r="K20" s="146" t="str">
        <f>IFERROR(__xludf.DUMMYFUNCTION("""COMPUTED_VALUE"""),"40494768")</f>
        <v>40494768</v>
      </c>
      <c r="L20" s="146" t="str">
        <f>IFERROR(__xludf.DUMMYFUNCTION("""COMPUTED_VALUE"""),"TEODORO SAICO SUCLLE")</f>
        <v>TEODORO SAICO SUCLLE</v>
      </c>
      <c r="M20" s="146" t="str">
        <f>IFERROR(__xludf.DUMMYFUNCTION("""COMPUTED_VALUE"""),"AREQUIPA")</f>
        <v>AREQUIPA</v>
      </c>
      <c r="N20" s="146" t="str">
        <f>IFERROR(__xludf.DUMMYFUNCTION("""COMPUTED_VALUE"""),"1 PLAY + L1MAX")</f>
        <v>1 PLAY + L1MAX</v>
      </c>
      <c r="O20" s="146" t="str">
        <f>IFERROR(__xludf.DUMMYFUNCTION("""COMPUTED_VALUE"""),"Campaña Regular PRO")</f>
        <v>Campaña Regular PRO</v>
      </c>
      <c r="P20" s="152">
        <f>IFERROR(__xludf.DUMMYFUNCTION("""COMPUTED_VALUE"""),110.0)</f>
        <v>110</v>
      </c>
      <c r="Q20" s="151">
        <f>IFERROR(__xludf.DUMMYFUNCTION("""COMPUTED_VALUE"""),46201.0)</f>
        <v>46201</v>
      </c>
      <c r="R20" s="153">
        <f t="shared" si="1"/>
        <v>46201</v>
      </c>
    </row>
    <row r="21">
      <c r="C21" s="148" t="s">
        <v>511</v>
      </c>
      <c r="D21" s="149" t="s">
        <v>512</v>
      </c>
      <c r="E21" s="150">
        <v>46202.0</v>
      </c>
      <c r="F21" s="149" t="s">
        <v>460</v>
      </c>
      <c r="G21" s="149" t="s">
        <v>454</v>
      </c>
      <c r="H21" s="151">
        <f t="array" ref="H21">IF(C21&lt;&gt;"", INDEX(PREVENTAS!$A$2:$CB990,MATCH(C21,PREVENTAS!$L$2:$L990,0),72),"")</f>
        <v>46202</v>
      </c>
      <c r="K21" s="146" t="str">
        <f>IFERROR(__xludf.DUMMYFUNCTION("""COMPUTED_VALUE"""),"75416717")</f>
        <v>75416717</v>
      </c>
      <c r="L21" s="146" t="str">
        <f>IFERROR(__xludf.DUMMYFUNCTION("""COMPUTED_VALUE"""),"CRISTEL NICOLT LOPEZ ESPADA")</f>
        <v>CRISTEL NICOLT LOPEZ ESPADA</v>
      </c>
      <c r="M21" s="146" t="str">
        <f>IFERROR(__xludf.DUMMYFUNCTION("""COMPUTED_VALUE"""),"LIMA")</f>
        <v>LIMA</v>
      </c>
      <c r="N21" s="146" t="str">
        <f>IFERROR(__xludf.DUMMYFUNCTION("""COMPUTED_VALUE"""),"1 PLAY")</f>
        <v>1 PLAY</v>
      </c>
      <c r="O21" s="146" t="str">
        <f>IFERROR(__xludf.DUMMYFUNCTION("""COMPUTED_VALUE"""),"Campaña Regular")</f>
        <v>Campaña Regular</v>
      </c>
      <c r="P21" s="152">
        <f>IFERROR(__xludf.DUMMYFUNCTION("""COMPUTED_VALUE"""),69.0)</f>
        <v>69</v>
      </c>
      <c r="Q21" s="151">
        <f>IFERROR(__xludf.DUMMYFUNCTION("""COMPUTED_VALUE"""),46202.0)</f>
        <v>46202</v>
      </c>
      <c r="R21" s="153">
        <f t="shared" si="1"/>
        <v>46202</v>
      </c>
    </row>
    <row r="22">
      <c r="C22" s="148" t="s">
        <v>521</v>
      </c>
      <c r="D22" s="149" t="s">
        <v>522</v>
      </c>
      <c r="E22" s="150">
        <v>46203.0</v>
      </c>
      <c r="F22" s="149" t="s">
        <v>460</v>
      </c>
      <c r="G22" s="149" t="s">
        <v>454</v>
      </c>
      <c r="H22" s="151">
        <f t="array" ref="H22">IF(C22&lt;&gt;"", INDEX(PREVENTAS!$A$2:$CB990,MATCH(C22,PREVENTAS!$L$2:$L990,0),72),"")</f>
        <v>46203</v>
      </c>
      <c r="K22" s="146" t="str">
        <f>IFERROR(__xludf.DUMMYFUNCTION("""COMPUTED_VALUE"""),"10811695")</f>
        <v>10811695</v>
      </c>
      <c r="L22" s="146" t="str">
        <f>IFERROR(__xludf.DUMMYFUNCTION("""COMPUTED_VALUE"""),"JENNY PAOLY ROJAS BENITO")</f>
        <v>JENNY PAOLY ROJAS BENITO</v>
      </c>
      <c r="M22" s="146" t="str">
        <f>IFERROR(__xludf.DUMMYFUNCTION("""COMPUTED_VALUE"""),"LIMA METROPOLITANA")</f>
        <v>LIMA METROPOLITANA</v>
      </c>
      <c r="N22" s="146" t="str">
        <f>IFERROR(__xludf.DUMMYFUNCTION("""COMPUTED_VALUE"""),"2 PLAY + TV ESTANDAR")</f>
        <v>2 PLAY + TV ESTANDAR</v>
      </c>
      <c r="O22" s="146" t="str">
        <f>IFERROR(__xludf.DUMMYFUNCTION("""COMPUTED_VALUE"""),"Campaña Regular PRO")</f>
        <v>Campaña Regular PRO</v>
      </c>
      <c r="P22" s="152">
        <f>IFERROR(__xludf.DUMMYFUNCTION("""COMPUTED_VALUE"""),170.0)</f>
        <v>170</v>
      </c>
      <c r="Q22" s="151">
        <f>IFERROR(__xludf.DUMMYFUNCTION("""COMPUTED_VALUE"""),46202.0)</f>
        <v>46202</v>
      </c>
      <c r="R22" s="153">
        <f t="shared" si="1"/>
        <v>46202</v>
      </c>
    </row>
    <row r="23">
      <c r="C23" s="148" t="s">
        <v>523</v>
      </c>
      <c r="D23" s="149" t="s">
        <v>524</v>
      </c>
      <c r="E23" s="150">
        <v>46203.0</v>
      </c>
      <c r="F23" s="149" t="s">
        <v>490</v>
      </c>
      <c r="G23" s="149" t="s">
        <v>486</v>
      </c>
      <c r="H23" s="151">
        <f t="array" ref="H23">IF(C23&lt;&gt;"", INDEX(PREVENTAS!$A$2:$CB990,MATCH(C23,PREVENTAS!$L$2:$L990,0),72),"")</f>
        <v>46203</v>
      </c>
      <c r="K23" s="146" t="str">
        <f>IFERROR(__xludf.DUMMYFUNCTION("""COMPUTED_VALUE"""),"32221145")</f>
        <v>32221145</v>
      </c>
      <c r="L23" s="146" t="str">
        <f>IFERROR(__xludf.DUMMYFUNCTION("""COMPUTED_VALUE"""),"RUSBEL MANUEL OQUEÑA PASTOR")</f>
        <v>RUSBEL MANUEL OQUEÑA PASTOR</v>
      </c>
      <c r="M23" s="146" t="str">
        <f>IFERROR(__xludf.DUMMYFUNCTION("""COMPUTED_VALUE"""),"LIMA METROPOLITANA")</f>
        <v>LIMA METROPOLITANA</v>
      </c>
      <c r="N23" s="146" t="str">
        <f>IFERROR(__xludf.DUMMYFUNCTION("""COMPUTED_VALUE"""),"1 PLAY")</f>
        <v>1 PLAY</v>
      </c>
      <c r="O23" s="146" t="str">
        <f>IFERROR(__xludf.DUMMYFUNCTION("""COMPUTED_VALUE"""),"Campaña Promo Mediana")</f>
        <v>Campaña Promo Mediana</v>
      </c>
      <c r="P23" s="152">
        <f>IFERROR(__xludf.DUMMYFUNCTION("""COMPUTED_VALUE"""),89.0)</f>
        <v>89</v>
      </c>
      <c r="Q23" s="151">
        <f>IFERROR(__xludf.DUMMYFUNCTION("""COMPUTED_VALUE"""),46202.0)</f>
        <v>46202</v>
      </c>
      <c r="R23" s="153">
        <f t="shared" si="1"/>
        <v>46202</v>
      </c>
    </row>
    <row r="24">
      <c r="C24" s="148" t="s">
        <v>526</v>
      </c>
      <c r="D24" s="149" t="s">
        <v>527</v>
      </c>
      <c r="E24" s="150">
        <v>46203.0</v>
      </c>
      <c r="F24" s="149" t="s">
        <v>528</v>
      </c>
      <c r="G24" s="149" t="s">
        <v>529</v>
      </c>
      <c r="H24" s="151">
        <f t="array" ref="H24">IF(C24&lt;&gt;"", INDEX(PREVENTAS!$A$2:$CB990,MATCH(C24,PREVENTAS!$L$2:$L990,0),72),"")</f>
        <v>46203</v>
      </c>
      <c r="K24" s="146" t="str">
        <f>IFERROR(__xludf.DUMMYFUNCTION("""COMPUTED_VALUE"""),"80064841")</f>
        <v>80064841</v>
      </c>
      <c r="L24" s="146" t="str">
        <f>IFERROR(__xludf.DUMMYFUNCTION("""COMPUTED_VALUE"""),"LUIS ALBERTO DAVILA PAREDES")</f>
        <v>LUIS ALBERTO DAVILA PAREDES</v>
      </c>
      <c r="M24" s="146" t="str">
        <f>IFERROR(__xludf.DUMMYFUNCTION("""COMPUTED_VALUE"""),"HUANUCO")</f>
        <v>HUANUCO</v>
      </c>
      <c r="N24" s="146" t="str">
        <f>IFERROR(__xludf.DUMMYFUNCTION("""COMPUTED_VALUE"""),"1 PLAY + L1MAX")</f>
        <v>1 PLAY + L1MAX</v>
      </c>
      <c r="O24" s="146" t="str">
        <f>IFERROR(__xludf.DUMMYFUNCTION("""COMPUTED_VALUE"""),"Campaña Regular PRO")</f>
        <v>Campaña Regular PRO</v>
      </c>
      <c r="P24" s="152">
        <f>IFERROR(__xludf.DUMMYFUNCTION("""COMPUTED_VALUE"""),110.0)</f>
        <v>110</v>
      </c>
      <c r="Q24" s="151">
        <f>IFERROR(__xludf.DUMMYFUNCTION("""COMPUTED_VALUE"""),46202.0)</f>
        <v>46202</v>
      </c>
      <c r="R24" s="153">
        <f t="shared" si="1"/>
        <v>46202</v>
      </c>
    </row>
    <row r="25">
      <c r="C25" s="148" t="s">
        <v>532</v>
      </c>
      <c r="D25" s="149" t="s">
        <v>533</v>
      </c>
      <c r="E25" s="150">
        <v>46203.0</v>
      </c>
      <c r="F25" s="149" t="s">
        <v>464</v>
      </c>
      <c r="G25" s="149" t="s">
        <v>535</v>
      </c>
      <c r="H25" s="151">
        <f t="array" ref="H25">IF(C25&lt;&gt;"", INDEX(PREVENTAS!$A$2:$CB990,MATCH(C25,PREVENTAS!$L$2:$L990,0),72),"")</f>
        <v>46203</v>
      </c>
      <c r="K25" s="146" t="str">
        <f>IFERROR(__xludf.DUMMYFUNCTION("""COMPUTED_VALUE"""),"08450266")</f>
        <v>08450266</v>
      </c>
      <c r="L25" s="146" t="str">
        <f>IFERROR(__xludf.DUMMYFUNCTION("""COMPUTED_VALUE"""),"NORMA MONICA, PACHECHO AGUILAR")</f>
        <v>NORMA MONICA, PACHECHO AGUILAR</v>
      </c>
      <c r="M25" s="146" t="str">
        <f>IFERROR(__xludf.DUMMYFUNCTION("""COMPUTED_VALUE"""),"LIMA METROPOLITANA")</f>
        <v>LIMA METROPOLITANA</v>
      </c>
      <c r="N25" s="146" t="str">
        <f>IFERROR(__xludf.DUMMYFUNCTION("""COMPUTED_VALUE"""),"3 PLAY + TV ESTANDAR")</f>
        <v>3 PLAY + TV ESTANDAR</v>
      </c>
      <c r="O25" s="146" t="str">
        <f>IFERROR(__xludf.DUMMYFUNCTION("""COMPUTED_VALUE"""),"Campaña Regular")</f>
        <v>Campaña Regular</v>
      </c>
      <c r="P25" s="152">
        <f>IFERROR(__xludf.DUMMYFUNCTION("""COMPUTED_VALUE"""),155.0)</f>
        <v>155</v>
      </c>
      <c r="Q25" s="151">
        <f>IFERROR(__xludf.DUMMYFUNCTION("""COMPUTED_VALUE"""),46203.0)</f>
        <v>46203</v>
      </c>
      <c r="R25" s="153">
        <f t="shared" si="1"/>
        <v>46203</v>
      </c>
    </row>
    <row r="26">
      <c r="C26" s="148" t="s">
        <v>540</v>
      </c>
      <c r="D26" s="149" t="s">
        <v>541</v>
      </c>
      <c r="E26" s="150">
        <v>46204.0</v>
      </c>
      <c r="F26" s="149" t="s">
        <v>441</v>
      </c>
      <c r="G26" s="149" t="s">
        <v>442</v>
      </c>
      <c r="H26" s="151">
        <f t="array" ref="H26">IF(C26&lt;&gt;"", INDEX(PREVENTAS!$A$2:$CB990,MATCH(C26,PREVENTAS!$L$2:$L990,0),72),"")</f>
        <v>46204</v>
      </c>
      <c r="K26" s="146" t="str">
        <f>IFERROR(__xludf.DUMMYFUNCTION("""COMPUTED_VALUE"""),"76586680")</f>
        <v>76586680</v>
      </c>
      <c r="L26" s="146" t="str">
        <f>IFERROR(__xludf.DUMMYFUNCTION("""COMPUTED_VALUE"""),"ERICK ABRAHAM HIGINIO SOTELO")</f>
        <v>ERICK ABRAHAM HIGINIO SOTELO</v>
      </c>
      <c r="M26" s="146" t="str">
        <f>IFERROR(__xludf.DUMMYFUNCTION("""COMPUTED_VALUE"""),"LIMA METROPOLITANA")</f>
        <v>LIMA METROPOLITANA</v>
      </c>
      <c r="N26" s="146" t="str">
        <f>IFERROR(__xludf.DUMMYFUNCTION("""COMPUTED_VALUE"""),"2 PLAY + TV ESTANDAR")</f>
        <v>2 PLAY + TV ESTANDAR</v>
      </c>
      <c r="O26" s="146" t="str">
        <f>IFERROR(__xludf.DUMMYFUNCTION("""COMPUTED_VALUE"""),"Campaña Regular")</f>
        <v>Campaña Regular</v>
      </c>
      <c r="P26" s="152">
        <f>IFERROR(__xludf.DUMMYFUNCTION("""COMPUTED_VALUE"""),170.0)</f>
        <v>170</v>
      </c>
      <c r="Q26" s="151">
        <f>IFERROR(__xludf.DUMMYFUNCTION("""COMPUTED_VALUE"""),46203.0)</f>
        <v>46203</v>
      </c>
      <c r="R26" s="153">
        <f t="shared" si="1"/>
        <v>46203</v>
      </c>
    </row>
    <row r="27">
      <c r="C27" s="148" t="s">
        <v>542</v>
      </c>
      <c r="D27" s="149" t="s">
        <v>543</v>
      </c>
      <c r="E27" s="150">
        <v>46205.0</v>
      </c>
      <c r="F27" s="149" t="s">
        <v>439</v>
      </c>
      <c r="G27" s="149" t="s">
        <v>440</v>
      </c>
      <c r="H27" s="151">
        <f t="array" ref="H27">IF(C27&lt;&gt;"", INDEX(PREVENTAS!$A$2:$CB990,MATCH(C27,PREVENTAS!$L$2:$L990,0),72),"")</f>
        <v>46205</v>
      </c>
      <c r="K27" s="146" t="str">
        <f>IFERROR(__xludf.DUMMYFUNCTION("""COMPUTED_VALUE"""),"47883104")</f>
        <v>47883104</v>
      </c>
      <c r="L27" s="146" t="str">
        <f>IFERROR(__xludf.DUMMYFUNCTION("""COMPUTED_VALUE"""),"MINES BALTIERREZ, FLOR STEFANY")</f>
        <v>MINES BALTIERREZ, FLOR STEFANY</v>
      </c>
      <c r="M27" s="146" t="str">
        <f>IFERROR(__xludf.DUMMYFUNCTION("""COMPUTED_VALUE"""),"LIMA METROPOLITANA")</f>
        <v>LIMA METROPOLITANA</v>
      </c>
      <c r="N27" s="146" t="str">
        <f>IFERROR(__xludf.DUMMYFUNCTION("""COMPUTED_VALUE"""),"1 PLAY")</f>
        <v>1 PLAY</v>
      </c>
      <c r="O27" s="146" t="str">
        <f>IFERROR(__xludf.DUMMYFUNCTION("""COMPUTED_VALUE"""),"Campaña Promo Mediana")</f>
        <v>Campaña Promo Mediana</v>
      </c>
      <c r="P27" s="152">
        <f>IFERROR(__xludf.DUMMYFUNCTION("""COMPUTED_VALUE"""),89.0)</f>
        <v>89</v>
      </c>
      <c r="Q27" s="151">
        <f>IFERROR(__xludf.DUMMYFUNCTION("""COMPUTED_VALUE"""),46203.0)</f>
        <v>46203</v>
      </c>
      <c r="R27" s="153">
        <f t="shared" si="1"/>
        <v>46203</v>
      </c>
    </row>
    <row r="28">
      <c r="C28" s="148" t="s">
        <v>548</v>
      </c>
      <c r="D28" s="149" t="s">
        <v>549</v>
      </c>
      <c r="E28" s="150">
        <v>46205.0</v>
      </c>
      <c r="F28" s="149" t="s">
        <v>441</v>
      </c>
      <c r="G28" s="149" t="s">
        <v>442</v>
      </c>
      <c r="H28" s="151">
        <f t="array" ref="H28">IF(C28&lt;&gt;"", INDEX(PREVENTAS!$A$2:$CB990,MATCH(C28,PREVENTAS!$L$2:$L990,0),72),"")</f>
        <v>46205</v>
      </c>
      <c r="K28" s="146" t="str">
        <f>IFERROR(__xludf.DUMMYFUNCTION("""COMPUTED_VALUE"""),"20083833")</f>
        <v>20083833</v>
      </c>
      <c r="L28" s="146" t="str">
        <f>IFERROR(__xludf.DUMMYFUNCTION("""COMPUTED_VALUE"""),"ROBERTH SALAS JORGE")</f>
        <v>ROBERTH SALAS JORGE</v>
      </c>
      <c r="M28" s="146" t="str">
        <f>IFERROR(__xludf.DUMMYFUNCTION("""COMPUTED_VALUE"""),"JUNIN")</f>
        <v>JUNIN</v>
      </c>
      <c r="N28" s="146" t="str">
        <f>IFERROR(__xludf.DUMMYFUNCTION("""COMPUTED_VALUE"""),"1 PLAY + L1MAX")</f>
        <v>1 PLAY + L1MAX</v>
      </c>
      <c r="O28" s="146" t="str">
        <f>IFERROR(__xludf.DUMMYFUNCTION("""COMPUTED_VALUE"""),"Campaña Regular PRO")</f>
        <v>Campaña Regular PRO</v>
      </c>
      <c r="P28" s="152">
        <f>IFERROR(__xludf.DUMMYFUNCTION("""COMPUTED_VALUE"""),110.0)</f>
        <v>110</v>
      </c>
      <c r="Q28" s="151">
        <f>IFERROR(__xludf.DUMMYFUNCTION("""COMPUTED_VALUE"""),46203.0)</f>
        <v>46203</v>
      </c>
      <c r="R28" s="153">
        <f t="shared" si="1"/>
        <v>46203</v>
      </c>
    </row>
    <row r="29">
      <c r="C29" s="148" t="s">
        <v>551</v>
      </c>
      <c r="D29" s="149" t="s">
        <v>552</v>
      </c>
      <c r="E29" s="150">
        <v>46205.0</v>
      </c>
      <c r="F29" s="149" t="s">
        <v>441</v>
      </c>
      <c r="G29" s="149" t="s">
        <v>442</v>
      </c>
      <c r="H29" s="151">
        <f t="array" ref="H29">IF(C29&lt;&gt;"", INDEX(PREVENTAS!$A$2:$CB990,MATCH(C29,PREVENTAS!$L$2:$L990,0),72),"")</f>
        <v>46205</v>
      </c>
      <c r="K29" s="146" t="str">
        <f>IFERROR(__xludf.DUMMYFUNCTION("""COMPUTED_VALUE"""),"42138364")</f>
        <v>42138364</v>
      </c>
      <c r="L29" s="146" t="str">
        <f>IFERROR(__xludf.DUMMYFUNCTION("""COMPUTED_VALUE"""),"MIRIAM GARDENIA CHAVEZ ZAVALETA")</f>
        <v>MIRIAM GARDENIA CHAVEZ ZAVALETA</v>
      </c>
      <c r="M29" s="146" t="str">
        <f>IFERROR(__xludf.DUMMYFUNCTION("""COMPUTED_VALUE"""),"LIMA METROPOLITANA")</f>
        <v>LIMA METROPOLITANA</v>
      </c>
      <c r="N29" s="146" t="str">
        <f>IFERROR(__xludf.DUMMYFUNCTION("""COMPUTED_VALUE"""),"2PLAY + TELF")</f>
        <v>2PLAY + TELF</v>
      </c>
      <c r="O29" s="146" t="str">
        <f>IFERROR(__xludf.DUMMYFUNCTION("""COMPUTED_VALUE"""),"Campaña Regular")</f>
        <v>Campaña Regular</v>
      </c>
      <c r="P29" s="152">
        <f>IFERROR(__xludf.DUMMYFUNCTION("""COMPUTED_VALUE"""),94.0)</f>
        <v>94</v>
      </c>
      <c r="Q29" s="151">
        <f>IFERROR(__xludf.DUMMYFUNCTION("""COMPUTED_VALUE"""),46205.0)</f>
        <v>46205</v>
      </c>
      <c r="R29" s="153">
        <f t="shared" si="1"/>
        <v>46205</v>
      </c>
    </row>
    <row r="30">
      <c r="C30" s="148" t="s">
        <v>554</v>
      </c>
      <c r="D30" s="149" t="s">
        <v>555</v>
      </c>
      <c r="E30" s="150">
        <v>46205.0</v>
      </c>
      <c r="F30" s="149" t="s">
        <v>556</v>
      </c>
      <c r="G30" s="149" t="s">
        <v>442</v>
      </c>
      <c r="H30" s="151">
        <f t="array" ref="H30">IF(C30&lt;&gt;"", INDEX(PREVENTAS!$A$2:$CB990,MATCH(C30,PREVENTAS!$L$2:$L990,0),72),"")</f>
        <v>46205</v>
      </c>
      <c r="K30" s="146" t="str">
        <f>IFERROR(__xludf.DUMMYFUNCTION("""COMPUTED_VALUE"""),"40152975")</f>
        <v>40152975</v>
      </c>
      <c r="L30" s="146" t="str">
        <f>IFERROR(__xludf.DUMMYFUNCTION("""COMPUTED_VALUE"""),"GROWER HONORATO GARRO HUERTAS")</f>
        <v>GROWER HONORATO GARRO HUERTAS</v>
      </c>
      <c r="M30" s="146" t="str">
        <f>IFERROR(__xludf.DUMMYFUNCTION("""COMPUTED_VALUE"""),"LIMA METROPOLITANA")</f>
        <v>LIMA METROPOLITANA</v>
      </c>
      <c r="N30" s="146" t="str">
        <f>IFERROR(__xludf.DUMMYFUNCTION("""COMPUTED_VALUE"""),"1 PLAY + L1MAX")</f>
        <v>1 PLAY + L1MAX</v>
      </c>
      <c r="O30" s="146" t="str">
        <f>IFERROR(__xludf.DUMMYFUNCTION("""COMPUTED_VALUE"""),"Campaña Regular")</f>
        <v>Campaña Regular</v>
      </c>
      <c r="P30" s="152">
        <f>IFERROR(__xludf.DUMMYFUNCTION("""COMPUTED_VALUE"""),110.0)</f>
        <v>110</v>
      </c>
      <c r="Q30" s="151">
        <f>IFERROR(__xludf.DUMMYFUNCTION("""COMPUTED_VALUE"""),46205.0)</f>
        <v>46205</v>
      </c>
      <c r="R30" s="153">
        <f t="shared" si="1"/>
        <v>46205</v>
      </c>
    </row>
    <row r="31">
      <c r="C31" s="148" t="s">
        <v>560</v>
      </c>
      <c r="D31" s="149" t="s">
        <v>561</v>
      </c>
      <c r="E31" s="150">
        <v>46205.0</v>
      </c>
      <c r="F31" s="149" t="s">
        <v>464</v>
      </c>
      <c r="G31" s="149" t="s">
        <v>440</v>
      </c>
      <c r="H31" s="151">
        <f t="array" ref="H31">IF(C31&lt;&gt;"", INDEX(PREVENTAS!$A$2:$CB990,MATCH(C31,PREVENTAS!$L$2:$L990,0),72),"")</f>
        <v>46205</v>
      </c>
      <c r="K31" s="146" t="str">
        <f>IFERROR(__xludf.DUMMYFUNCTION("""COMPUTED_VALUE"""),"16625471")</f>
        <v>16625471</v>
      </c>
      <c r="L31" s="146" t="str">
        <f>IFERROR(__xludf.DUMMYFUNCTION("""COMPUTED_VALUE"""),"ADRIAN PAICO CHUCAS")</f>
        <v>ADRIAN PAICO CHUCAS</v>
      </c>
      <c r="M31" s="146" t="str">
        <f>IFERROR(__xludf.DUMMYFUNCTION("""COMPUTED_VALUE"""),"LAMBAYEQUE")</f>
        <v>LAMBAYEQUE</v>
      </c>
      <c r="N31" s="146" t="str">
        <f>IFERROR(__xludf.DUMMYFUNCTION("""COMPUTED_VALUE"""),"1 PLAY + L1MAX")</f>
        <v>1 PLAY + L1MAX</v>
      </c>
      <c r="O31" s="146" t="str">
        <f>IFERROR(__xludf.DUMMYFUNCTION("""COMPUTED_VALUE"""),"Campaña Regular PRO")</f>
        <v>Campaña Regular PRO</v>
      </c>
      <c r="P31" s="152">
        <f>IFERROR(__xludf.DUMMYFUNCTION("""COMPUTED_VALUE"""),110.0)</f>
        <v>110</v>
      </c>
      <c r="Q31" s="151">
        <f>IFERROR(__xludf.DUMMYFUNCTION("""COMPUTED_VALUE"""),46205.0)</f>
        <v>46205</v>
      </c>
      <c r="R31" s="153">
        <f t="shared" si="1"/>
        <v>46205</v>
      </c>
    </row>
    <row r="32">
      <c r="C32" s="148" t="s">
        <v>569</v>
      </c>
      <c r="D32" s="149" t="s">
        <v>570</v>
      </c>
      <c r="E32" s="150">
        <v>46205.0</v>
      </c>
      <c r="F32" s="149" t="s">
        <v>505</v>
      </c>
      <c r="G32" s="149" t="s">
        <v>506</v>
      </c>
      <c r="H32" s="151">
        <f t="array" ref="H32">IF(C32&lt;&gt;"", INDEX(PREVENTAS!$A$2:$CB990,MATCH(C32,PREVENTAS!$L$2:$L990,0),72),"")</f>
        <v>46205</v>
      </c>
      <c r="K32" s="146" t="str">
        <f>IFERROR(__xludf.DUMMYFUNCTION("""COMPUTED_VALUE"""),"72679082")</f>
        <v>72679082</v>
      </c>
      <c r="L32" s="146" t="str">
        <f>IFERROR(__xludf.DUMMYFUNCTION("""COMPUTED_VALUE"""),"DANIEL OCTAVIO LUDEÑA ROJAS")</f>
        <v>DANIEL OCTAVIO LUDEÑA ROJAS</v>
      </c>
      <c r="M32" s="146" t="str">
        <f>IFERROR(__xludf.DUMMYFUNCTION("""COMPUTED_VALUE"""),"PIURA")</f>
        <v>PIURA</v>
      </c>
      <c r="N32" s="146" t="str">
        <f>IFERROR(__xludf.DUMMYFUNCTION("""COMPUTED_VALUE"""),"2PLAY + TELF")</f>
        <v>2PLAY + TELF</v>
      </c>
      <c r="O32" s="146" t="str">
        <f>IFERROR(__xludf.DUMMYFUNCTION("""COMPUTED_VALUE"""),"Campaña Regular")</f>
        <v>Campaña Regular</v>
      </c>
      <c r="P32" s="152">
        <f>IFERROR(__xludf.DUMMYFUNCTION("""COMPUTED_VALUE"""),94.0)</f>
        <v>94</v>
      </c>
      <c r="Q32" s="151">
        <f>IFERROR(__xludf.DUMMYFUNCTION("""COMPUTED_VALUE"""),46205.0)</f>
        <v>46205</v>
      </c>
      <c r="R32" s="153">
        <f t="shared" si="1"/>
        <v>46205</v>
      </c>
    </row>
    <row r="33">
      <c r="C33" s="148" t="s">
        <v>575</v>
      </c>
      <c r="D33" s="149" t="s">
        <v>576</v>
      </c>
      <c r="E33" s="150">
        <v>46206.0</v>
      </c>
      <c r="F33" s="149" t="s">
        <v>460</v>
      </c>
      <c r="G33" s="149" t="s">
        <v>454</v>
      </c>
      <c r="H33" s="151">
        <f t="array" ref="H33">IF(C33&lt;&gt;"", INDEX(PREVENTAS!$A$2:$CB990,MATCH(C33,PREVENTAS!$L$2:$L990,0),72),"")</f>
        <v>46206</v>
      </c>
      <c r="K33" s="146" t="str">
        <f>IFERROR(__xludf.DUMMYFUNCTION("""COMPUTED_VALUE"""),"78717821")</f>
        <v>78717821</v>
      </c>
      <c r="L33" s="146" t="str">
        <f>IFERROR(__xludf.DUMMYFUNCTION("""COMPUTED_VALUE"""),"ADRIANA MARIA NATALIA RIVAS GRIMALDO")</f>
        <v>ADRIANA MARIA NATALIA RIVAS GRIMALDO</v>
      </c>
      <c r="M33" s="146" t="str">
        <f>IFERROR(__xludf.DUMMYFUNCTION("""COMPUTED_VALUE"""),"LIMA METROPOLITANA")</f>
        <v>LIMA METROPOLITANA</v>
      </c>
      <c r="N33" s="146" t="str">
        <f>IFERROR(__xludf.DUMMYFUNCTION("""COMPUTED_VALUE"""),"2PLAY + TELF")</f>
        <v>2PLAY + TELF</v>
      </c>
      <c r="O33" s="146" t="str">
        <f>IFERROR(__xludf.DUMMYFUNCTION("""COMPUTED_VALUE"""),"Campaña Regular")</f>
        <v>Campaña Regular</v>
      </c>
      <c r="P33" s="152">
        <f>IFERROR(__xludf.DUMMYFUNCTION("""COMPUTED_VALUE"""),94.0)</f>
        <v>94</v>
      </c>
      <c r="Q33" s="151">
        <f>IFERROR(__xludf.DUMMYFUNCTION("""COMPUTED_VALUE"""),46205.0)</f>
        <v>46205</v>
      </c>
      <c r="R33" s="153">
        <f t="shared" si="1"/>
        <v>46205</v>
      </c>
    </row>
    <row r="34">
      <c r="C34" s="148" t="s">
        <v>579</v>
      </c>
      <c r="D34" s="149" t="s">
        <v>580</v>
      </c>
      <c r="E34" s="150">
        <v>46206.0</v>
      </c>
      <c r="F34" s="149" t="s">
        <v>470</v>
      </c>
      <c r="G34" s="149" t="s">
        <v>471</v>
      </c>
      <c r="H34" s="151">
        <f t="array" ref="H34">IF(C34&lt;&gt;"", INDEX(PREVENTAS!$A$2:$CB990,MATCH(C34,PREVENTAS!$L$2:$L990,0),72),"")</f>
        <v>46206</v>
      </c>
      <c r="K34" s="146" t="str">
        <f>IFERROR(__xludf.DUMMYFUNCTION("""COMPUTED_VALUE"""),"09989234")</f>
        <v>09989234</v>
      </c>
      <c r="L34" s="146" t="str">
        <f>IFERROR(__xludf.DUMMYFUNCTION("""COMPUTED_VALUE"""),"DINO IVAN GALLARDO ESTELA")</f>
        <v>DINO IVAN GALLARDO ESTELA</v>
      </c>
      <c r="M34" s="146" t="str">
        <f>IFERROR(__xludf.DUMMYFUNCTION("""COMPUTED_VALUE"""),"LIMA METROPOLITANA")</f>
        <v>LIMA METROPOLITANA</v>
      </c>
      <c r="N34" s="146" t="str">
        <f>IFERROR(__xludf.DUMMYFUNCTION("""COMPUTED_VALUE"""),"1 PLAY")</f>
        <v>1 PLAY</v>
      </c>
      <c r="O34" s="146" t="str">
        <f>IFERROR(__xludf.DUMMYFUNCTION("""COMPUTED_VALUE"""),"Campaña Promo Mediana")</f>
        <v>Campaña Promo Mediana</v>
      </c>
      <c r="P34" s="152">
        <f>IFERROR(__xludf.DUMMYFUNCTION("""COMPUTED_VALUE"""),89.0)</f>
        <v>89</v>
      </c>
      <c r="Q34" s="151">
        <f>IFERROR(__xludf.DUMMYFUNCTION("""COMPUTED_VALUE"""),46206.0)</f>
        <v>46206</v>
      </c>
      <c r="R34" s="153">
        <f t="shared" si="1"/>
        <v>46206</v>
      </c>
    </row>
    <row r="35">
      <c r="C35" s="148" t="s">
        <v>586</v>
      </c>
      <c r="D35" s="149" t="s">
        <v>588</v>
      </c>
      <c r="E35" s="150">
        <v>46206.0</v>
      </c>
      <c r="F35" s="149" t="s">
        <v>464</v>
      </c>
      <c r="G35" s="149" t="s">
        <v>440</v>
      </c>
      <c r="H35" s="151">
        <f t="array" ref="H35">IF(C35&lt;&gt;"", INDEX(PREVENTAS!$A$2:$CB990,MATCH(C35,PREVENTAS!$L$2:$L990,0),72),"")</f>
        <v>46206</v>
      </c>
      <c r="K35" s="146" t="str">
        <f>IFERROR(__xludf.DUMMYFUNCTION("""COMPUTED_VALUE"""),"72118081")</f>
        <v>72118081</v>
      </c>
      <c r="L35" s="146" t="str">
        <f>IFERROR(__xludf.DUMMYFUNCTION("""COMPUTED_VALUE"""),"ESTHER JHAJANDRA, SANTIAGO HUANCA")</f>
        <v>ESTHER JHAJANDRA, SANTIAGO HUANCA</v>
      </c>
      <c r="M35" s="146" t="str">
        <f>IFERROR(__xludf.DUMMYFUNCTION("""COMPUTED_VALUE"""),"HUANUCO")</f>
        <v>HUANUCO</v>
      </c>
      <c r="N35" s="146" t="str">
        <f>IFERROR(__xludf.DUMMYFUNCTION("""COMPUTED_VALUE"""),"2PLAY + TELF")</f>
        <v>2PLAY + TELF</v>
      </c>
      <c r="O35" s="146" t="str">
        <f>IFERROR(__xludf.DUMMYFUNCTION("""COMPUTED_VALUE"""),"Campaña Regular")</f>
        <v>Campaña Regular</v>
      </c>
      <c r="P35" s="152">
        <f>IFERROR(__xludf.DUMMYFUNCTION("""COMPUTED_VALUE"""),94.0)</f>
        <v>94</v>
      </c>
      <c r="Q35" s="151">
        <f>IFERROR(__xludf.DUMMYFUNCTION("""COMPUTED_VALUE"""),46206.0)</f>
        <v>46206</v>
      </c>
      <c r="R35" s="153">
        <f t="shared" si="1"/>
        <v>46206</v>
      </c>
    </row>
    <row r="36">
      <c r="C36" s="148" t="s">
        <v>589</v>
      </c>
      <c r="D36" s="149" t="s">
        <v>590</v>
      </c>
      <c r="E36" s="150">
        <v>46206.0</v>
      </c>
      <c r="F36" s="149" t="s">
        <v>441</v>
      </c>
      <c r="G36" s="149" t="s">
        <v>442</v>
      </c>
      <c r="H36" s="151">
        <f t="array" ref="H36">IF(C36&lt;&gt;"", INDEX(PREVENTAS!$A$2:$CB990,MATCH(C36,PREVENTAS!$L$2:$L990,0),72),"")</f>
        <v>46206</v>
      </c>
      <c r="K36" s="146" t="str">
        <f>IFERROR(__xludf.DUMMYFUNCTION("""COMPUTED_VALUE"""),"29676009")</f>
        <v>29676009</v>
      </c>
      <c r="L36" s="146" t="str">
        <f>IFERROR(__xludf.DUMMYFUNCTION("""COMPUTED_VALUE"""),"YESENIA TERESA CASTRO NINACONDOR")</f>
        <v>YESENIA TERESA CASTRO NINACONDOR</v>
      </c>
      <c r="M36" s="146" t="str">
        <f>IFERROR(__xludf.DUMMYFUNCTION("""COMPUTED_VALUE"""),"AREQUIPA")</f>
        <v>AREQUIPA</v>
      </c>
      <c r="N36" s="146" t="str">
        <f>IFERROR(__xludf.DUMMYFUNCTION("""COMPUTED_VALUE"""),"2PLAY + TELF")</f>
        <v>2PLAY + TELF</v>
      </c>
      <c r="O36" s="146" t="str">
        <f>IFERROR(__xludf.DUMMYFUNCTION("""COMPUTED_VALUE"""),"Campaña Regular")</f>
        <v>Campaña Regular</v>
      </c>
      <c r="P36" s="152">
        <f>IFERROR(__xludf.DUMMYFUNCTION("""COMPUTED_VALUE"""),94.0)</f>
        <v>94</v>
      </c>
      <c r="Q36" s="151">
        <f>IFERROR(__xludf.DUMMYFUNCTION("""COMPUTED_VALUE"""),46206.0)</f>
        <v>46206</v>
      </c>
      <c r="R36" s="153">
        <f t="shared" si="1"/>
        <v>46206</v>
      </c>
    </row>
    <row r="37">
      <c r="C37" s="148" t="s">
        <v>591</v>
      </c>
      <c r="D37" s="149" t="s">
        <v>592</v>
      </c>
      <c r="E37" s="150">
        <v>46206.0</v>
      </c>
      <c r="F37" s="149" t="s">
        <v>441</v>
      </c>
      <c r="G37" s="149" t="s">
        <v>442</v>
      </c>
      <c r="H37" s="151">
        <f t="array" ref="H37">IF(C37&lt;&gt;"", INDEX(PREVENTAS!$A$2:$CB990,MATCH(C37,PREVENTAS!$L$2:$L990,0),72),"")</f>
        <v>46206</v>
      </c>
      <c r="K37" s="146" t="str">
        <f>IFERROR(__xludf.DUMMYFUNCTION("""COMPUTED_VALUE"""),"06430190")</f>
        <v>06430190</v>
      </c>
      <c r="L37" s="146" t="str">
        <f>IFERROR(__xludf.DUMMYFUNCTION("""COMPUTED_VALUE"""),"CESAR AUGUSTO ALARCON FARFAN")</f>
        <v>CESAR AUGUSTO ALARCON FARFAN</v>
      </c>
      <c r="M37" s="146" t="str">
        <f>IFERROR(__xludf.DUMMYFUNCTION("""COMPUTED_VALUE"""),"LIMA METROPOLITANA")</f>
        <v>LIMA METROPOLITANA</v>
      </c>
      <c r="N37" s="146" t="str">
        <f>IFERROR(__xludf.DUMMYFUNCTION("""COMPUTED_VALUE"""),"1 PLAY + L1MAX")</f>
        <v>1 PLAY + L1MAX</v>
      </c>
      <c r="O37" s="146" t="str">
        <f>IFERROR(__xludf.DUMMYFUNCTION("""COMPUTED_VALUE"""),"Campaña Regular PRO")</f>
        <v>Campaña Regular PRO</v>
      </c>
      <c r="P37" s="152">
        <f>IFERROR(__xludf.DUMMYFUNCTION("""COMPUTED_VALUE"""),110.0)</f>
        <v>110</v>
      </c>
      <c r="Q37" s="151">
        <f>IFERROR(__xludf.DUMMYFUNCTION("""COMPUTED_VALUE"""),46206.0)</f>
        <v>46206</v>
      </c>
      <c r="R37" s="153">
        <f t="shared" si="1"/>
        <v>46206</v>
      </c>
    </row>
    <row r="38">
      <c r="C38" s="148" t="s">
        <v>596</v>
      </c>
      <c r="D38" s="149" t="s">
        <v>597</v>
      </c>
      <c r="E38" s="150">
        <v>46206.0</v>
      </c>
      <c r="F38" s="149" t="s">
        <v>441</v>
      </c>
      <c r="G38" s="149" t="s">
        <v>442</v>
      </c>
      <c r="H38" s="151">
        <f t="array" ref="H38">IF(C38&lt;&gt;"", INDEX(PREVENTAS!$A$2:$CB990,MATCH(C38,PREVENTAS!$L$2:$L990,0),72),"")</f>
        <v>46206</v>
      </c>
      <c r="K38" s="146" t="str">
        <f>IFERROR(__xludf.DUMMYFUNCTION("""COMPUTED_VALUE"""),"26961099")</f>
        <v>26961099</v>
      </c>
      <c r="L38" s="146" t="str">
        <f>IFERROR(__xludf.DUMMYFUNCTION("""COMPUTED_VALUE"""),"CESAR WILMAN SALAZAR GAMBOA")</f>
        <v>CESAR WILMAN SALAZAR GAMBOA</v>
      </c>
      <c r="M38" s="146" t="str">
        <f>IFERROR(__xludf.DUMMYFUNCTION("""COMPUTED_VALUE"""),"CAJAMARCA")</f>
        <v>CAJAMARCA</v>
      </c>
      <c r="N38" s="146" t="str">
        <f>IFERROR(__xludf.DUMMYFUNCTION("""COMPUTED_VALUE"""),"1 PLAY")</f>
        <v>1 PLAY</v>
      </c>
      <c r="O38" s="146" t="str">
        <f>IFERROR(__xludf.DUMMYFUNCTION("""COMPUTED_VALUE"""),"Campaña Regular")</f>
        <v>Campaña Regular</v>
      </c>
      <c r="P38" s="152">
        <f>IFERROR(__xludf.DUMMYFUNCTION("""COMPUTED_VALUE"""),100.0)</f>
        <v>100</v>
      </c>
      <c r="Q38" s="151">
        <f>IFERROR(__xludf.DUMMYFUNCTION("""COMPUTED_VALUE"""),46206.0)</f>
        <v>46206</v>
      </c>
      <c r="R38" s="153">
        <f t="shared" si="1"/>
        <v>46206</v>
      </c>
    </row>
    <row r="39">
      <c r="C39" s="148" t="s">
        <v>599</v>
      </c>
      <c r="D39" s="149" t="s">
        <v>600</v>
      </c>
      <c r="E39" s="150">
        <v>46206.0</v>
      </c>
      <c r="F39" s="149" t="s">
        <v>441</v>
      </c>
      <c r="G39" s="149" t="s">
        <v>442</v>
      </c>
      <c r="H39" s="151">
        <f t="array" ref="H39">IF(C39&lt;&gt;"", INDEX(PREVENTAS!$A$2:$CB990,MATCH(C39,PREVENTAS!$L$2:$L990,0),72),"")</f>
        <v>46206</v>
      </c>
      <c r="K39" s="146" t="str">
        <f>IFERROR(__xludf.DUMMYFUNCTION("""COMPUTED_VALUE"""),"45622906")</f>
        <v>45622906</v>
      </c>
      <c r="L39" s="146" t="str">
        <f>IFERROR(__xludf.DUMMYFUNCTION("""COMPUTED_VALUE"""),"FABIOLA ISABEL PEREZ IBARRA")</f>
        <v>FABIOLA ISABEL PEREZ IBARRA</v>
      </c>
      <c r="M39" s="146" t="str">
        <f>IFERROR(__xludf.DUMMYFUNCTION("""COMPUTED_VALUE"""),"CUSCO")</f>
        <v>CUSCO</v>
      </c>
      <c r="N39" s="146" t="str">
        <f>IFERROR(__xludf.DUMMYFUNCTION("""COMPUTED_VALUE"""),"1 PLAY")</f>
        <v>1 PLAY</v>
      </c>
      <c r="O39" s="146" t="str">
        <f>IFERROR(__xludf.DUMMYFUNCTION("""COMPUTED_VALUE"""),"Campaña Promo Mediana")</f>
        <v>Campaña Promo Mediana</v>
      </c>
      <c r="P39" s="152">
        <f>IFERROR(__xludf.DUMMYFUNCTION("""COMPUTED_VALUE"""),89.0)</f>
        <v>89</v>
      </c>
      <c r="Q39" s="151">
        <f>IFERROR(__xludf.DUMMYFUNCTION("""COMPUTED_VALUE"""),46207.0)</f>
        <v>46207</v>
      </c>
      <c r="R39" s="153">
        <f t="shared" si="1"/>
        <v>46207</v>
      </c>
    </row>
    <row r="40">
      <c r="C40" s="148" t="s">
        <v>601</v>
      </c>
      <c r="D40" s="149" t="s">
        <v>602</v>
      </c>
      <c r="E40" s="150">
        <v>46206.0</v>
      </c>
      <c r="F40" s="149" t="s">
        <v>460</v>
      </c>
      <c r="G40" s="149" t="s">
        <v>454</v>
      </c>
      <c r="H40" s="151">
        <f t="array" ref="H40">IF(C40&lt;&gt;"", INDEX(PREVENTAS!$A$2:$CB990,MATCH(C40,PREVENTAS!$L$2:$L990,0),72),"")</f>
        <v>46206</v>
      </c>
      <c r="K40" s="146" t="str">
        <f>IFERROR(__xludf.DUMMYFUNCTION("""COMPUTED_VALUE"""),"48046824")</f>
        <v>48046824</v>
      </c>
      <c r="L40" s="146" t="str">
        <f>IFERROR(__xludf.DUMMYFUNCTION("""COMPUTED_VALUE"""),"BEYKER VIERA ARIZA")</f>
        <v>BEYKER VIERA ARIZA</v>
      </c>
      <c r="M40" s="146" t="str">
        <f>IFERROR(__xludf.DUMMYFUNCTION("""COMPUTED_VALUE"""),"LIMA METROPOLITANA")</f>
        <v>LIMA METROPOLITANA</v>
      </c>
      <c r="N40" s="146" t="str">
        <f>IFERROR(__xludf.DUMMYFUNCTION("""COMPUTED_VALUE"""),"2PLAY + TELF")</f>
        <v>2PLAY + TELF</v>
      </c>
      <c r="O40" s="146" t="str">
        <f>IFERROR(__xludf.DUMMYFUNCTION("""COMPUTED_VALUE"""),"Campaña Regular")</f>
        <v>Campaña Regular</v>
      </c>
      <c r="P40" s="152">
        <f>IFERROR(__xludf.DUMMYFUNCTION("""COMPUTED_VALUE"""),94.0)</f>
        <v>94</v>
      </c>
      <c r="Q40" s="151">
        <f>IFERROR(__xludf.DUMMYFUNCTION("""COMPUTED_VALUE"""),46209.0)</f>
        <v>46209</v>
      </c>
      <c r="R40" s="153">
        <f t="shared" si="1"/>
        <v>46209</v>
      </c>
    </row>
    <row r="41">
      <c r="C41" s="148" t="s">
        <v>603</v>
      </c>
      <c r="D41" s="149" t="s">
        <v>604</v>
      </c>
      <c r="E41" s="150">
        <v>46207.0</v>
      </c>
      <c r="F41" s="149" t="s">
        <v>460</v>
      </c>
      <c r="G41" s="149" t="s">
        <v>454</v>
      </c>
      <c r="H41" s="151">
        <f t="array" ref="H41">IF(C41&lt;&gt;"", INDEX(PREVENTAS!$A$2:$CB990,MATCH(C41,PREVENTAS!$L$2:$L990,0),72),"")</f>
        <v>46207</v>
      </c>
      <c r="K41" s="146" t="str">
        <f>IFERROR(__xludf.DUMMYFUNCTION("""COMPUTED_VALUE"""),"41841147")</f>
        <v>41841147</v>
      </c>
      <c r="L41" s="146" t="str">
        <f>IFERROR(__xludf.DUMMYFUNCTION("""COMPUTED_VALUE"""),"PRINCIPE DE LA CRUZ, JACKSON ALEJANDRO")</f>
        <v>PRINCIPE DE LA CRUZ, JACKSON ALEJANDRO</v>
      </c>
      <c r="M41" s="146" t="str">
        <f>IFERROR(__xludf.DUMMYFUNCTION("""COMPUTED_VALUE"""),"LIMA METROPOLITANA")</f>
        <v>LIMA METROPOLITANA</v>
      </c>
      <c r="N41" s="146" t="str">
        <f>IFERROR(__xludf.DUMMYFUNCTION("""COMPUTED_VALUE"""),"2PLAY + TELF")</f>
        <v>2PLAY + TELF</v>
      </c>
      <c r="O41" s="146" t="str">
        <f>IFERROR(__xludf.DUMMYFUNCTION("""COMPUTED_VALUE"""),"Campaña Regular")</f>
        <v>Campaña Regular</v>
      </c>
      <c r="P41" s="152">
        <f>IFERROR(__xludf.DUMMYFUNCTION("""COMPUTED_VALUE"""),94.0)</f>
        <v>94</v>
      </c>
      <c r="Q41" s="151">
        <f>IFERROR(__xludf.DUMMYFUNCTION("""COMPUTED_VALUE"""),46204.0)</f>
        <v>46204</v>
      </c>
      <c r="R41" s="153">
        <f t="shared" si="1"/>
        <v>46204</v>
      </c>
    </row>
    <row r="42">
      <c r="C42" s="148" t="s">
        <v>607</v>
      </c>
      <c r="D42" s="149" t="s">
        <v>608</v>
      </c>
      <c r="E42" s="150">
        <v>46207.0</v>
      </c>
      <c r="F42" s="149" t="s">
        <v>441</v>
      </c>
      <c r="G42" s="149" t="s">
        <v>442</v>
      </c>
      <c r="H42" s="151">
        <f t="array" ref="H42">IF(C42&lt;&gt;"", INDEX(PREVENTAS!$A$2:$CB990,MATCH(C42,PREVENTAS!$L$2:$L990,0),72),"")</f>
        <v>46207</v>
      </c>
      <c r="K42" s="146" t="str">
        <f>IFERROR(__xludf.DUMMYFUNCTION("""COMPUTED_VALUE"""),"70513122")</f>
        <v>70513122</v>
      </c>
      <c r="L42" s="146" t="str">
        <f>IFERROR(__xludf.DUMMYFUNCTION("""COMPUTED_VALUE"""),"LOURDES LILIANA IBAÑEZ ARQUEROS")</f>
        <v>LOURDES LILIANA IBAÑEZ ARQUEROS</v>
      </c>
      <c r="M42" s="146" t="str">
        <f>IFERROR(__xludf.DUMMYFUNCTION("""COMPUTED_VALUE"""),"LA LIBERTAD")</f>
        <v>LA LIBERTAD</v>
      </c>
      <c r="N42" s="146" t="str">
        <f>IFERROR(__xludf.DUMMYFUNCTION("""COMPUTED_VALUE"""),"1 PLAY")</f>
        <v>1 PLAY</v>
      </c>
      <c r="O42" s="146" t="str">
        <f>IFERROR(__xludf.DUMMYFUNCTION("""COMPUTED_VALUE"""),"Campaña Regular")</f>
        <v>Campaña Regular</v>
      </c>
      <c r="P42" s="152">
        <f>IFERROR(__xludf.DUMMYFUNCTION("""COMPUTED_VALUE"""),69.0)</f>
        <v>69</v>
      </c>
      <c r="Q42" s="151">
        <f>IFERROR(__xludf.DUMMYFUNCTION("""COMPUTED_VALUE"""),46205.0)</f>
        <v>46205</v>
      </c>
      <c r="R42" s="153">
        <f t="shared" si="1"/>
        <v>46205</v>
      </c>
    </row>
    <row r="43">
      <c r="C43" s="148" t="s">
        <v>613</v>
      </c>
      <c r="D43" s="149" t="s">
        <v>614</v>
      </c>
      <c r="E43" s="150">
        <v>46207.0</v>
      </c>
      <c r="F43" s="149" t="s">
        <v>441</v>
      </c>
      <c r="G43" s="149" t="s">
        <v>442</v>
      </c>
      <c r="H43" s="151">
        <f t="array" ref="H43">IF(C43&lt;&gt;"", INDEX(PREVENTAS!$A$2:$CB990,MATCH(C43,PREVENTAS!$L$2:$L990,0),72),"")</f>
        <v>46207</v>
      </c>
      <c r="K43" s="146" t="str">
        <f>IFERROR(__xludf.DUMMYFUNCTION("""COMPUTED_VALUE"""),"43268116")</f>
        <v>43268116</v>
      </c>
      <c r="L43" s="146" t="str">
        <f>IFERROR(__xludf.DUMMYFUNCTION("""COMPUTED_VALUE"""),"CARMEN DEL ROSARIO ARISPE PINELO")</f>
        <v>CARMEN DEL ROSARIO ARISPE PINELO</v>
      </c>
      <c r="M43" s="146" t="str">
        <f>IFERROR(__xludf.DUMMYFUNCTION("""COMPUTED_VALUE"""),"AREQUIPA")</f>
        <v>AREQUIPA</v>
      </c>
      <c r="N43" s="146" t="str">
        <f>IFERROR(__xludf.DUMMYFUNCTION("""COMPUTED_VALUE"""),"2PLAY + TELF")</f>
        <v>2PLAY + TELF</v>
      </c>
      <c r="O43" s="146" t="str">
        <f>IFERROR(__xludf.DUMMYFUNCTION("""COMPUTED_VALUE"""),"Campaña Regular")</f>
        <v>Campaña Regular</v>
      </c>
      <c r="P43" s="152">
        <f>IFERROR(__xludf.DUMMYFUNCTION("""COMPUTED_VALUE"""),94.0)</f>
        <v>94</v>
      </c>
      <c r="Q43" s="151">
        <f>IFERROR(__xludf.DUMMYFUNCTION("""COMPUTED_VALUE"""),46206.0)</f>
        <v>46206</v>
      </c>
      <c r="R43" s="153">
        <f t="shared" si="1"/>
        <v>46206</v>
      </c>
    </row>
    <row r="44">
      <c r="C44" s="148" t="s">
        <v>616</v>
      </c>
      <c r="D44" s="149" t="s">
        <v>617</v>
      </c>
      <c r="E44" s="150">
        <v>46207.0</v>
      </c>
      <c r="F44" s="149" t="s">
        <v>505</v>
      </c>
      <c r="G44" s="149" t="s">
        <v>506</v>
      </c>
      <c r="H44" s="151">
        <f t="array" ref="H44">IF(C44&lt;&gt;"", INDEX(PREVENTAS!$A$2:$CB990,MATCH(C44,PREVENTAS!$L$2:$L990,0),72),"")</f>
        <v>46207</v>
      </c>
      <c r="K44" s="146" t="str">
        <f>IFERROR(__xludf.DUMMYFUNCTION("""COMPUTED_VALUE"""),"70478746")</f>
        <v>70478746</v>
      </c>
      <c r="L44" s="146" t="str">
        <f>IFERROR(__xludf.DUMMYFUNCTION("""COMPUTED_VALUE"""),"LUIS UDWALKER PALACIOS QUISPE")</f>
        <v>LUIS UDWALKER PALACIOS QUISPE</v>
      </c>
      <c r="M44" s="146" t="str">
        <f>IFERROR(__xludf.DUMMYFUNCTION("""COMPUTED_VALUE"""),"JUNIN")</f>
        <v>JUNIN</v>
      </c>
      <c r="N44" s="146" t="str">
        <f>IFERROR(__xludf.DUMMYFUNCTION("""COMPUTED_VALUE"""),"1 PLAY")</f>
        <v>1 PLAY</v>
      </c>
      <c r="O44" s="146" t="str">
        <f>IFERROR(__xludf.DUMMYFUNCTION("""COMPUTED_VALUE"""),"Campaña Promo Mediana")</f>
        <v>Campaña Promo Mediana</v>
      </c>
      <c r="P44" s="152">
        <f>IFERROR(__xludf.DUMMYFUNCTION("""COMPUTED_VALUE"""),89.0)</f>
        <v>89</v>
      </c>
      <c r="Q44" s="151">
        <f>IFERROR(__xludf.DUMMYFUNCTION("""COMPUTED_VALUE"""),46206.0)</f>
        <v>46206</v>
      </c>
      <c r="R44" s="153">
        <f t="shared" si="1"/>
        <v>46206</v>
      </c>
    </row>
    <row r="45">
      <c r="C45" s="148" t="s">
        <v>618</v>
      </c>
      <c r="D45" s="149" t="s">
        <v>619</v>
      </c>
      <c r="E45" s="150">
        <v>46208.0</v>
      </c>
      <c r="F45" s="149" t="s">
        <v>460</v>
      </c>
      <c r="G45" s="149" t="s">
        <v>454</v>
      </c>
      <c r="H45" s="151">
        <f t="array" ref="H45">IF(C45&lt;&gt;"", INDEX(PREVENTAS!$A$2:$CB990,MATCH(C45,PREVENTAS!$L$2:$L990,0),72),"")</f>
        <v>46208</v>
      </c>
      <c r="K45" s="146" t="str">
        <f>IFERROR(__xludf.DUMMYFUNCTION("""COMPUTED_VALUE"""),"42246169")</f>
        <v>42246169</v>
      </c>
      <c r="L45" s="146" t="str">
        <f>IFERROR(__xludf.DUMMYFUNCTION("""COMPUTED_VALUE"""),"ALVARO HERNANDEZ ROJAS")</f>
        <v>ALVARO HERNANDEZ ROJAS</v>
      </c>
      <c r="M45" s="146" t="str">
        <f>IFERROR(__xludf.DUMMYFUNCTION("""COMPUTED_VALUE"""),"CAJAMARCA")</f>
        <v>CAJAMARCA</v>
      </c>
      <c r="N45" s="146" t="str">
        <f>IFERROR(__xludf.DUMMYFUNCTION("""COMPUTED_VALUE"""),"2PLAY + TELF")</f>
        <v>2PLAY + TELF</v>
      </c>
      <c r="O45" s="146" t="str">
        <f>IFERROR(__xludf.DUMMYFUNCTION("""COMPUTED_VALUE"""),"Campaña Regular")</f>
        <v>Campaña Regular</v>
      </c>
      <c r="P45" s="152">
        <f>IFERROR(__xludf.DUMMYFUNCTION("""COMPUTED_VALUE"""),94.0)</f>
        <v>94</v>
      </c>
      <c r="Q45" s="151">
        <f>IFERROR(__xludf.DUMMYFUNCTION("""COMPUTED_VALUE"""),46206.0)</f>
        <v>46206</v>
      </c>
      <c r="R45" s="153">
        <f t="shared" si="1"/>
        <v>46206</v>
      </c>
    </row>
    <row r="46">
      <c r="C46" s="148" t="s">
        <v>620</v>
      </c>
      <c r="D46" s="149" t="s">
        <v>621</v>
      </c>
      <c r="E46" s="150">
        <v>46209.0</v>
      </c>
      <c r="F46" s="149" t="s">
        <v>441</v>
      </c>
      <c r="G46" s="149" t="s">
        <v>442</v>
      </c>
      <c r="H46" s="151">
        <f t="array" ref="H46">IF(C46&lt;&gt;"", INDEX(PREVENTAS!$A$2:$CB990,MATCH(C46,PREVENTAS!$L$2:$L990,0),72),"")</f>
        <v>46209</v>
      </c>
      <c r="K46" s="146" t="str">
        <f>IFERROR(__xludf.DUMMYFUNCTION("""COMPUTED_VALUE"""),"29384671")</f>
        <v>29384671</v>
      </c>
      <c r="L46" s="146" t="str">
        <f>IFERROR(__xludf.DUMMYFUNCTION("""COMPUTED_VALUE"""),"ROSA ALBINA LLUNCO PAMPA")</f>
        <v>ROSA ALBINA LLUNCO PAMPA</v>
      </c>
      <c r="M46" s="146" t="str">
        <f>IFERROR(__xludf.DUMMYFUNCTION("""COMPUTED_VALUE"""),"AREQUIPA")</f>
        <v>AREQUIPA</v>
      </c>
      <c r="N46" s="146" t="str">
        <f>IFERROR(__xludf.DUMMYFUNCTION("""COMPUTED_VALUE"""),"2PLAY + TELF")</f>
        <v>2PLAY + TELF</v>
      </c>
      <c r="O46" s="146" t="str">
        <f>IFERROR(__xludf.DUMMYFUNCTION("""COMPUTED_VALUE"""),"Campaña Regular")</f>
        <v>Campaña Regular</v>
      </c>
      <c r="P46" s="152">
        <f>IFERROR(__xludf.DUMMYFUNCTION("""COMPUTED_VALUE"""),94.0)</f>
        <v>94</v>
      </c>
      <c r="Q46" s="151">
        <f>IFERROR(__xludf.DUMMYFUNCTION("""COMPUTED_VALUE"""),46207.0)</f>
        <v>46207</v>
      </c>
      <c r="R46" s="153">
        <f t="shared" si="1"/>
        <v>46207</v>
      </c>
    </row>
    <row r="47">
      <c r="C47" s="148" t="s">
        <v>622</v>
      </c>
      <c r="D47" s="149" t="s">
        <v>623</v>
      </c>
      <c r="E47" s="150">
        <v>46209.0</v>
      </c>
      <c r="F47" s="149" t="s">
        <v>624</v>
      </c>
      <c r="G47" s="149" t="s">
        <v>625</v>
      </c>
      <c r="H47" s="151">
        <f t="array" ref="H47">IF(C47&lt;&gt;"", INDEX(PREVENTAS!$A$2:$CB990,MATCH(C47,PREVENTAS!$L$2:$L990,0),72),"")</f>
        <v>46209</v>
      </c>
      <c r="K47" s="146" t="str">
        <f>IFERROR(__xludf.DUMMYFUNCTION("""COMPUTED_VALUE"""),"40534288")</f>
        <v>40534288</v>
      </c>
      <c r="L47" s="146" t="str">
        <f>IFERROR(__xludf.DUMMYFUNCTION("""COMPUTED_VALUE"""),"ROXANA CRISTINA FARFAN AYCHO")</f>
        <v>ROXANA CRISTINA FARFAN AYCHO</v>
      </c>
      <c r="M47" s="146" t="str">
        <f>IFERROR(__xludf.DUMMYFUNCTION("""COMPUTED_VALUE"""),"CALLAO")</f>
        <v>CALLAO</v>
      </c>
      <c r="N47" s="146" t="str">
        <f>IFERROR(__xludf.DUMMYFUNCTION("""COMPUTED_VALUE"""),"2PLAY + TELF")</f>
        <v>2PLAY + TELF</v>
      </c>
      <c r="O47" s="146" t="str">
        <f>IFERROR(__xludf.DUMMYFUNCTION("""COMPUTED_VALUE"""),"Campaña Relámpago")</f>
        <v>Campaña Relámpago</v>
      </c>
      <c r="P47" s="152">
        <f>IFERROR(__xludf.DUMMYFUNCTION("""COMPUTED_VALUE"""),94.0)</f>
        <v>94</v>
      </c>
      <c r="Q47" s="151">
        <f>IFERROR(__xludf.DUMMYFUNCTION("""COMPUTED_VALUE"""),46207.0)</f>
        <v>46207</v>
      </c>
      <c r="R47" s="153">
        <f t="shared" si="1"/>
        <v>46207</v>
      </c>
    </row>
    <row r="48">
      <c r="C48" s="148" t="s">
        <v>626</v>
      </c>
      <c r="D48" s="149" t="s">
        <v>627</v>
      </c>
      <c r="E48" s="150">
        <v>46209.0</v>
      </c>
      <c r="F48" s="149" t="s">
        <v>441</v>
      </c>
      <c r="G48" s="149" t="s">
        <v>442</v>
      </c>
      <c r="H48" s="151">
        <f t="array" ref="H48">IF(C48&lt;&gt;"", INDEX(PREVENTAS!$A$2:$CB990,MATCH(C48,PREVENTAS!$L$2:$L990,0),72),"")</f>
        <v>46209</v>
      </c>
      <c r="K48" s="146" t="str">
        <f>IFERROR(__xludf.DUMMYFUNCTION("""COMPUTED_VALUE"""),"73491323")</f>
        <v>73491323</v>
      </c>
      <c r="L48" s="146" t="str">
        <f>IFERROR(__xludf.DUMMYFUNCTION("""COMPUTED_VALUE"""),"ROXANA DEL PILAR YANCE SANCHEZ")</f>
        <v>ROXANA DEL PILAR YANCE SANCHEZ</v>
      </c>
      <c r="M48" s="146" t="str">
        <f>IFERROR(__xludf.DUMMYFUNCTION("""COMPUTED_VALUE"""),"LA LIBERTAD")</f>
        <v>LA LIBERTAD</v>
      </c>
      <c r="N48" s="146" t="str">
        <f>IFERROR(__xludf.DUMMYFUNCTION("""COMPUTED_VALUE"""),"1 PLAY")</f>
        <v>1 PLAY</v>
      </c>
      <c r="O48" s="146" t="str">
        <f>IFERROR(__xludf.DUMMYFUNCTION("""COMPUTED_VALUE"""),"Campaña Regular")</f>
        <v>Campaña Regular</v>
      </c>
      <c r="P48" s="152">
        <f>IFERROR(__xludf.DUMMYFUNCTION("""COMPUTED_VALUE"""),69.0)</f>
        <v>69</v>
      </c>
      <c r="Q48" s="151">
        <f>IFERROR(__xludf.DUMMYFUNCTION("""COMPUTED_VALUE"""),46207.0)</f>
        <v>46207</v>
      </c>
      <c r="R48" s="153">
        <f t="shared" si="1"/>
        <v>46207</v>
      </c>
    </row>
    <row r="49">
      <c r="C49" s="148" t="s">
        <v>631</v>
      </c>
      <c r="D49" s="149" t="s">
        <v>632</v>
      </c>
      <c r="E49" s="150">
        <v>46209.0</v>
      </c>
      <c r="F49" s="149" t="s">
        <v>633</v>
      </c>
      <c r="G49" s="149" t="s">
        <v>634</v>
      </c>
      <c r="H49" s="151">
        <f t="array" ref="H49">IF(C49&lt;&gt;"", INDEX(PREVENTAS!$A$2:$CB990,MATCH(C49,PREVENTAS!$L$2:$L990,0),72),"")</f>
        <v>46209</v>
      </c>
      <c r="K49" s="146" t="str">
        <f>IFERROR(__xludf.DUMMYFUNCTION("""COMPUTED_VALUE"""),"63081704")</f>
        <v>63081704</v>
      </c>
      <c r="L49" s="146" t="str">
        <f>IFERROR(__xludf.DUMMYFUNCTION("""COMPUTED_VALUE"""),"JHON RENATO CALDERON ARIAS")</f>
        <v>JHON RENATO CALDERON ARIAS</v>
      </c>
      <c r="M49" s="146" t="str">
        <f>IFERROR(__xludf.DUMMYFUNCTION("""COMPUTED_VALUE"""),"ANCASH")</f>
        <v>ANCASH</v>
      </c>
      <c r="N49" s="146" t="str">
        <f>IFERROR(__xludf.DUMMYFUNCTION("""COMPUTED_VALUE"""),"1 PLAY")</f>
        <v>1 PLAY</v>
      </c>
      <c r="O49" s="146" t="str">
        <f>IFERROR(__xludf.DUMMYFUNCTION("""COMPUTED_VALUE"""),"Campaña Promo Mediana")</f>
        <v>Campaña Promo Mediana</v>
      </c>
      <c r="P49" s="152">
        <f>IFERROR(__xludf.DUMMYFUNCTION("""COMPUTED_VALUE"""),89.0)</f>
        <v>89</v>
      </c>
      <c r="Q49" s="151">
        <f>IFERROR(__xludf.DUMMYFUNCTION("""COMPUTED_VALUE"""),46208.0)</f>
        <v>46208</v>
      </c>
      <c r="R49" s="153">
        <f t="shared" si="1"/>
        <v>46208</v>
      </c>
    </row>
    <row r="50">
      <c r="C50" s="148" t="s">
        <v>638</v>
      </c>
      <c r="D50" s="149" t="s">
        <v>639</v>
      </c>
      <c r="E50" s="150">
        <v>46209.0</v>
      </c>
      <c r="F50" s="149" t="s">
        <v>460</v>
      </c>
      <c r="G50" s="149" t="s">
        <v>454</v>
      </c>
      <c r="H50" s="151">
        <f t="array" ref="H50">IF(C50&lt;&gt;"", INDEX(PREVENTAS!$A$2:$CB990,MATCH(C50,PREVENTAS!$L$2:$L990,0),72),"")</f>
        <v>46209</v>
      </c>
      <c r="K50" s="146" t="str">
        <f>IFERROR(__xludf.DUMMYFUNCTION("""COMPUTED_VALUE"""),"48124956")</f>
        <v>48124956</v>
      </c>
      <c r="L50" s="146" t="str">
        <f>IFERROR(__xludf.DUMMYFUNCTION("""COMPUTED_VALUE"""),"VICTOR HUGO VILLALOBOS CAHUANA")</f>
        <v>VICTOR HUGO VILLALOBOS CAHUANA</v>
      </c>
      <c r="M50" s="146" t="str">
        <f>IFERROR(__xludf.DUMMYFUNCTION("""COMPUTED_VALUE"""),"JUNIN")</f>
        <v>JUNIN</v>
      </c>
      <c r="N50" s="146" t="str">
        <f>IFERROR(__xludf.DUMMYFUNCTION("""COMPUTED_VALUE"""),"1 PLAY")</f>
        <v>1 PLAY</v>
      </c>
      <c r="O50" s="146" t="str">
        <f>IFERROR(__xludf.DUMMYFUNCTION("""COMPUTED_VALUE"""),"Campaña Promo Mediana")</f>
        <v>Campaña Promo Mediana</v>
      </c>
      <c r="P50" s="152">
        <f>IFERROR(__xludf.DUMMYFUNCTION("""COMPUTED_VALUE"""),89.0)</f>
        <v>89</v>
      </c>
      <c r="Q50" s="151">
        <f>IFERROR(__xludf.DUMMYFUNCTION("""COMPUTED_VALUE"""),46209.0)</f>
        <v>46209</v>
      </c>
      <c r="R50" s="153">
        <f t="shared" si="1"/>
        <v>46209</v>
      </c>
    </row>
    <row r="51">
      <c r="C51" s="148" t="s">
        <v>640</v>
      </c>
      <c r="D51" s="149" t="s">
        <v>641</v>
      </c>
      <c r="E51" s="150">
        <v>46209.0</v>
      </c>
      <c r="F51" s="149" t="s">
        <v>441</v>
      </c>
      <c r="G51" s="149" t="s">
        <v>442</v>
      </c>
      <c r="H51" s="151">
        <f t="array" ref="H51">IF(C51&lt;&gt;"", INDEX(PREVENTAS!$A$2:$CB990,MATCH(C51,PREVENTAS!$L$2:$L990,0),72),"")</f>
        <v>46209</v>
      </c>
      <c r="K51" s="146" t="str">
        <f>IFERROR(__xludf.DUMMYFUNCTION("""COMPUTED_VALUE"""),"21856352")</f>
        <v>21856352</v>
      </c>
      <c r="L51" s="146" t="str">
        <f>IFERROR(__xludf.DUMMYFUNCTION("""COMPUTED_VALUE"""),"NATIVIDAD ADELA CHAVEZ HILARIO VDA DE ORTIZ")</f>
        <v>NATIVIDAD ADELA CHAVEZ HILARIO VDA DE ORTIZ</v>
      </c>
      <c r="M51" s="146" t="str">
        <f>IFERROR(__xludf.DUMMYFUNCTION("""COMPUTED_VALUE"""),"ICA")</f>
        <v>ICA</v>
      </c>
      <c r="N51" s="146" t="str">
        <f>IFERROR(__xludf.DUMMYFUNCTION("""COMPUTED_VALUE"""),"2PLAY + TELF")</f>
        <v>2PLAY + TELF</v>
      </c>
      <c r="O51" s="146" t="str">
        <f>IFERROR(__xludf.DUMMYFUNCTION("""COMPUTED_VALUE"""),"Campaña Regular")</f>
        <v>Campaña Regular</v>
      </c>
      <c r="P51" s="152">
        <f>IFERROR(__xludf.DUMMYFUNCTION("""COMPUTED_VALUE"""),94.0)</f>
        <v>94</v>
      </c>
      <c r="Q51" s="151">
        <f>IFERROR(__xludf.DUMMYFUNCTION("""COMPUTED_VALUE"""),46209.0)</f>
        <v>46209</v>
      </c>
      <c r="R51" s="153">
        <f t="shared" si="1"/>
        <v>46209</v>
      </c>
    </row>
    <row r="52">
      <c r="C52" s="148" t="s">
        <v>642</v>
      </c>
      <c r="D52" s="149" t="s">
        <v>643</v>
      </c>
      <c r="E52" s="150">
        <v>46210.0</v>
      </c>
      <c r="F52" s="149" t="s">
        <v>464</v>
      </c>
      <c r="G52" s="149" t="s">
        <v>440</v>
      </c>
      <c r="H52" s="151">
        <f t="array" ref="H52">IF(C52&lt;&gt;"", INDEX(PREVENTAS!$A$2:$CB990,MATCH(C52,PREVENTAS!$L$2:$L990,0),72),"")</f>
        <v>46210</v>
      </c>
      <c r="K52" s="146" t="str">
        <f>IFERROR(__xludf.DUMMYFUNCTION("""COMPUTED_VALUE"""),"29625180")</f>
        <v>29625180</v>
      </c>
      <c r="L52" s="146" t="str">
        <f>IFERROR(__xludf.DUMMYFUNCTION("""COMPUTED_VALUE"""),"ROSA CANDELARIA GOMEZ GONZALES")</f>
        <v>ROSA CANDELARIA GOMEZ GONZALES</v>
      </c>
      <c r="M52" s="146" t="str">
        <f>IFERROR(__xludf.DUMMYFUNCTION("""COMPUTED_VALUE"""),"AREQUIPA")</f>
        <v>AREQUIPA</v>
      </c>
      <c r="N52" s="146" t="str">
        <f>IFERROR(__xludf.DUMMYFUNCTION("""COMPUTED_VALUE"""),"1 PLAY")</f>
        <v>1 PLAY</v>
      </c>
      <c r="O52" s="146" t="str">
        <f>IFERROR(__xludf.DUMMYFUNCTION("""COMPUTED_VALUE"""),"Campaña Regular")</f>
        <v>Campaña Regular</v>
      </c>
      <c r="P52" s="152">
        <f>IFERROR(__xludf.DUMMYFUNCTION("""COMPUTED_VALUE"""),44.0)</f>
        <v>44</v>
      </c>
      <c r="Q52" s="151">
        <f>IFERROR(__xludf.DUMMYFUNCTION("""COMPUTED_VALUE"""),46209.0)</f>
        <v>46209</v>
      </c>
      <c r="R52" s="153">
        <f t="shared" si="1"/>
        <v>46209</v>
      </c>
    </row>
    <row r="53">
      <c r="C53" s="148" t="s">
        <v>647</v>
      </c>
      <c r="D53" s="149" t="s">
        <v>648</v>
      </c>
      <c r="E53" s="150">
        <v>46210.0</v>
      </c>
      <c r="F53" s="149" t="s">
        <v>624</v>
      </c>
      <c r="G53" s="149" t="s">
        <v>625</v>
      </c>
      <c r="H53" s="151">
        <f t="array" ref="H53">IF(C53&lt;&gt;"", INDEX(PREVENTAS!$A$2:$CB990,MATCH(C53,PREVENTAS!$L$2:$L990,0),72),"")</f>
        <v>46210</v>
      </c>
      <c r="K53" s="146" t="str">
        <f>IFERROR(__xludf.DUMMYFUNCTION("""COMPUTED_VALUE"""),"75886168")</f>
        <v>75886168</v>
      </c>
      <c r="L53" s="146" t="str">
        <f>IFERROR(__xludf.DUMMYFUNCTION("""COMPUTED_VALUE"""),"CESAR GIOVANY VARGAS DAVILA")</f>
        <v>CESAR GIOVANY VARGAS DAVILA</v>
      </c>
      <c r="M53" s="146" t="str">
        <f>IFERROR(__xludf.DUMMYFUNCTION("""COMPUTED_VALUE"""),"LIMA METROPOLITANA")</f>
        <v>LIMA METROPOLITANA</v>
      </c>
      <c r="N53" s="146" t="str">
        <f>IFERROR(__xludf.DUMMYFUNCTION("""COMPUTED_VALUE"""),"2PLAY + TELF")</f>
        <v>2PLAY + TELF</v>
      </c>
      <c r="O53" s="146" t="str">
        <f>IFERROR(__xludf.DUMMYFUNCTION("""COMPUTED_VALUE"""),"Campaña Regular")</f>
        <v>Campaña Regular</v>
      </c>
      <c r="P53" s="152">
        <f>IFERROR(__xludf.DUMMYFUNCTION("""COMPUTED_VALUE"""),94.0)</f>
        <v>94</v>
      </c>
      <c r="Q53" s="151">
        <f>IFERROR(__xludf.DUMMYFUNCTION("""COMPUTED_VALUE"""),46209.0)</f>
        <v>46209</v>
      </c>
      <c r="R53" s="153">
        <f t="shared" si="1"/>
        <v>46209</v>
      </c>
    </row>
    <row r="54">
      <c r="C54" s="148" t="s">
        <v>654</v>
      </c>
      <c r="D54" s="149" t="s">
        <v>655</v>
      </c>
      <c r="E54" s="150">
        <v>46210.0</v>
      </c>
      <c r="F54" s="149" t="s">
        <v>505</v>
      </c>
      <c r="G54" s="149" t="s">
        <v>506</v>
      </c>
      <c r="H54" s="151">
        <f t="array" ref="H54">IF(C54&lt;&gt;"", INDEX(PREVENTAS!$A$2:$CB990,MATCH(C54,PREVENTAS!$L$2:$L990,0),72),"")</f>
        <v>46210</v>
      </c>
      <c r="K54" s="146" t="str">
        <f>IFERROR(__xludf.DUMMYFUNCTION("""COMPUTED_VALUE"""),"46684565")</f>
        <v>46684565</v>
      </c>
      <c r="L54" s="146" t="str">
        <f>IFERROR(__xludf.DUMMYFUNCTION("""COMPUTED_VALUE"""),"OLGA HUAQUISTO MAMANI")</f>
        <v>OLGA HUAQUISTO MAMANI</v>
      </c>
      <c r="M54" s="146" t="str">
        <f>IFERROR(__xludf.DUMMYFUNCTION("""COMPUTED_VALUE"""),"LIMA")</f>
        <v>LIMA</v>
      </c>
      <c r="N54" s="146" t="str">
        <f>IFERROR(__xludf.DUMMYFUNCTION("""COMPUTED_VALUE"""),"2 PLAY + TV ESTANDAR")</f>
        <v>2 PLAY + TV ESTANDAR</v>
      </c>
      <c r="O54" s="146" t="str">
        <f>IFERROR(__xludf.DUMMYFUNCTION("""COMPUTED_VALUE"""),"Campaña Regular")</f>
        <v>Campaña Regular</v>
      </c>
      <c r="P54" s="152">
        <f>IFERROR(__xludf.DUMMYFUNCTION("""COMPUTED_VALUE"""),150.0)</f>
        <v>150</v>
      </c>
      <c r="Q54" s="151">
        <f>IFERROR(__xludf.DUMMYFUNCTION("""COMPUTED_VALUE"""),46209.0)</f>
        <v>46209</v>
      </c>
      <c r="R54" s="153">
        <f t="shared" si="1"/>
        <v>46209</v>
      </c>
    </row>
    <row r="55">
      <c r="C55" s="148" t="s">
        <v>656</v>
      </c>
      <c r="D55" s="149" t="s">
        <v>657</v>
      </c>
      <c r="E55" s="150">
        <v>46211.0</v>
      </c>
      <c r="F55" s="149" t="s">
        <v>528</v>
      </c>
      <c r="G55" s="149" t="s">
        <v>529</v>
      </c>
      <c r="H55" s="151">
        <f t="array" ref="H55">IF(C55&lt;&gt;"", INDEX(PREVENTAS!$A$2:$CB990,MATCH(C55,PREVENTAS!$L$2:$L990,0),72),"")</f>
        <v>46211</v>
      </c>
      <c r="K55" s="146" t="str">
        <f>IFERROR(__xludf.DUMMYFUNCTION("""COMPUTED_VALUE"""),"73125163")</f>
        <v>73125163</v>
      </c>
      <c r="L55" s="146" t="str">
        <f>IFERROR(__xludf.DUMMYFUNCTION("""COMPUTED_VALUE"""),"BRENDA ARACELLI ALBAN ARGOMEDO")</f>
        <v>BRENDA ARACELLI ALBAN ARGOMEDO</v>
      </c>
      <c r="M55" s="146" t="str">
        <f>IFERROR(__xludf.DUMMYFUNCTION("""COMPUTED_VALUE"""),"ANCASH")</f>
        <v>ANCASH</v>
      </c>
      <c r="N55" s="146" t="str">
        <f>IFERROR(__xludf.DUMMYFUNCTION("""COMPUTED_VALUE"""),"1 PLAY")</f>
        <v>1 PLAY</v>
      </c>
      <c r="O55" s="146" t="str">
        <f>IFERROR(__xludf.DUMMYFUNCTION("""COMPUTED_VALUE"""),"Campaña Regular")</f>
        <v>Campaña Regular</v>
      </c>
      <c r="P55" s="152">
        <f>IFERROR(__xludf.DUMMYFUNCTION("""COMPUTED_VALUE"""),110.0)</f>
        <v>110</v>
      </c>
      <c r="Q55" s="151">
        <f>IFERROR(__xludf.DUMMYFUNCTION("""COMPUTED_VALUE"""),46210.0)</f>
        <v>46210</v>
      </c>
      <c r="R55" s="153">
        <f t="shared" si="1"/>
        <v>46210</v>
      </c>
    </row>
    <row r="56">
      <c r="C56" s="148" t="s">
        <v>658</v>
      </c>
      <c r="D56" s="149" t="s">
        <v>659</v>
      </c>
      <c r="E56" s="150">
        <v>46211.0</v>
      </c>
      <c r="F56" s="149" t="s">
        <v>505</v>
      </c>
      <c r="G56" s="149" t="s">
        <v>506</v>
      </c>
      <c r="H56" s="151">
        <f t="array" ref="H56">IF(C56&lt;&gt;"", INDEX(PREVENTAS!$A$2:$CB990,MATCH(C56,PREVENTAS!$L$2:$L990,0),72),"")</f>
        <v>46211</v>
      </c>
      <c r="K56" s="146" t="str">
        <f>IFERROR(__xludf.DUMMYFUNCTION("""COMPUTED_VALUE"""),"72954426")</f>
        <v>72954426</v>
      </c>
      <c r="L56" s="146" t="str">
        <f>IFERROR(__xludf.DUMMYFUNCTION("""COMPUTED_VALUE"""),"ANGEL FERNANDO GALDOS ROBLES")</f>
        <v>ANGEL FERNANDO GALDOS ROBLES</v>
      </c>
      <c r="M56" s="146" t="str">
        <f>IFERROR(__xludf.DUMMYFUNCTION("""COMPUTED_VALUE"""),"LA LIBERTAD")</f>
        <v>LA LIBERTAD</v>
      </c>
      <c r="N56" s="146" t="str">
        <f>IFERROR(__xludf.DUMMYFUNCTION("""COMPUTED_VALUE"""),"1 PLAY")</f>
        <v>1 PLAY</v>
      </c>
      <c r="O56" s="146" t="str">
        <f>IFERROR(__xludf.DUMMYFUNCTION("""COMPUTED_VALUE"""),"Campaña Regular")</f>
        <v>Campaña Regular</v>
      </c>
      <c r="P56" s="152">
        <f>IFERROR(__xludf.DUMMYFUNCTION("""COMPUTED_VALUE"""),69.0)</f>
        <v>69</v>
      </c>
      <c r="Q56" s="151">
        <f>IFERROR(__xludf.DUMMYFUNCTION("""COMPUTED_VALUE"""),46210.0)</f>
        <v>46210</v>
      </c>
      <c r="R56" s="153">
        <f t="shared" si="1"/>
        <v>46210</v>
      </c>
    </row>
    <row r="57">
      <c r="C57" s="148" t="s">
        <v>660</v>
      </c>
      <c r="D57" s="149" t="s">
        <v>661</v>
      </c>
      <c r="E57" s="150">
        <v>46211.0</v>
      </c>
      <c r="F57" s="149" t="s">
        <v>460</v>
      </c>
      <c r="G57" s="149" t="s">
        <v>454</v>
      </c>
      <c r="H57" s="151">
        <f t="array" ref="H57">IF(C57&lt;&gt;"", INDEX(PREVENTAS!$A$2:$CB990,MATCH(C57,PREVENTAS!$L$2:$L990,0),72),"")</f>
        <v>46211</v>
      </c>
      <c r="K57" s="146" t="str">
        <f>IFERROR(__xludf.DUMMYFUNCTION("""COMPUTED_VALUE"""),"10098848938")</f>
        <v>10098848938</v>
      </c>
      <c r="L57" s="146" t="str">
        <f>IFERROR(__xludf.DUMMYFUNCTION("""COMPUTED_VALUE"""),"AMOS ALEX ORE VEGA")</f>
        <v>AMOS ALEX ORE VEGA</v>
      </c>
      <c r="M57" s="146" t="str">
        <f>IFERROR(__xludf.DUMMYFUNCTION("""COMPUTED_VALUE"""),"LIMA METROPOLITANA")</f>
        <v>LIMA METROPOLITANA</v>
      </c>
      <c r="N57" s="146" t="str">
        <f>IFERROR(__xludf.DUMMYFUNCTION("""COMPUTED_VALUE"""),"1 PLAY")</f>
        <v>1 PLAY</v>
      </c>
      <c r="O57" s="146" t="str">
        <f>IFERROR(__xludf.DUMMYFUNCTION("""COMPUTED_VALUE"""),"Campaña HFC puro")</f>
        <v>Campaña HFC puro</v>
      </c>
      <c r="P57" s="152">
        <f>IFERROR(__xludf.DUMMYFUNCTION("""COMPUTED_VALUE"""),44.0)</f>
        <v>44</v>
      </c>
      <c r="Q57" s="151">
        <f>IFERROR(__xludf.DUMMYFUNCTION("""COMPUTED_VALUE"""),46210.0)</f>
        <v>46210</v>
      </c>
      <c r="R57" s="153">
        <f t="shared" si="1"/>
        <v>46210</v>
      </c>
    </row>
    <row r="58">
      <c r="C58" s="148" t="s">
        <v>662</v>
      </c>
      <c r="D58" s="149" t="s">
        <v>663</v>
      </c>
      <c r="E58" s="150">
        <v>46212.0</v>
      </c>
      <c r="F58" s="149" t="s">
        <v>441</v>
      </c>
      <c r="G58" s="149" t="s">
        <v>442</v>
      </c>
      <c r="H58" s="151">
        <f t="array" ref="H58">IF(C58&lt;&gt;"", INDEX(PREVENTAS!$A$2:$CB990,MATCH(C58,PREVENTAS!$L$2:$L990,0),72),"")</f>
        <v>46212</v>
      </c>
      <c r="K58" s="146" t="str">
        <f>IFERROR(__xludf.DUMMYFUNCTION("""COMPUTED_VALUE"""),"26715869")</f>
        <v>26715869</v>
      </c>
      <c r="L58" s="146" t="str">
        <f>IFERROR(__xludf.DUMMYFUNCTION("""COMPUTED_VALUE"""),"JORGE VICTOR FERNANDEZ MENDOZA")</f>
        <v>JORGE VICTOR FERNANDEZ MENDOZA</v>
      </c>
      <c r="M58" s="146" t="str">
        <f>IFERROR(__xludf.DUMMYFUNCTION("""COMPUTED_VALUE"""),"CAJAMARCA")</f>
        <v>CAJAMARCA</v>
      </c>
      <c r="N58" s="146" t="str">
        <f>IFERROR(__xludf.DUMMYFUNCTION("""COMPUTED_VALUE"""),"3 PLAY + TV ESTANDAR")</f>
        <v>3 PLAY + TV ESTANDAR</v>
      </c>
      <c r="O58" s="146" t="str">
        <f>IFERROR(__xludf.DUMMYFUNCTION("""COMPUTED_VALUE"""),"Campaña Regular")</f>
        <v>Campaña Regular</v>
      </c>
      <c r="P58" s="152">
        <f>IFERROR(__xludf.DUMMYFUNCTION("""COMPUTED_VALUE"""),155.0)</f>
        <v>155</v>
      </c>
      <c r="Q58" s="151">
        <f>IFERROR(__xludf.DUMMYFUNCTION("""COMPUTED_VALUE"""),46211.0)</f>
        <v>46211</v>
      </c>
      <c r="R58" s="153">
        <f t="shared" si="1"/>
        <v>46211</v>
      </c>
    </row>
    <row r="59">
      <c r="C59" s="148" t="s">
        <v>664</v>
      </c>
      <c r="D59" s="149" t="s">
        <v>665</v>
      </c>
      <c r="E59" s="150">
        <v>46212.0</v>
      </c>
      <c r="F59" s="149" t="s">
        <v>666</v>
      </c>
      <c r="G59" s="149" t="s">
        <v>667</v>
      </c>
      <c r="H59" s="151">
        <f t="array" ref="H59">IF(C59&lt;&gt;"", INDEX(PREVENTAS!$A$2:$CB990,MATCH(C59,PREVENTAS!$L$2:$L990,0),72),"")</f>
        <v>46212</v>
      </c>
      <c r="K59" s="146" t="str">
        <f>IFERROR(__xludf.DUMMYFUNCTION("""COMPUTED_VALUE"""),"01220019")</f>
        <v>01220019</v>
      </c>
      <c r="L59" s="146" t="str">
        <f>IFERROR(__xludf.DUMMYFUNCTION("""COMPUTED_VALUE"""),"HECTOR EDDY CALUMANI BLANCO")</f>
        <v>HECTOR EDDY CALUMANI BLANCO</v>
      </c>
      <c r="M59" s="146" t="str">
        <f>IFERROR(__xludf.DUMMYFUNCTION("""COMPUTED_VALUE"""),"PUNO")</f>
        <v>PUNO</v>
      </c>
      <c r="N59" s="146" t="str">
        <f>IFERROR(__xludf.DUMMYFUNCTION("""COMPUTED_VALUE"""),"1 PLAY")</f>
        <v>1 PLAY</v>
      </c>
      <c r="O59" s="146" t="str">
        <f>IFERROR(__xludf.DUMMYFUNCTION("""COMPUTED_VALUE"""),"Campaña Promo Mediana")</f>
        <v>Campaña Promo Mediana</v>
      </c>
      <c r="P59" s="152">
        <f>IFERROR(__xludf.DUMMYFUNCTION("""COMPUTED_VALUE"""),89.0)</f>
        <v>89</v>
      </c>
      <c r="Q59" s="151">
        <f>IFERROR(__xludf.DUMMYFUNCTION("""COMPUTED_VALUE"""),46211.0)</f>
        <v>46211</v>
      </c>
      <c r="R59" s="153">
        <f t="shared" si="1"/>
        <v>46211</v>
      </c>
    </row>
    <row r="60">
      <c r="C60" s="148" t="s">
        <v>668</v>
      </c>
      <c r="D60" s="149" t="s">
        <v>669</v>
      </c>
      <c r="E60" s="150">
        <v>46212.0</v>
      </c>
      <c r="F60" s="149" t="s">
        <v>460</v>
      </c>
      <c r="G60" s="149" t="s">
        <v>454</v>
      </c>
      <c r="H60" s="151">
        <f t="array" ref="H60">IF(C60&lt;&gt;"", INDEX(PREVENTAS!$A$2:$CB990,MATCH(C60,PREVENTAS!$L$2:$L990,0),72),"")</f>
        <v>46212</v>
      </c>
      <c r="K60" s="146" t="str">
        <f>IFERROR(__xludf.DUMMYFUNCTION("""COMPUTED_VALUE"""),"74244514")</f>
        <v>74244514</v>
      </c>
      <c r="L60" s="146" t="str">
        <f>IFERROR(__xludf.DUMMYFUNCTION("""COMPUTED_VALUE"""),"FLAVIO ALEXANDRO PEREZ HAYA")</f>
        <v>FLAVIO ALEXANDRO PEREZ HAYA</v>
      </c>
      <c r="M60" s="146" t="str">
        <f>IFERROR(__xludf.DUMMYFUNCTION("""COMPUTED_VALUE"""),"UCAYALI")</f>
        <v>UCAYALI</v>
      </c>
      <c r="N60" s="146" t="str">
        <f>IFERROR(__xludf.DUMMYFUNCTION("""COMPUTED_VALUE"""),"1 PLAY")</f>
        <v>1 PLAY</v>
      </c>
      <c r="O60" s="146" t="str">
        <f>IFERROR(__xludf.DUMMYFUNCTION("""COMPUTED_VALUE"""),"Campaña Promo Entrada")</f>
        <v>Campaña Promo Entrada</v>
      </c>
      <c r="P60" s="152">
        <f>IFERROR(__xludf.DUMMYFUNCTION("""COMPUTED_VALUE"""),69.0)</f>
        <v>69</v>
      </c>
      <c r="Q60" s="151">
        <f>IFERROR(__xludf.DUMMYFUNCTION("""COMPUTED_VALUE"""),46211.0)</f>
        <v>46211</v>
      </c>
      <c r="R60" s="153">
        <f t="shared" si="1"/>
        <v>46211</v>
      </c>
    </row>
    <row r="61">
      <c r="C61" s="148" t="s">
        <v>670</v>
      </c>
      <c r="D61" s="149" t="s">
        <v>671</v>
      </c>
      <c r="E61" s="150">
        <v>46212.0</v>
      </c>
      <c r="F61" s="149" t="s">
        <v>441</v>
      </c>
      <c r="G61" s="149" t="s">
        <v>442</v>
      </c>
      <c r="H61" s="151">
        <f t="array" ref="H61">IF(C61&lt;&gt;"", INDEX(PREVENTAS!$A$2:$CB990,MATCH(C61,PREVENTAS!$L$2:$L990,0),72),"")</f>
        <v>46212</v>
      </c>
      <c r="K61" s="146" t="str">
        <f>IFERROR(__xludf.DUMMYFUNCTION("""COMPUTED_VALUE"""),"10448599839")</f>
        <v>10448599839</v>
      </c>
      <c r="L61" s="146" t="str">
        <f>IFERROR(__xludf.DUMMYFUNCTION("""COMPUTED_VALUE"""),"ARTURO JESUS DIAZ VIVIANO")</f>
        <v>ARTURO JESUS DIAZ VIVIANO</v>
      </c>
      <c r="M61" s="146" t="str">
        <f>IFERROR(__xludf.DUMMYFUNCTION("""COMPUTED_VALUE"""),"LIMA METROPOLITANA")</f>
        <v>LIMA METROPOLITANA</v>
      </c>
      <c r="N61" s="146" t="str">
        <f>IFERROR(__xludf.DUMMYFUNCTION("""COMPUTED_VALUE"""),"2 PLAY + TV PRO")</f>
        <v>2 PLAY + TV PRO</v>
      </c>
      <c r="O61" s="146" t="str">
        <f>IFERROR(__xludf.DUMMYFUNCTION("""COMPUTED_VALUE"""),"Campaña Regular PRO")</f>
        <v>Campaña Regular PRO</v>
      </c>
      <c r="P61" s="152">
        <f>IFERROR(__xludf.DUMMYFUNCTION("""COMPUTED_VALUE"""),225.0)</f>
        <v>225</v>
      </c>
      <c r="Q61" s="151">
        <f>IFERROR(__xludf.DUMMYFUNCTION("""COMPUTED_VALUE"""),46212.0)</f>
        <v>46212</v>
      </c>
      <c r="R61" s="153">
        <f t="shared" si="1"/>
        <v>46212</v>
      </c>
    </row>
    <row r="62">
      <c r="C62" s="148" t="s">
        <v>672</v>
      </c>
      <c r="D62" s="149" t="s">
        <v>673</v>
      </c>
      <c r="E62" s="150">
        <v>46212.0</v>
      </c>
      <c r="F62" s="149" t="s">
        <v>441</v>
      </c>
      <c r="G62" s="149" t="s">
        <v>442</v>
      </c>
      <c r="H62" s="151">
        <f t="array" ref="H62">IF(C62&lt;&gt;"", INDEX(PREVENTAS!$A$2:$CB990,MATCH(C62,PREVENTAS!$L$2:$L990,0),72),"")</f>
        <v>46212</v>
      </c>
      <c r="K62" s="146" t="str">
        <f>IFERROR(__xludf.DUMMYFUNCTION("""COMPUTED_VALUE"""),"70656574")</f>
        <v>70656574</v>
      </c>
      <c r="L62" s="146" t="str">
        <f>IFERROR(__xludf.DUMMYFUNCTION("""COMPUTED_VALUE"""),"BELINDA SIME QUISPE")</f>
        <v>BELINDA SIME QUISPE</v>
      </c>
      <c r="M62" s="146" t="str">
        <f>IFERROR(__xludf.DUMMYFUNCTION("""COMPUTED_VALUE"""),"TACNA")</f>
        <v>TACNA</v>
      </c>
      <c r="N62" s="146" t="str">
        <f>IFERROR(__xludf.DUMMYFUNCTION("""COMPUTED_VALUE"""),"1 PLAY + L1MAX")</f>
        <v>1 PLAY + L1MAX</v>
      </c>
      <c r="O62" s="146" t="str">
        <f>IFERROR(__xludf.DUMMYFUNCTION("""COMPUTED_VALUE"""),"Campaña Regular")</f>
        <v>Campaña Regular</v>
      </c>
      <c r="P62" s="152">
        <f>IFERROR(__xludf.DUMMYFUNCTION("""COMPUTED_VALUE"""),110.0)</f>
        <v>110</v>
      </c>
      <c r="Q62" s="151">
        <f>IFERROR(__xludf.DUMMYFUNCTION("""COMPUTED_VALUE"""),46212.0)</f>
        <v>46212</v>
      </c>
      <c r="R62" s="153">
        <f t="shared" si="1"/>
        <v>46212</v>
      </c>
    </row>
    <row r="63">
      <c r="C63" s="148" t="s">
        <v>674</v>
      </c>
      <c r="D63" s="149" t="s">
        <v>675</v>
      </c>
      <c r="E63" s="150">
        <v>46212.0</v>
      </c>
      <c r="F63" s="149" t="s">
        <v>464</v>
      </c>
      <c r="G63" s="149" t="s">
        <v>440</v>
      </c>
      <c r="H63" s="151">
        <f t="array" ref="H63">IF(C63&lt;&gt;"", INDEX(PREVENTAS!$A$2:$CB990,MATCH(C63,PREVENTAS!$L$2:$L990,0),72),"")</f>
        <v>46212</v>
      </c>
      <c r="K63" s="146" t="str">
        <f>IFERROR(__xludf.DUMMYFUNCTION("""COMPUTED_VALUE"""),"61168732")</f>
        <v>61168732</v>
      </c>
      <c r="L63" s="146" t="str">
        <f>IFERROR(__xludf.DUMMYFUNCTION("""COMPUTED_VALUE"""),"FAVIO ANDRE CHAVEZ HUANCA")</f>
        <v>FAVIO ANDRE CHAVEZ HUANCA</v>
      </c>
      <c r="M63" s="146" t="str">
        <f>IFERROR(__xludf.DUMMYFUNCTION("""COMPUTED_VALUE"""),"LA LIBERTAD")</f>
        <v>LA LIBERTAD</v>
      </c>
      <c r="N63" s="146" t="str">
        <f>IFERROR(__xludf.DUMMYFUNCTION("""COMPUTED_VALUE"""),"1 PLAY")</f>
        <v>1 PLAY</v>
      </c>
      <c r="O63" s="146" t="str">
        <f>IFERROR(__xludf.DUMMYFUNCTION("""COMPUTED_VALUE"""),"Campaña Regular")</f>
        <v>Campaña Regular</v>
      </c>
      <c r="P63" s="152">
        <f>IFERROR(__xludf.DUMMYFUNCTION("""COMPUTED_VALUE"""),69.0)</f>
        <v>69</v>
      </c>
      <c r="Q63" s="151">
        <f>IFERROR(__xludf.DUMMYFUNCTION("""COMPUTED_VALUE"""),46212.0)</f>
        <v>46212</v>
      </c>
      <c r="R63" s="153">
        <f t="shared" si="1"/>
        <v>46212</v>
      </c>
    </row>
    <row r="64">
      <c r="C64" s="148" t="s">
        <v>676</v>
      </c>
      <c r="D64" s="149" t="s">
        <v>677</v>
      </c>
      <c r="E64" s="150">
        <v>46212.0</v>
      </c>
      <c r="F64" s="149" t="s">
        <v>505</v>
      </c>
      <c r="G64" s="149" t="s">
        <v>506</v>
      </c>
      <c r="H64" s="151">
        <f t="array" ref="H64">IF(C64&lt;&gt;"", INDEX(PREVENTAS!$A$2:$CB990,MATCH(C64,PREVENTAS!$L$2:$L990,0),72),"")</f>
        <v>46212</v>
      </c>
      <c r="K64" s="146" t="str">
        <f>IFERROR(__xludf.DUMMYFUNCTION("""COMPUTED_VALUE"""),"70990526")</f>
        <v>70990526</v>
      </c>
      <c r="L64" s="146" t="str">
        <f>IFERROR(__xludf.DUMMYFUNCTION("""COMPUTED_VALUE"""),"BRIDGUITH DENNIS VALVERDE DAVILA")</f>
        <v>BRIDGUITH DENNIS VALVERDE DAVILA</v>
      </c>
      <c r="M64" s="146" t="str">
        <f>IFERROR(__xludf.DUMMYFUNCTION("""COMPUTED_VALUE"""),"LIMA METROPOLITANA")</f>
        <v>LIMA METROPOLITANA</v>
      </c>
      <c r="N64" s="146" t="str">
        <f>IFERROR(__xludf.DUMMYFUNCTION("""COMPUTED_VALUE"""),"1 PLAY")</f>
        <v>1 PLAY</v>
      </c>
      <c r="O64" s="146" t="str">
        <f>IFERROR(__xludf.DUMMYFUNCTION("""COMPUTED_VALUE"""),"Campaña Promo Mediana")</f>
        <v>Campaña Promo Mediana</v>
      </c>
      <c r="P64" s="152">
        <f>IFERROR(__xludf.DUMMYFUNCTION("""COMPUTED_VALUE"""),89.0)</f>
        <v>89</v>
      </c>
      <c r="Q64" s="151">
        <f>IFERROR(__xludf.DUMMYFUNCTION("""COMPUTED_VALUE"""),46212.0)</f>
        <v>46212</v>
      </c>
      <c r="R64" s="153">
        <f t="shared" si="1"/>
        <v>46212</v>
      </c>
    </row>
    <row r="65">
      <c r="C65" s="148" t="s">
        <v>678</v>
      </c>
      <c r="D65" s="149" t="s">
        <v>679</v>
      </c>
      <c r="E65" s="150">
        <v>46212.0</v>
      </c>
      <c r="F65" s="149" t="s">
        <v>505</v>
      </c>
      <c r="G65" s="149" t="s">
        <v>506</v>
      </c>
      <c r="H65" s="151">
        <f t="array" ref="H65">IF(C65&lt;&gt;"", INDEX(PREVENTAS!$A$2:$CB990,MATCH(C65,PREVENTAS!$L$2:$L990,0),72),"")</f>
        <v>46212</v>
      </c>
      <c r="K65" s="146" t="str">
        <f>IFERROR(__xludf.DUMMYFUNCTION("""COMPUTED_VALUE"""),"15668313")</f>
        <v>15668313</v>
      </c>
      <c r="L65" s="146" t="str">
        <f>IFERROR(__xludf.DUMMYFUNCTION("""COMPUTED_VALUE"""),"ESTHER ESPERANZA CERNA DE LAZARO")</f>
        <v>ESTHER ESPERANZA CERNA DE LAZARO</v>
      </c>
      <c r="M65" s="146" t="str">
        <f>IFERROR(__xludf.DUMMYFUNCTION("""COMPUTED_VALUE"""),"LIMA METROPOLITANA")</f>
        <v>LIMA METROPOLITANA</v>
      </c>
      <c r="N65" s="146" t="str">
        <f>IFERROR(__xludf.DUMMYFUNCTION("""COMPUTED_VALUE"""),"2PLAY + TELF")</f>
        <v>2PLAY + TELF</v>
      </c>
      <c r="O65" s="146" t="str">
        <f>IFERROR(__xludf.DUMMYFUNCTION("""COMPUTED_VALUE"""),"Campaña Regular")</f>
        <v>Campaña Regular</v>
      </c>
      <c r="P65" s="152">
        <f>IFERROR(__xludf.DUMMYFUNCTION("""COMPUTED_VALUE"""),94.0)</f>
        <v>94</v>
      </c>
      <c r="Q65" s="151">
        <f>IFERROR(__xludf.DUMMYFUNCTION("""COMPUTED_VALUE"""),46212.0)</f>
        <v>46212</v>
      </c>
      <c r="R65" s="153">
        <f t="shared" si="1"/>
        <v>46212</v>
      </c>
    </row>
    <row r="66">
      <c r="C66" s="148" t="s">
        <v>680</v>
      </c>
      <c r="D66" s="149" t="s">
        <v>681</v>
      </c>
      <c r="E66" s="150">
        <v>46212.0</v>
      </c>
      <c r="F66" s="149" t="s">
        <v>485</v>
      </c>
      <c r="G66" s="149" t="s">
        <v>486</v>
      </c>
      <c r="H66" s="151">
        <f t="array" ref="H66">IF(C66&lt;&gt;"", INDEX(PREVENTAS!$A$2:$CB990,MATCH(C66,PREVENTAS!$L$2:$L990,0),72),"")</f>
        <v>46212</v>
      </c>
      <c r="K66" s="146" t="str">
        <f>IFERROR(__xludf.DUMMYFUNCTION("""COMPUTED_VALUE"""),"72746067")</f>
        <v>72746067</v>
      </c>
      <c r="L66" s="146" t="str">
        <f>IFERROR(__xludf.DUMMYFUNCTION("""COMPUTED_VALUE"""),"SANCHEZ OBANDO HARIANI")</f>
        <v>SANCHEZ OBANDO HARIANI</v>
      </c>
      <c r="M66" s="146" t="str">
        <f>IFERROR(__xludf.DUMMYFUNCTION("""COMPUTED_VALUE"""),"LA LIBERTAD")</f>
        <v>LA LIBERTAD</v>
      </c>
      <c r="N66" s="146" t="str">
        <f>IFERROR(__xludf.DUMMYFUNCTION("""COMPUTED_VALUE"""),"2PLAY + TELF")</f>
        <v>2PLAY + TELF</v>
      </c>
      <c r="O66" s="146" t="str">
        <f>IFERROR(__xludf.DUMMYFUNCTION("""COMPUTED_VALUE"""),"Campaña Regular")</f>
        <v>Campaña Regular</v>
      </c>
      <c r="P66" s="152">
        <f>IFERROR(__xludf.DUMMYFUNCTION("""COMPUTED_VALUE"""),94.0)</f>
        <v>94</v>
      </c>
      <c r="Q66" s="151">
        <f>IFERROR(__xludf.DUMMYFUNCTION("""COMPUTED_VALUE"""),46212.0)</f>
        <v>46212</v>
      </c>
      <c r="R66" s="153">
        <f t="shared" si="1"/>
        <v>46212</v>
      </c>
    </row>
    <row r="67">
      <c r="C67" s="148" t="s">
        <v>682</v>
      </c>
      <c r="D67" s="149" t="s">
        <v>683</v>
      </c>
      <c r="E67" s="150">
        <v>46212.0</v>
      </c>
      <c r="F67" s="149" t="s">
        <v>460</v>
      </c>
      <c r="G67" s="149" t="s">
        <v>454</v>
      </c>
      <c r="H67" s="151">
        <f t="array" ref="H67">IF(C67&lt;&gt;"", INDEX(PREVENTAS!$A$2:$CB990,MATCH(C67,PREVENTAS!$L$2:$L990,0),72),"")</f>
        <v>46212</v>
      </c>
      <c r="K67" s="146" t="str">
        <f>IFERROR(__xludf.DUMMYFUNCTION("""COMPUTED_VALUE"""),"72022060")</f>
        <v>72022060</v>
      </c>
      <c r="L67" s="146" t="str">
        <f>IFERROR(__xludf.DUMMYFUNCTION("""COMPUTED_VALUE"""),"LARIZA THANIA FIGUEROA HUIRSE")</f>
        <v>LARIZA THANIA FIGUEROA HUIRSE</v>
      </c>
      <c r="M67" s="146" t="str">
        <f>IFERROR(__xludf.DUMMYFUNCTION("""COMPUTED_VALUE"""),"AREQUIPA")</f>
        <v>AREQUIPA</v>
      </c>
      <c r="N67" s="146" t="str">
        <f>IFERROR(__xludf.DUMMYFUNCTION("""COMPUTED_VALUE"""),"1 PLAY")</f>
        <v>1 PLAY</v>
      </c>
      <c r="O67" s="146" t="str">
        <f>IFERROR(__xludf.DUMMYFUNCTION("""COMPUTED_VALUE"""),"Campaña Regular")</f>
        <v>Campaña Regular</v>
      </c>
      <c r="P67" s="152">
        <f>IFERROR(__xludf.DUMMYFUNCTION("""COMPUTED_VALUE"""),69.0)</f>
        <v>69</v>
      </c>
      <c r="Q67" s="151">
        <f>IFERROR(__xludf.DUMMYFUNCTION("""COMPUTED_VALUE"""),46212.0)</f>
        <v>46212</v>
      </c>
      <c r="R67" s="153">
        <f t="shared" si="1"/>
        <v>46212</v>
      </c>
    </row>
    <row r="68">
      <c r="C68" s="148" t="s">
        <v>684</v>
      </c>
      <c r="D68" s="149" t="s">
        <v>685</v>
      </c>
      <c r="E68" s="150">
        <v>46212.0</v>
      </c>
      <c r="F68" s="149" t="s">
        <v>460</v>
      </c>
      <c r="G68" s="149" t="s">
        <v>454</v>
      </c>
      <c r="H68" s="151">
        <f t="array" ref="H68">IF(C68&lt;&gt;"", INDEX(PREVENTAS!$A$2:$CB990,MATCH(C68,PREVENTAS!$L$2:$L990,0),72),"")</f>
        <v>46212</v>
      </c>
      <c r="K68" s="146" t="str">
        <f>IFERROR(__xludf.DUMMYFUNCTION("""COMPUTED_VALUE"""),"29622989")</f>
        <v>29622989</v>
      </c>
      <c r="L68" s="146" t="str">
        <f>IFERROR(__xludf.DUMMYFUNCTION("""COMPUTED_VALUE"""),"TORIBIO HUARACCALLO JIHUALLANCA")</f>
        <v>TORIBIO HUARACCALLO JIHUALLANCA</v>
      </c>
      <c r="M68" s="146" t="str">
        <f>IFERROR(__xludf.DUMMYFUNCTION("""COMPUTED_VALUE"""),"AREQUIPA")</f>
        <v>AREQUIPA</v>
      </c>
      <c r="N68" s="146" t="str">
        <f>IFERROR(__xludf.DUMMYFUNCTION("""COMPUTED_VALUE"""),"2PLAY + TELF")</f>
        <v>2PLAY + TELF</v>
      </c>
      <c r="O68" s="146" t="str">
        <f>IFERROR(__xludf.DUMMYFUNCTION("""COMPUTED_VALUE"""),"Campaña Regular")</f>
        <v>Campaña Regular</v>
      </c>
      <c r="P68" s="152">
        <f>IFERROR(__xludf.DUMMYFUNCTION("""COMPUTED_VALUE"""),94.0)</f>
        <v>94</v>
      </c>
      <c r="Q68" s="151">
        <f>IFERROR(__xludf.DUMMYFUNCTION("""COMPUTED_VALUE"""),46212.0)</f>
        <v>46212</v>
      </c>
      <c r="R68" s="153">
        <f t="shared" si="1"/>
        <v>46212</v>
      </c>
    </row>
    <row r="69">
      <c r="C69" s="147"/>
      <c r="K69" s="146" t="str">
        <f>IFERROR(__xludf.DUMMYFUNCTION("""COMPUTED_VALUE"""),"00508805")</f>
        <v>00508805</v>
      </c>
      <c r="L69" s="146" t="str">
        <f>IFERROR(__xludf.DUMMYFUNCTION("""COMPUTED_VALUE"""),"OCHOA AQUINO, MARCO ANTONIO")</f>
        <v>OCHOA AQUINO, MARCO ANTONIO</v>
      </c>
      <c r="M69" s="146" t="str">
        <f>IFERROR(__xludf.DUMMYFUNCTION("""COMPUTED_VALUE"""),"UCAYALI")</f>
        <v>UCAYALI</v>
      </c>
      <c r="N69" s="146" t="str">
        <f>IFERROR(__xludf.DUMMYFUNCTION("""COMPUTED_VALUE"""),"1 PLAY")</f>
        <v>1 PLAY</v>
      </c>
      <c r="O69" s="146" t="str">
        <f>IFERROR(__xludf.DUMMYFUNCTION("""COMPUTED_VALUE"""),"Campaña Promo Mediana")</f>
        <v>Campaña Promo Mediana</v>
      </c>
      <c r="P69" s="152">
        <f>IFERROR(__xludf.DUMMYFUNCTION("""COMPUTED_VALUE"""),89.0)</f>
        <v>89</v>
      </c>
      <c r="Q69" s="151">
        <f>IFERROR(__xludf.DUMMYFUNCTION("""COMPUTED_VALUE"""),46212.0)</f>
        <v>46212</v>
      </c>
      <c r="R69" s="153">
        <f t="shared" si="1"/>
        <v>46212</v>
      </c>
    </row>
    <row r="70">
      <c r="C70" s="147"/>
      <c r="K70" s="146" t="str">
        <f>IFERROR(__xludf.DUMMYFUNCTION("""COMPUTED_VALUE"""),"74164932")</f>
        <v>74164932</v>
      </c>
      <c r="L70" s="146" t="str">
        <f>IFERROR(__xludf.DUMMYFUNCTION("""COMPUTED_VALUE"""),"FABRICIO DANIEL LLACUACHAQUI CASTAÑEDA")</f>
        <v>FABRICIO DANIEL LLACUACHAQUI CASTAÑEDA</v>
      </c>
      <c r="M70" s="146" t="str">
        <f>IFERROR(__xludf.DUMMYFUNCTION("""COMPUTED_VALUE"""),"JUNIN")</f>
        <v>JUNIN</v>
      </c>
      <c r="N70" s="146" t="str">
        <f>IFERROR(__xludf.DUMMYFUNCTION("""COMPUTED_VALUE"""),"1 PLAY")</f>
        <v>1 PLAY</v>
      </c>
      <c r="O70" s="146" t="str">
        <f>IFERROR(__xludf.DUMMYFUNCTION("""COMPUTED_VALUE"""),"Campaña Promo Mediana")</f>
        <v>Campaña Promo Mediana</v>
      </c>
      <c r="P70" s="152">
        <f>IFERROR(__xludf.DUMMYFUNCTION("""COMPUTED_VALUE"""),89.0)</f>
        <v>89</v>
      </c>
      <c r="Q70" s="151">
        <f>IFERROR(__xludf.DUMMYFUNCTION("""COMPUTED_VALUE"""),46212.0)</f>
        <v>46212</v>
      </c>
      <c r="R70" s="153">
        <f t="shared" si="1"/>
        <v>46212</v>
      </c>
    </row>
    <row r="71">
      <c r="C71" s="147"/>
      <c r="K71" s="146" t="str">
        <f>IFERROR(__xludf.DUMMYFUNCTION("""COMPUTED_VALUE"""),"47357784")</f>
        <v>47357784</v>
      </c>
      <c r="L71" s="146" t="str">
        <f>IFERROR(__xludf.DUMMYFUNCTION("""COMPUTED_VALUE"""),"NATHALY KATHERIN TRUJILLO JARA")</f>
        <v>NATHALY KATHERIN TRUJILLO JARA</v>
      </c>
      <c r="M71" s="146" t="str">
        <f>IFERROR(__xludf.DUMMYFUNCTION("""COMPUTED_VALUE"""),"LIMA")</f>
        <v>LIMA</v>
      </c>
      <c r="N71" s="146" t="str">
        <f>IFERROR(__xludf.DUMMYFUNCTION("""COMPUTED_VALUE"""),"2 PLAY + TV PRO")</f>
        <v>2 PLAY + TV PRO</v>
      </c>
      <c r="O71" s="146" t="str">
        <f>IFERROR(__xludf.DUMMYFUNCTION("""COMPUTED_VALUE"""),"Campaña Regular")</f>
        <v>Campaña Regular</v>
      </c>
      <c r="P71" s="152">
        <f>IFERROR(__xludf.DUMMYFUNCTION("""COMPUTED_VALUE"""),170.0)</f>
        <v>170</v>
      </c>
      <c r="Q71" s="151">
        <f>IFERROR(__xludf.DUMMYFUNCTION("""COMPUTED_VALUE"""),46212.0)</f>
        <v>46212</v>
      </c>
      <c r="R71" s="153">
        <f t="shared" si="1"/>
        <v>46212</v>
      </c>
    </row>
    <row r="72">
      <c r="C72" s="147"/>
      <c r="K72" s="146" t="str">
        <f>IFERROR(__xludf.DUMMYFUNCTION("""COMPUTED_VALUE"""),"29714415")</f>
        <v>29714415</v>
      </c>
      <c r="L72" s="146" t="str">
        <f>IFERROR(__xludf.DUMMYFUNCTION("""COMPUTED_VALUE"""),"JUAN CARLOS MANUEL ZAMORA FUENTES")</f>
        <v>JUAN CARLOS MANUEL ZAMORA FUENTES</v>
      </c>
      <c r="M72" s="146" t="str">
        <f>IFERROR(__xludf.DUMMYFUNCTION("""COMPUTED_VALUE"""),"AREQUIPA")</f>
        <v>AREQUIPA</v>
      </c>
      <c r="N72" s="146" t="str">
        <f>IFERROR(__xludf.DUMMYFUNCTION("""COMPUTED_VALUE"""),"1 PLAY")</f>
        <v>1 PLAY</v>
      </c>
      <c r="O72" s="146" t="str">
        <f>IFERROR(__xludf.DUMMYFUNCTION("""COMPUTED_VALUE"""),"Campaña Regular")</f>
        <v>Campaña Regular</v>
      </c>
      <c r="P72" s="152">
        <f>IFERROR(__xludf.DUMMYFUNCTION("""COMPUTED_VALUE"""),69.0)</f>
        <v>69</v>
      </c>
      <c r="Q72" s="151">
        <f>IFERROR(__xludf.DUMMYFUNCTION("""COMPUTED_VALUE"""),46213.0)</f>
        <v>46213</v>
      </c>
      <c r="R72" s="146" t="str">
        <f t="shared" si="1"/>
        <v>#N/A</v>
      </c>
    </row>
    <row r="73">
      <c r="C73" s="147"/>
      <c r="K73" s="146" t="str">
        <f>IFERROR(__xludf.DUMMYFUNCTION("""COMPUTED_VALUE"""),"77345324")</f>
        <v>77345324</v>
      </c>
      <c r="L73" s="146" t="str">
        <f>IFERROR(__xludf.DUMMYFUNCTION("""COMPUTED_VALUE"""),"ZEVALLOS RIMARACHIN, LUIS ENRIQUE JUNIOR")</f>
        <v>ZEVALLOS RIMARACHIN, LUIS ENRIQUE JUNIOR</v>
      </c>
      <c r="M73" s="146" t="str">
        <f>IFERROR(__xludf.DUMMYFUNCTION("""COMPUTED_VALUE"""),"LAMBAYEQUE")</f>
        <v>LAMBAYEQUE</v>
      </c>
      <c r="N73" s="146" t="str">
        <f>IFERROR(__xludf.DUMMYFUNCTION("""COMPUTED_VALUE"""),"1 PLAY")</f>
        <v>1 PLAY</v>
      </c>
      <c r="O73" s="146" t="str">
        <f>IFERROR(__xludf.DUMMYFUNCTION("""COMPUTED_VALUE"""),"Campaña Promo Mediana")</f>
        <v>Campaña Promo Mediana</v>
      </c>
      <c r="P73" s="152">
        <f>IFERROR(__xludf.DUMMYFUNCTION("""COMPUTED_VALUE"""),89.0)</f>
        <v>89</v>
      </c>
      <c r="Q73" s="151">
        <f>IFERROR(__xludf.DUMMYFUNCTION("""COMPUTED_VALUE"""),46213.0)</f>
        <v>46213</v>
      </c>
      <c r="R73" s="146" t="str">
        <f t="shared" si="1"/>
        <v>#N/A</v>
      </c>
    </row>
    <row r="74">
      <c r="C74" s="147"/>
      <c r="K74" s="146" t="str">
        <f>IFERROR(__xludf.DUMMYFUNCTION("""COMPUTED_VALUE"""),"71033128")</f>
        <v>71033128</v>
      </c>
      <c r="L74" s="146" t="str">
        <f>IFERROR(__xludf.DUMMYFUNCTION("""COMPUTED_VALUE"""),"CRISTHIAN CLEYSNER SILVA PASTOR")</f>
        <v>CRISTHIAN CLEYSNER SILVA PASTOR</v>
      </c>
      <c r="M74" s="146" t="str">
        <f>IFERROR(__xludf.DUMMYFUNCTION("""COMPUTED_VALUE"""),"CAJAMARCA")</f>
        <v>CAJAMARCA</v>
      </c>
      <c r="N74" s="146" t="str">
        <f>IFERROR(__xludf.DUMMYFUNCTION("""COMPUTED_VALUE"""),"1 PLAY")</f>
        <v>1 PLAY</v>
      </c>
      <c r="O74" s="146" t="str">
        <f>IFERROR(__xludf.DUMMYFUNCTION("""COMPUTED_VALUE"""),"Campaña Promo Mediana")</f>
        <v>Campaña Promo Mediana</v>
      </c>
      <c r="P74" s="152">
        <f>IFERROR(__xludf.DUMMYFUNCTION("""COMPUTED_VALUE"""),89.0)</f>
        <v>89</v>
      </c>
      <c r="Q74" s="151">
        <f>IFERROR(__xludf.DUMMYFUNCTION("""COMPUTED_VALUE"""),46213.0)</f>
        <v>46213</v>
      </c>
      <c r="R74" s="146" t="str">
        <f t="shared" si="1"/>
        <v>#N/A</v>
      </c>
    </row>
    <row r="75">
      <c r="C75" s="147"/>
      <c r="K75" s="146" t="str">
        <f>IFERROR(__xludf.DUMMYFUNCTION("""COMPUTED_VALUE"""),"42350054")</f>
        <v>42350054</v>
      </c>
      <c r="L75" s="146" t="str">
        <f>IFERROR(__xludf.DUMMYFUNCTION("""COMPUTED_VALUE"""),"JUAN JOSE LOAYZA ROSERO")</f>
        <v>JUAN JOSE LOAYZA ROSERO</v>
      </c>
      <c r="M75" s="146" t="str">
        <f>IFERROR(__xludf.DUMMYFUNCTION("""COMPUTED_VALUE"""),"LIMA METROPOLITANA")</f>
        <v>LIMA METROPOLITANA</v>
      </c>
      <c r="N75" s="146" t="str">
        <f>IFERROR(__xludf.DUMMYFUNCTION("""COMPUTED_VALUE"""),"1 PLAY")</f>
        <v>1 PLAY</v>
      </c>
      <c r="O75" s="146" t="str">
        <f>IFERROR(__xludf.DUMMYFUNCTION("""COMPUTED_VALUE"""),"Campaña Promo Mediana")</f>
        <v>Campaña Promo Mediana</v>
      </c>
      <c r="P75" s="152">
        <f>IFERROR(__xludf.DUMMYFUNCTION("""COMPUTED_VALUE"""),89.0)</f>
        <v>89</v>
      </c>
      <c r="Q75" s="151">
        <f>IFERROR(__xludf.DUMMYFUNCTION("""COMPUTED_VALUE"""),46213.0)</f>
        <v>46213</v>
      </c>
      <c r="R75" s="146" t="str">
        <f t="shared" si="1"/>
        <v>#N/A</v>
      </c>
    </row>
    <row r="76">
      <c r="C76" s="147"/>
      <c r="K76" s="146" t="str">
        <f>IFERROR(__xludf.DUMMYFUNCTION("""COMPUTED_VALUE"""),"45391505")</f>
        <v>45391505</v>
      </c>
      <c r="L76" s="146" t="str">
        <f>IFERROR(__xludf.DUMMYFUNCTION("""COMPUTED_VALUE"""),"JORGE STEVEN LINO ORE")</f>
        <v>JORGE STEVEN LINO ORE</v>
      </c>
      <c r="M76" s="146" t="str">
        <f>IFERROR(__xludf.DUMMYFUNCTION("""COMPUTED_VALUE"""),"ANCASH")</f>
        <v>ANCASH</v>
      </c>
      <c r="N76" s="146" t="str">
        <f>IFERROR(__xludf.DUMMYFUNCTION("""COMPUTED_VALUE"""),"1 PLAY")</f>
        <v>1 PLAY</v>
      </c>
      <c r="O76" s="146" t="str">
        <f>IFERROR(__xludf.DUMMYFUNCTION("""COMPUTED_VALUE"""),"Campaña Promo Mediana")</f>
        <v>Campaña Promo Mediana</v>
      </c>
      <c r="P76" s="152">
        <f>IFERROR(__xludf.DUMMYFUNCTION("""COMPUTED_VALUE"""),89.0)</f>
        <v>89</v>
      </c>
      <c r="Q76" s="151">
        <f>IFERROR(__xludf.DUMMYFUNCTION("""COMPUTED_VALUE"""),46213.0)</f>
        <v>46213</v>
      </c>
      <c r="R76" s="146" t="str">
        <f t="shared" si="1"/>
        <v>#N/A</v>
      </c>
    </row>
    <row r="77">
      <c r="C77" s="147"/>
      <c r="K77" s="146" t="str">
        <f>IFERROR(__xludf.DUMMYFUNCTION("""COMPUTED_VALUE"""),"73305328")</f>
        <v>73305328</v>
      </c>
      <c r="L77" s="146" t="str">
        <f>IFERROR(__xludf.DUMMYFUNCTION("""COMPUTED_VALUE"""),"JUAN CARLOS NECIOSUP FENCO")</f>
        <v>JUAN CARLOS NECIOSUP FENCO</v>
      </c>
      <c r="M77" s="146" t="str">
        <f>IFERROR(__xludf.DUMMYFUNCTION("""COMPUTED_VALUE"""),"LAMBAYEQUE")</f>
        <v>LAMBAYEQUE</v>
      </c>
      <c r="N77" s="146" t="str">
        <f>IFERROR(__xludf.DUMMYFUNCTION("""COMPUTED_VALUE"""),"1 PLAY")</f>
        <v>1 PLAY</v>
      </c>
      <c r="O77" s="146" t="str">
        <f>IFERROR(__xludf.DUMMYFUNCTION("""COMPUTED_VALUE"""),"Campaña Promo Mediana")</f>
        <v>Campaña Promo Mediana</v>
      </c>
      <c r="P77" s="152">
        <f>IFERROR(__xludf.DUMMYFUNCTION("""COMPUTED_VALUE"""),89.0)</f>
        <v>89</v>
      </c>
      <c r="Q77" s="151">
        <f>IFERROR(__xludf.DUMMYFUNCTION("""COMPUTED_VALUE"""),46214.0)</f>
        <v>46214</v>
      </c>
      <c r="R77" s="146" t="str">
        <f t="shared" si="1"/>
        <v>#N/A</v>
      </c>
    </row>
    <row r="78">
      <c r="C78" s="147"/>
      <c r="K78" s="146" t="str">
        <f>IFERROR(__xludf.DUMMYFUNCTION("""COMPUTED_VALUE"""),"03653087")</f>
        <v>03653087</v>
      </c>
      <c r="L78" s="146" t="str">
        <f>IFERROR(__xludf.DUMMYFUNCTION("""COMPUTED_VALUE"""),"DELIA DEL CARMEEN SALDARRIAGA SIANCAS")</f>
        <v>DELIA DEL CARMEEN SALDARRIAGA SIANCAS</v>
      </c>
      <c r="M78" s="146" t="str">
        <f>IFERROR(__xludf.DUMMYFUNCTION("""COMPUTED_VALUE"""),"PIURA")</f>
        <v>PIURA</v>
      </c>
      <c r="N78" s="146" t="str">
        <f>IFERROR(__xludf.DUMMYFUNCTION("""COMPUTED_VALUE"""),"1 PLAY")</f>
        <v>1 PLAY</v>
      </c>
      <c r="O78" s="146" t="str">
        <f>IFERROR(__xludf.DUMMYFUNCTION("""COMPUTED_VALUE"""),"Campaña Promo Mediana")</f>
        <v>Campaña Promo Mediana</v>
      </c>
      <c r="P78" s="152">
        <f>IFERROR(__xludf.DUMMYFUNCTION("""COMPUTED_VALUE"""),89.0)</f>
        <v>89</v>
      </c>
      <c r="Q78" s="151">
        <f>IFERROR(__xludf.DUMMYFUNCTION("""COMPUTED_VALUE"""),46214.0)</f>
        <v>46214</v>
      </c>
      <c r="R78" s="146" t="str">
        <f t="shared" si="1"/>
        <v>#N/A</v>
      </c>
    </row>
    <row r="79">
      <c r="C79" s="147"/>
      <c r="K79" s="146" t="str">
        <f>IFERROR(__xludf.DUMMYFUNCTION("""COMPUTED_VALUE"""),"10452193448")</f>
        <v>10452193448</v>
      </c>
      <c r="L79" s="146" t="str">
        <f>IFERROR(__xludf.DUMMYFUNCTION("""COMPUTED_VALUE"""),"JONATHAN RODRIGUEZ TOMAILLA")</f>
        <v>JONATHAN RODRIGUEZ TOMAILLA</v>
      </c>
      <c r="M79" s="146" t="str">
        <f>IFERROR(__xludf.DUMMYFUNCTION("""COMPUTED_VALUE"""),"LIMA METROPOLITANA")</f>
        <v>LIMA METROPOLITANA</v>
      </c>
      <c r="N79" s="146" t="str">
        <f>IFERROR(__xludf.DUMMYFUNCTION("""COMPUTED_VALUE"""),"2 PLAY + TV PRO")</f>
        <v>2 PLAY + TV PRO</v>
      </c>
      <c r="O79" s="146" t="str">
        <f>IFERROR(__xludf.DUMMYFUNCTION("""COMPUTED_VALUE"""),"Campaña Regular")</f>
        <v>Campaña Regular</v>
      </c>
      <c r="P79" s="152">
        <f>IFERROR(__xludf.DUMMYFUNCTION("""COMPUTED_VALUE"""),170.0)</f>
        <v>170</v>
      </c>
      <c r="Q79" s="151">
        <f>IFERROR(__xludf.DUMMYFUNCTION("""COMPUTED_VALUE"""),46214.0)</f>
        <v>46214</v>
      </c>
      <c r="R79" s="146" t="str">
        <f t="shared" si="1"/>
        <v>#N/A</v>
      </c>
    </row>
    <row r="80">
      <c r="C80" s="147"/>
      <c r="K80" s="146" t="str">
        <f>IFERROR(__xludf.DUMMYFUNCTION("""COMPUTED_VALUE"""),"30424452")</f>
        <v>30424452</v>
      </c>
      <c r="L80" s="146" t="str">
        <f>IFERROR(__xludf.DUMMYFUNCTION("""COMPUTED_VALUE"""),"CARMEN BALTAZARA CRUZ RIVERA")</f>
        <v>CARMEN BALTAZARA CRUZ RIVERA</v>
      </c>
      <c r="M80" s="146" t="str">
        <f>IFERROR(__xludf.DUMMYFUNCTION("""COMPUTED_VALUE"""),"AREQUIPA")</f>
        <v>AREQUIPA</v>
      </c>
      <c r="N80" s="146" t="str">
        <f>IFERROR(__xludf.DUMMYFUNCTION("""COMPUTED_VALUE"""),"1 PLAY")</f>
        <v>1 PLAY</v>
      </c>
      <c r="O80" s="146" t="str">
        <f>IFERROR(__xludf.DUMMYFUNCTION("""COMPUTED_VALUE"""),"Campaña Promo Mediana")</f>
        <v>Campaña Promo Mediana</v>
      </c>
      <c r="P80" s="152">
        <f>IFERROR(__xludf.DUMMYFUNCTION("""COMPUTED_VALUE"""),89.0)</f>
        <v>89</v>
      </c>
      <c r="Q80" s="151">
        <f>IFERROR(__xludf.DUMMYFUNCTION("""COMPUTED_VALUE"""),46214.0)</f>
        <v>46214</v>
      </c>
      <c r="R80" s="146" t="str">
        <f t="shared" si="1"/>
        <v>#N/A</v>
      </c>
    </row>
    <row r="81">
      <c r="C81" s="147"/>
      <c r="K81" s="146" t="str">
        <f>IFERROR(__xludf.DUMMYFUNCTION("""COMPUTED_VALUE"""),"44720551")</f>
        <v>44720551</v>
      </c>
      <c r="L81" s="146" t="str">
        <f>IFERROR(__xludf.DUMMYFUNCTION("""COMPUTED_VALUE"""),"MARTHA SEGUNDINA SAICO MENDIGURE")</f>
        <v>MARTHA SEGUNDINA SAICO MENDIGURE</v>
      </c>
      <c r="M81" s="146" t="str">
        <f>IFERROR(__xludf.DUMMYFUNCTION("""COMPUTED_VALUE"""),"CUSCO")</f>
        <v>CUSCO</v>
      </c>
      <c r="N81" s="146" t="str">
        <f>IFERROR(__xludf.DUMMYFUNCTION("""COMPUTED_VALUE"""),"1 PLAY")</f>
        <v>1 PLAY</v>
      </c>
      <c r="O81" s="146" t="str">
        <f>IFERROR(__xludf.DUMMYFUNCTION("""COMPUTED_VALUE"""),"Campaña Promo Mediana")</f>
        <v>Campaña Promo Mediana</v>
      </c>
      <c r="P81" s="152">
        <f>IFERROR(__xludf.DUMMYFUNCTION("""COMPUTED_VALUE"""),89.0)</f>
        <v>89</v>
      </c>
      <c r="Q81" s="151">
        <f>IFERROR(__xludf.DUMMYFUNCTION("""COMPUTED_VALUE"""),46214.0)</f>
        <v>46214</v>
      </c>
      <c r="R81" s="146" t="str">
        <f t="shared" si="1"/>
        <v>#N/A</v>
      </c>
    </row>
    <row r="82">
      <c r="C82" s="147"/>
      <c r="K82" s="146" t="str">
        <f>IFERROR(__xludf.DUMMYFUNCTION("""COMPUTED_VALUE"""),"41783714")</f>
        <v>41783714</v>
      </c>
      <c r="L82" s="146" t="str">
        <f>IFERROR(__xludf.DUMMYFUNCTION("""COMPUTED_VALUE"""),"GISSELLA SILVIA CASTRO VILLARREAL")</f>
        <v>GISSELLA SILVIA CASTRO VILLARREAL</v>
      </c>
      <c r="M82" s="146" t="str">
        <f>IFERROR(__xludf.DUMMYFUNCTION("""COMPUTED_VALUE"""),"LIMA METROPOLITANA")</f>
        <v>LIMA METROPOLITANA</v>
      </c>
      <c r="N82" s="146" t="str">
        <f>IFERROR(__xludf.DUMMYFUNCTION("""COMPUTED_VALUE"""),"2PLAY + TELF")</f>
        <v>2PLAY + TELF</v>
      </c>
      <c r="O82" s="146" t="str">
        <f>IFERROR(__xludf.DUMMYFUNCTION("""COMPUTED_VALUE"""),"Campaña Regular")</f>
        <v>Campaña Regular</v>
      </c>
      <c r="P82" s="152">
        <f>IFERROR(__xludf.DUMMYFUNCTION("""COMPUTED_VALUE"""),94.0)</f>
        <v>94</v>
      </c>
      <c r="Q82" s="151">
        <f>IFERROR(__xludf.DUMMYFUNCTION("""COMPUTED_VALUE"""),46214.0)</f>
        <v>46214</v>
      </c>
      <c r="R82" s="146" t="str">
        <f t="shared" si="1"/>
        <v>#N/A</v>
      </c>
    </row>
    <row r="83">
      <c r="C83" s="147"/>
      <c r="K83" s="146" t="str">
        <f>IFERROR(__xludf.DUMMYFUNCTION("""COMPUTED_VALUE"""),"02413778")</f>
        <v>02413778</v>
      </c>
      <c r="L83" s="146" t="str">
        <f>IFERROR(__xludf.DUMMYFUNCTION("""COMPUTED_VALUE"""),"HERNAN MIGUEL PANTIGOSO CUTIPA")</f>
        <v>HERNAN MIGUEL PANTIGOSO CUTIPA</v>
      </c>
      <c r="M83" s="146" t="str">
        <f>IFERROR(__xludf.DUMMYFUNCTION("""COMPUTED_VALUE"""),"PUNO")</f>
        <v>PUNO</v>
      </c>
      <c r="N83" s="146" t="str">
        <f>IFERROR(__xludf.DUMMYFUNCTION("""COMPUTED_VALUE"""),"1 PLAY")</f>
        <v>1 PLAY</v>
      </c>
      <c r="O83" s="146" t="str">
        <f>IFERROR(__xludf.DUMMYFUNCTION("""COMPUTED_VALUE"""),"Campaña Promo Mediana")</f>
        <v>Campaña Promo Mediana</v>
      </c>
      <c r="P83" s="152">
        <f>IFERROR(__xludf.DUMMYFUNCTION("""COMPUTED_VALUE"""),89.0)</f>
        <v>89</v>
      </c>
      <c r="Q83" s="151">
        <f>IFERROR(__xludf.DUMMYFUNCTION("""COMPUTED_VALUE"""),46215.0)</f>
        <v>46215</v>
      </c>
      <c r="R83" s="146" t="str">
        <f t="shared" si="1"/>
        <v>#N/A</v>
      </c>
    </row>
    <row r="84">
      <c r="C84" s="147"/>
      <c r="K84" s="146" t="str">
        <f>IFERROR(__xludf.DUMMYFUNCTION("""COMPUTED_VALUE"""),"08121557")</f>
        <v>08121557</v>
      </c>
      <c r="L84" s="146" t="str">
        <f>IFERROR(__xludf.DUMMYFUNCTION("""COMPUTED_VALUE"""),"CESAR AUGUSTO MOSAURIETA TOMAS")</f>
        <v>CESAR AUGUSTO MOSAURIETA TOMAS</v>
      </c>
      <c r="M84" s="146" t="str">
        <f>IFERROR(__xludf.DUMMYFUNCTION("""COMPUTED_VALUE"""),"LIMA METROPOLITANA")</f>
        <v>LIMA METROPOLITANA</v>
      </c>
      <c r="N84" s="146" t="str">
        <f>IFERROR(__xludf.DUMMYFUNCTION("""COMPUTED_VALUE"""),"1 PLAY")</f>
        <v>1 PLAY</v>
      </c>
      <c r="O84" s="146" t="str">
        <f>IFERROR(__xludf.DUMMYFUNCTION("""COMPUTED_VALUE"""),"Campaña Regular")</f>
        <v>Campaña Regular</v>
      </c>
      <c r="P84" s="152">
        <f>IFERROR(__xludf.DUMMYFUNCTION("""COMPUTED_VALUE"""),69.0)</f>
        <v>69</v>
      </c>
      <c r="Q84" s="151">
        <f>IFERROR(__xludf.DUMMYFUNCTION("""COMPUTED_VALUE"""),46215.0)</f>
        <v>46215</v>
      </c>
      <c r="R84" s="146" t="str">
        <f t="shared" si="1"/>
        <v>#N/A</v>
      </c>
    </row>
    <row r="85">
      <c r="C85" s="147"/>
      <c r="K85" s="146" t="str">
        <f>IFERROR(__xludf.DUMMYFUNCTION("""COMPUTED_VALUE"""),"004342773")</f>
        <v>004342773</v>
      </c>
      <c r="L85" s="146" t="str">
        <f>IFERROR(__xludf.DUMMYFUNCTION("""COMPUTED_VALUE"""),"YORLENIS GUEVARA CALVO")</f>
        <v>YORLENIS GUEVARA CALVO</v>
      </c>
      <c r="M85" s="146" t="str">
        <f>IFERROR(__xludf.DUMMYFUNCTION("""COMPUTED_VALUE"""),"LIMA METROPOLITANA")</f>
        <v>LIMA METROPOLITANA</v>
      </c>
      <c r="N85" s="146" t="str">
        <f>IFERROR(__xludf.DUMMYFUNCTION("""COMPUTED_VALUE"""),"1 PLAY")</f>
        <v>1 PLAY</v>
      </c>
      <c r="O85" s="146" t="str">
        <f>IFERROR(__xludf.DUMMYFUNCTION("""COMPUTED_VALUE"""),"Campaña Regular")</f>
        <v>Campaña Regular</v>
      </c>
      <c r="P85" s="152">
        <f>IFERROR(__xludf.DUMMYFUNCTION("""COMPUTED_VALUE"""),69.0)</f>
        <v>69</v>
      </c>
      <c r="Q85" s="151">
        <f>IFERROR(__xludf.DUMMYFUNCTION("""COMPUTED_VALUE"""),46215.0)</f>
        <v>46215</v>
      </c>
      <c r="R85" s="146" t="str">
        <f t="shared" si="1"/>
        <v>#N/A</v>
      </c>
    </row>
    <row r="86">
      <c r="C86" s="147"/>
      <c r="K86" s="146" t="str">
        <f>IFERROR(__xludf.DUMMYFUNCTION("""COMPUTED_VALUE"""),"40640920")</f>
        <v>40640920</v>
      </c>
      <c r="L86" s="146" t="str">
        <f>IFERROR(__xludf.DUMMYFUNCTION("""COMPUTED_VALUE"""),"DENIS HECTOR SOCUALAYA SOLANO")</f>
        <v>DENIS HECTOR SOCUALAYA SOLANO</v>
      </c>
      <c r="M86" s="146" t="str">
        <f>IFERROR(__xludf.DUMMYFUNCTION("""COMPUTED_VALUE"""),"LIMA METROPOLITANA")</f>
        <v>LIMA METROPOLITANA</v>
      </c>
      <c r="N86" s="146" t="str">
        <f>IFERROR(__xludf.DUMMYFUNCTION("""COMPUTED_VALUE"""),"1 PLAY")</f>
        <v>1 PLAY</v>
      </c>
      <c r="O86" s="146" t="str">
        <f>IFERROR(__xludf.DUMMYFUNCTION("""COMPUTED_VALUE"""),"Campaña Promo Mediana")</f>
        <v>Campaña Promo Mediana</v>
      </c>
      <c r="P86" s="152">
        <f>IFERROR(__xludf.DUMMYFUNCTION("""COMPUTED_VALUE"""),89.0)</f>
        <v>89</v>
      </c>
      <c r="Q86" s="151">
        <f>IFERROR(__xludf.DUMMYFUNCTION("""COMPUTED_VALUE"""),46215.0)</f>
        <v>46215</v>
      </c>
      <c r="R86" s="146" t="str">
        <f t="shared" si="1"/>
        <v>#N/A</v>
      </c>
    </row>
    <row r="87">
      <c r="C87" s="147"/>
      <c r="K87" s="146" t="str">
        <f>IFERROR(__xludf.DUMMYFUNCTION("""COMPUTED_VALUE"""),"44036480")</f>
        <v>44036480</v>
      </c>
      <c r="L87" s="146" t="str">
        <f>IFERROR(__xludf.DUMMYFUNCTION("""COMPUTED_VALUE"""),"MALPICA TOLEDO, SARITA DELIA")</f>
        <v>MALPICA TOLEDO, SARITA DELIA</v>
      </c>
      <c r="M87" s="146" t="str">
        <f>IFERROR(__xludf.DUMMYFUNCTION("""COMPUTED_VALUE"""),"LIMA METROPOLITANA")</f>
        <v>LIMA METROPOLITANA</v>
      </c>
      <c r="N87" s="146" t="str">
        <f>IFERROR(__xludf.DUMMYFUNCTION("""COMPUTED_VALUE"""),"1 PLAY")</f>
        <v>1 PLAY</v>
      </c>
      <c r="O87" s="146" t="str">
        <f>IFERROR(__xludf.DUMMYFUNCTION("""COMPUTED_VALUE"""),"Campaña 1 sol")</f>
        <v>Campaña 1 sol</v>
      </c>
      <c r="P87" s="152">
        <f>IFERROR(__xludf.DUMMYFUNCTION("""COMPUTED_VALUE"""),89.0)</f>
        <v>89</v>
      </c>
      <c r="Q87" s="151">
        <f>IFERROR(__xludf.DUMMYFUNCTION("""COMPUTED_VALUE"""),46216.0)</f>
        <v>46216</v>
      </c>
      <c r="R87" s="146" t="str">
        <f t="shared" si="1"/>
        <v>#N/A</v>
      </c>
    </row>
    <row r="88">
      <c r="C88" s="147"/>
      <c r="K88" s="146" t="str">
        <f>IFERROR(__xludf.DUMMYFUNCTION("""COMPUTED_VALUE"""),"46749149")</f>
        <v>46749149</v>
      </c>
      <c r="L88" s="146" t="str">
        <f>IFERROR(__xludf.DUMMYFUNCTION("""COMPUTED_VALUE"""),"KATTIA MARINA BRAVO GAVIDIA")</f>
        <v>KATTIA MARINA BRAVO GAVIDIA</v>
      </c>
      <c r="M88" s="146" t="str">
        <f>IFERROR(__xludf.DUMMYFUNCTION("""COMPUTED_VALUE"""),"HUANUCO")</f>
        <v>HUANUCO</v>
      </c>
      <c r="N88" s="146" t="str">
        <f>IFERROR(__xludf.DUMMYFUNCTION("""COMPUTED_VALUE"""),"1 PLAY")</f>
        <v>1 PLAY</v>
      </c>
      <c r="O88" s="146" t="str">
        <f>IFERROR(__xludf.DUMMYFUNCTION("""COMPUTED_VALUE"""),"Campaña Promo Mediana")</f>
        <v>Campaña Promo Mediana</v>
      </c>
      <c r="P88" s="152">
        <f>IFERROR(__xludf.DUMMYFUNCTION("""COMPUTED_VALUE"""),89.0)</f>
        <v>89</v>
      </c>
      <c r="Q88" s="151">
        <f>IFERROR(__xludf.DUMMYFUNCTION("""COMPUTED_VALUE"""),46216.0)</f>
        <v>46216</v>
      </c>
      <c r="R88" s="146" t="str">
        <f t="shared" si="1"/>
        <v>#N/A</v>
      </c>
    </row>
    <row r="89">
      <c r="C89" s="147"/>
      <c r="K89" s="146" t="str">
        <f>IFERROR(__xludf.DUMMYFUNCTION("""COMPUTED_VALUE"""),"002461492")</f>
        <v>002461492</v>
      </c>
      <c r="L89" s="146" t="str">
        <f>IFERROR(__xludf.DUMMYFUNCTION("""COMPUTED_VALUE"""),"JHON JAIBER JOSÉ AGOSTINI ÁVILA")</f>
        <v>JHON JAIBER JOSÉ AGOSTINI ÁVILA</v>
      </c>
      <c r="M89" s="146" t="str">
        <f>IFERROR(__xludf.DUMMYFUNCTION("""COMPUTED_VALUE"""),"LIMA METROPOLITANA")</f>
        <v>LIMA METROPOLITANA</v>
      </c>
      <c r="N89" s="146" t="str">
        <f>IFERROR(__xludf.DUMMYFUNCTION("""COMPUTED_VALUE"""),"2PLAY + TELF")</f>
        <v>2PLAY + TELF</v>
      </c>
      <c r="O89" s="146" t="str">
        <f>IFERROR(__xludf.DUMMYFUNCTION("""COMPUTED_VALUE"""),"Campaña Regular")</f>
        <v>Campaña Regular</v>
      </c>
      <c r="P89" s="152">
        <f>IFERROR(__xludf.DUMMYFUNCTION("""COMPUTED_VALUE"""),94.0)</f>
        <v>94</v>
      </c>
      <c r="Q89" s="151">
        <f>IFERROR(__xludf.DUMMYFUNCTION("""COMPUTED_VALUE"""),46216.0)</f>
        <v>46216</v>
      </c>
      <c r="R89" s="146" t="str">
        <f t="shared" si="1"/>
        <v>#N/A</v>
      </c>
    </row>
    <row r="90">
      <c r="C90" s="147"/>
      <c r="K90" s="146" t="str">
        <f>IFERROR(__xludf.DUMMYFUNCTION("""COMPUTED_VALUE"""),"46256747")</f>
        <v>46256747</v>
      </c>
      <c r="L90" s="146" t="str">
        <f>IFERROR(__xludf.DUMMYFUNCTION("""COMPUTED_VALUE"""),"SANDY AQUIJE SARAVIA")</f>
        <v>SANDY AQUIJE SARAVIA</v>
      </c>
      <c r="M90" s="146" t="str">
        <f>IFERROR(__xludf.DUMMYFUNCTION("""COMPUTED_VALUE"""),"ICA")</f>
        <v>ICA</v>
      </c>
      <c r="N90" s="146" t="str">
        <f>IFERROR(__xludf.DUMMYFUNCTION("""COMPUTED_VALUE"""),"1 PLAY")</f>
        <v>1 PLAY</v>
      </c>
      <c r="O90" s="146" t="str">
        <f>IFERROR(__xludf.DUMMYFUNCTION("""COMPUTED_VALUE"""),"Campaña Regular")</f>
        <v>Campaña Regular</v>
      </c>
      <c r="P90" s="152">
        <f>IFERROR(__xludf.DUMMYFUNCTION("""COMPUTED_VALUE"""),79.0)</f>
        <v>79</v>
      </c>
      <c r="Q90" s="151">
        <f>IFERROR(__xludf.DUMMYFUNCTION("""COMPUTED_VALUE"""),46216.0)</f>
        <v>46216</v>
      </c>
      <c r="R90" s="146" t="str">
        <f t="shared" si="1"/>
        <v>#N/A</v>
      </c>
    </row>
    <row r="91">
      <c r="C91" s="147"/>
      <c r="K91" s="146" t="str">
        <f>IFERROR(__xludf.DUMMYFUNCTION("""COMPUTED_VALUE"""),"74589665")</f>
        <v>74589665</v>
      </c>
      <c r="L91" s="146" t="str">
        <f>IFERROR(__xludf.DUMMYFUNCTION("""COMPUTED_VALUE"""),"NICOLAS ENRIQUE ZAMORA CHUMBISLLA")</f>
        <v>NICOLAS ENRIQUE ZAMORA CHUMBISLLA</v>
      </c>
      <c r="M91" s="146" t="str">
        <f>IFERROR(__xludf.DUMMYFUNCTION("""COMPUTED_VALUE"""),"APURIMAC")</f>
        <v>APURIMAC</v>
      </c>
      <c r="N91" s="146" t="str">
        <f>IFERROR(__xludf.DUMMYFUNCTION("""COMPUTED_VALUE"""),"2PLAY + TELF")</f>
        <v>2PLAY + TELF</v>
      </c>
      <c r="O91" s="146" t="str">
        <f>IFERROR(__xludf.DUMMYFUNCTION("""COMPUTED_VALUE"""),"Campaña Regular")</f>
        <v>Campaña Regular</v>
      </c>
      <c r="P91" s="152">
        <f>IFERROR(__xludf.DUMMYFUNCTION("""COMPUTED_VALUE"""),94.0)</f>
        <v>94</v>
      </c>
      <c r="Q91" s="151">
        <f>IFERROR(__xludf.DUMMYFUNCTION("""COMPUTED_VALUE"""),46217.0)</f>
        <v>46217</v>
      </c>
      <c r="R91" s="146" t="str">
        <f t="shared" si="1"/>
        <v>#N/A</v>
      </c>
    </row>
    <row r="92">
      <c r="C92" s="147"/>
      <c r="K92" s="146" t="str">
        <f>IFERROR(__xludf.DUMMYFUNCTION("""COMPUTED_VALUE"""),"02442829")</f>
        <v>02442829</v>
      </c>
      <c r="L92" s="146" t="str">
        <f>IFERROR(__xludf.DUMMYFUNCTION("""COMPUTED_VALUE"""),"MARINA PEREGRINA VILCA HUMPIRI")</f>
        <v>MARINA PEREGRINA VILCA HUMPIRI</v>
      </c>
      <c r="M92" s="146" t="str">
        <f>IFERROR(__xludf.DUMMYFUNCTION("""COMPUTED_VALUE"""),"AREQUIPA")</f>
        <v>AREQUIPA</v>
      </c>
      <c r="N92" s="146" t="str">
        <f>IFERROR(__xludf.DUMMYFUNCTION("""COMPUTED_VALUE"""),"2PLAY + TELF")</f>
        <v>2PLAY + TELF</v>
      </c>
      <c r="O92" s="146" t="str">
        <f>IFERROR(__xludf.DUMMYFUNCTION("""COMPUTED_VALUE"""),"Campaña Regular")</f>
        <v>Campaña Regular</v>
      </c>
      <c r="P92" s="152">
        <f>IFERROR(__xludf.DUMMYFUNCTION("""COMPUTED_VALUE"""),94.0)</f>
        <v>94</v>
      </c>
      <c r="Q92" s="151">
        <f>IFERROR(__xludf.DUMMYFUNCTION("""COMPUTED_VALUE"""),46217.0)</f>
        <v>46217</v>
      </c>
      <c r="R92" s="146" t="str">
        <f t="shared" si="1"/>
        <v>#N/A</v>
      </c>
    </row>
    <row r="93">
      <c r="C93" s="147"/>
      <c r="K93" s="146" t="str">
        <f>IFERROR(__xludf.DUMMYFUNCTION("""COMPUTED_VALUE"""),"45453835")</f>
        <v>45453835</v>
      </c>
      <c r="L93" s="146" t="str">
        <f>IFERROR(__xludf.DUMMYFUNCTION("""COMPUTED_VALUE"""),"ANDREA LIZBETH DIAZ NUÑEZ")</f>
        <v>ANDREA LIZBETH DIAZ NUÑEZ</v>
      </c>
      <c r="M93" s="146" t="str">
        <f>IFERROR(__xludf.DUMMYFUNCTION("""COMPUTED_VALUE"""),"LIMA METROPOLITANA")</f>
        <v>LIMA METROPOLITANA</v>
      </c>
      <c r="N93" s="146" t="str">
        <f>IFERROR(__xludf.DUMMYFUNCTION("""COMPUTED_VALUE"""),"2PLAY + TELF")</f>
        <v>2PLAY + TELF</v>
      </c>
      <c r="O93" s="146" t="str">
        <f>IFERROR(__xludf.DUMMYFUNCTION("""COMPUTED_VALUE"""),"Campaña Regular")</f>
        <v>Campaña Regular</v>
      </c>
      <c r="P93" s="152">
        <f>IFERROR(__xludf.DUMMYFUNCTION("""COMPUTED_VALUE"""),94.0)</f>
        <v>94</v>
      </c>
      <c r="Q93" s="151">
        <f>IFERROR(__xludf.DUMMYFUNCTION("""COMPUTED_VALUE"""),46217.0)</f>
        <v>46217</v>
      </c>
      <c r="R93" s="146" t="str">
        <f t="shared" si="1"/>
        <v>#N/A</v>
      </c>
    </row>
    <row r="94">
      <c r="C94" s="147"/>
      <c r="K94" s="146" t="str">
        <f>IFERROR(__xludf.DUMMYFUNCTION("""COMPUTED_VALUE"""),"46168538")</f>
        <v>46168538</v>
      </c>
      <c r="L94" s="146" t="str">
        <f>IFERROR(__xludf.DUMMYFUNCTION("""COMPUTED_VALUE"""),"FIORELLA KATHERINE GUEVARA YZACIGA")</f>
        <v>FIORELLA KATHERINE GUEVARA YZACIGA</v>
      </c>
      <c r="M94" s="146" t="str">
        <f>IFERROR(__xludf.DUMMYFUNCTION("""COMPUTED_VALUE"""),"LIMA METROPOLITANA")</f>
        <v>LIMA METROPOLITANA</v>
      </c>
      <c r="N94" s="146" t="str">
        <f>IFERROR(__xludf.DUMMYFUNCTION("""COMPUTED_VALUE"""),"1 PLAY")</f>
        <v>1 PLAY</v>
      </c>
      <c r="O94" s="146" t="str">
        <f>IFERROR(__xludf.DUMMYFUNCTION("""COMPUTED_VALUE"""),"Campaña Regular")</f>
        <v>Campaña Regular</v>
      </c>
      <c r="P94" s="152">
        <f>IFERROR(__xludf.DUMMYFUNCTION("""COMPUTED_VALUE"""),89.0)</f>
        <v>89</v>
      </c>
      <c r="Q94" s="151">
        <f>IFERROR(__xludf.DUMMYFUNCTION("""COMPUTED_VALUE"""),46217.0)</f>
        <v>46217</v>
      </c>
      <c r="R94" s="146" t="str">
        <f t="shared" si="1"/>
        <v>#N/A</v>
      </c>
    </row>
    <row r="95">
      <c r="C95" s="147"/>
      <c r="K95" s="146" t="str">
        <f>IFERROR(__xludf.DUMMYFUNCTION("""COMPUTED_VALUE"""),"09466909")</f>
        <v>09466909</v>
      </c>
      <c r="L95" s="146" t="str">
        <f>IFERROR(__xludf.DUMMYFUNCTION("""COMPUTED_VALUE"""),"WALTER PAREDES MENDOZA")</f>
        <v>WALTER PAREDES MENDOZA</v>
      </c>
      <c r="M95" s="146" t="str">
        <f>IFERROR(__xludf.DUMMYFUNCTION("""COMPUTED_VALUE"""),"LIMA METROPOLITANA")</f>
        <v>LIMA METROPOLITANA</v>
      </c>
      <c r="N95" s="146" t="str">
        <f>IFERROR(__xludf.DUMMYFUNCTION("""COMPUTED_VALUE"""),"1 PLAY")</f>
        <v>1 PLAY</v>
      </c>
      <c r="O95" s="146" t="str">
        <f>IFERROR(__xludf.DUMMYFUNCTION("""COMPUTED_VALUE"""),"Campaña Promo Mediana")</f>
        <v>Campaña Promo Mediana</v>
      </c>
      <c r="P95" s="152">
        <f>IFERROR(__xludf.DUMMYFUNCTION("""COMPUTED_VALUE"""),89.0)</f>
        <v>89</v>
      </c>
      <c r="Q95" s="151">
        <f>IFERROR(__xludf.DUMMYFUNCTION("""COMPUTED_VALUE"""),46217.0)</f>
        <v>46217</v>
      </c>
      <c r="R95" s="146" t="str">
        <f t="shared" si="1"/>
        <v>#N/A</v>
      </c>
    </row>
    <row r="96">
      <c r="C96" s="147"/>
      <c r="K96" s="146" t="str">
        <f>IFERROR(__xludf.DUMMYFUNCTION("""COMPUTED_VALUE"""),"45727304")</f>
        <v>45727304</v>
      </c>
      <c r="L96" s="146" t="str">
        <f>IFERROR(__xludf.DUMMYFUNCTION("""COMPUTED_VALUE"""),"EDWIN NEIL MACEDO LINO")</f>
        <v>EDWIN NEIL MACEDO LINO</v>
      </c>
      <c r="M96" s="146" t="str">
        <f>IFERROR(__xludf.DUMMYFUNCTION("""COMPUTED_VALUE"""),"LIMA METROPOLITANA")</f>
        <v>LIMA METROPOLITANA</v>
      </c>
      <c r="N96" s="146" t="str">
        <f>IFERROR(__xludf.DUMMYFUNCTION("""COMPUTED_VALUE"""),"1 PLAY")</f>
        <v>1 PLAY</v>
      </c>
      <c r="O96" s="146" t="str">
        <f>IFERROR(__xludf.DUMMYFUNCTION("""COMPUTED_VALUE"""),"Campaña Promo Mediana")</f>
        <v>Campaña Promo Mediana</v>
      </c>
      <c r="P96" s="152">
        <f>IFERROR(__xludf.DUMMYFUNCTION("""COMPUTED_VALUE"""),89.0)</f>
        <v>89</v>
      </c>
      <c r="Q96" s="151">
        <f>IFERROR(__xludf.DUMMYFUNCTION("""COMPUTED_VALUE"""),46217.0)</f>
        <v>46217</v>
      </c>
      <c r="R96" s="146" t="str">
        <f t="shared" si="1"/>
        <v>#N/A</v>
      </c>
    </row>
    <row r="97">
      <c r="C97" s="147"/>
      <c r="K97" s="146" t="str">
        <f>IFERROR(__xludf.DUMMYFUNCTION("""COMPUTED_VALUE"""),"008854110")</f>
        <v>008854110</v>
      </c>
      <c r="L97" s="146" t="str">
        <f>IFERROR(__xludf.DUMMYFUNCTION("""COMPUTED_VALUE"""),"ROJAS PARADAS KLEIVYS JHOANS")</f>
        <v>ROJAS PARADAS KLEIVYS JHOANS</v>
      </c>
      <c r="M97" s="146" t="str">
        <f>IFERROR(__xludf.DUMMYFUNCTION("""COMPUTED_VALUE"""),"AREQUIPA")</f>
        <v>AREQUIPA</v>
      </c>
      <c r="N97" s="146" t="str">
        <f>IFERROR(__xludf.DUMMYFUNCTION("""COMPUTED_VALUE"""),"1 PLAY")</f>
        <v>1 PLAY</v>
      </c>
      <c r="O97" s="146" t="str">
        <f>IFERROR(__xludf.DUMMYFUNCTION("""COMPUTED_VALUE"""),"Campaña HFC puro")</f>
        <v>Campaña HFC puro</v>
      </c>
      <c r="P97" s="152">
        <f>IFERROR(__xludf.DUMMYFUNCTION("""COMPUTED_VALUE"""),44.0)</f>
        <v>44</v>
      </c>
      <c r="Q97" s="151">
        <f>IFERROR(__xludf.DUMMYFUNCTION("""COMPUTED_VALUE"""),46217.0)</f>
        <v>46217</v>
      </c>
      <c r="R97" s="146" t="str">
        <f t="shared" si="1"/>
        <v>#N/A</v>
      </c>
    </row>
    <row r="98">
      <c r="C98" s="147"/>
      <c r="K98" s="146" t="str">
        <f>IFERROR(__xludf.DUMMYFUNCTION("""COMPUTED_VALUE"""),"44412922")</f>
        <v>44412922</v>
      </c>
      <c r="L98" s="146" t="str">
        <f>IFERROR(__xludf.DUMMYFUNCTION("""COMPUTED_VALUE"""),"FERNANDO CEFERINO CERNA DEPAZ")</f>
        <v>FERNANDO CEFERINO CERNA DEPAZ</v>
      </c>
      <c r="M98" s="146" t="str">
        <f>IFERROR(__xludf.DUMMYFUNCTION("""COMPUTED_VALUE"""),"ANCASH")</f>
        <v>ANCASH</v>
      </c>
      <c r="N98" s="146" t="str">
        <f>IFERROR(__xludf.DUMMYFUNCTION("""COMPUTED_VALUE"""),"1 PLAY")</f>
        <v>1 PLAY</v>
      </c>
      <c r="O98" s="146" t="str">
        <f>IFERROR(__xludf.DUMMYFUNCTION("""COMPUTED_VALUE"""),"Campaña Promo Mediana")</f>
        <v>Campaña Promo Mediana</v>
      </c>
      <c r="P98" s="152">
        <f>IFERROR(__xludf.DUMMYFUNCTION("""COMPUTED_VALUE"""),89.0)</f>
        <v>89</v>
      </c>
      <c r="Q98" s="151">
        <f>IFERROR(__xludf.DUMMYFUNCTION("""COMPUTED_VALUE"""),46218.0)</f>
        <v>46218</v>
      </c>
      <c r="R98" s="146" t="str">
        <f t="shared" si="1"/>
        <v>#N/A</v>
      </c>
    </row>
    <row r="99">
      <c r="C99" s="147"/>
      <c r="K99" s="146" t="str">
        <f>IFERROR(__xludf.DUMMYFUNCTION("""COMPUTED_VALUE"""),"42592834")</f>
        <v>42592834</v>
      </c>
      <c r="L99" s="146" t="str">
        <f>IFERROR(__xludf.DUMMYFUNCTION("""COMPUTED_VALUE"""),"JHOJAN CHRISTOPHER DONAYRE FAJARDO")</f>
        <v>JHOJAN CHRISTOPHER DONAYRE FAJARDO</v>
      </c>
      <c r="M99" s="146" t="str">
        <f>IFERROR(__xludf.DUMMYFUNCTION("""COMPUTED_VALUE"""),"LIMA METROPOLITANA")</f>
        <v>LIMA METROPOLITANA</v>
      </c>
      <c r="N99" s="146" t="str">
        <f>IFERROR(__xludf.DUMMYFUNCTION("""COMPUTED_VALUE"""),"2PLAY + TELF")</f>
        <v>2PLAY + TELF</v>
      </c>
      <c r="O99" s="146" t="str">
        <f>IFERROR(__xludf.DUMMYFUNCTION("""COMPUTED_VALUE"""),"Campaña Regular")</f>
        <v>Campaña Regular</v>
      </c>
      <c r="P99" s="152">
        <f>IFERROR(__xludf.DUMMYFUNCTION("""COMPUTED_VALUE"""),94.0)</f>
        <v>94</v>
      </c>
      <c r="Q99" s="151">
        <f>IFERROR(__xludf.DUMMYFUNCTION("""COMPUTED_VALUE"""),46218.0)</f>
        <v>46218</v>
      </c>
      <c r="R99" s="146" t="str">
        <f t="shared" si="1"/>
        <v>#N/A</v>
      </c>
    </row>
    <row r="100">
      <c r="C100" s="147"/>
      <c r="K100" s="146" t="str">
        <f>IFERROR(__xludf.DUMMYFUNCTION("""COMPUTED_VALUE"""),"60955645")</f>
        <v>60955645</v>
      </c>
      <c r="L100" s="146" t="str">
        <f>IFERROR(__xludf.DUMMYFUNCTION("""COMPUTED_VALUE"""),"SEBASTIAN ORLIN ENRIQUEZ SOLSOL")</f>
        <v>SEBASTIAN ORLIN ENRIQUEZ SOLSOL</v>
      </c>
      <c r="M100" s="146" t="str">
        <f>IFERROR(__xludf.DUMMYFUNCTION("""COMPUTED_VALUE"""),"LAMBAYEQUE")</f>
        <v>LAMBAYEQUE</v>
      </c>
      <c r="N100" s="146" t="str">
        <f>IFERROR(__xludf.DUMMYFUNCTION("""COMPUTED_VALUE"""),"1 PLAY")</f>
        <v>1 PLAY</v>
      </c>
      <c r="O100" s="146" t="str">
        <f>IFERROR(__xludf.DUMMYFUNCTION("""COMPUTED_VALUE"""),"Campaña Regular")</f>
        <v>Campaña Regular</v>
      </c>
      <c r="P100" s="152">
        <f>IFERROR(__xludf.DUMMYFUNCTION("""COMPUTED_VALUE"""),100.0)</f>
        <v>100</v>
      </c>
      <c r="Q100" s="151">
        <f>IFERROR(__xludf.DUMMYFUNCTION("""COMPUTED_VALUE"""),46218.0)</f>
        <v>46218</v>
      </c>
      <c r="R100" s="146" t="str">
        <f t="shared" si="1"/>
        <v>#N/A</v>
      </c>
    </row>
    <row r="101">
      <c r="C101" s="147"/>
      <c r="K101" s="146" t="str">
        <f>IFERROR(__xludf.DUMMYFUNCTION("""COMPUTED_VALUE"""),"77019539")</f>
        <v>77019539</v>
      </c>
      <c r="L101" s="146" t="str">
        <f>IFERROR(__xludf.DUMMYFUNCTION("""COMPUTED_VALUE"""),"VIRGILIO LINO CONDO CHUQUIRIMAY")</f>
        <v>VIRGILIO LINO CONDO CHUQUIRIMAY</v>
      </c>
      <c r="M101" s="146" t="str">
        <f>IFERROR(__xludf.DUMMYFUNCTION("""COMPUTED_VALUE"""),"ICA")</f>
        <v>ICA</v>
      </c>
      <c r="N101" s="146" t="str">
        <f>IFERROR(__xludf.DUMMYFUNCTION("""COMPUTED_VALUE"""),"1 PLAY")</f>
        <v>1 PLAY</v>
      </c>
      <c r="O101" s="146" t="str">
        <f>IFERROR(__xludf.DUMMYFUNCTION("""COMPUTED_VALUE"""),"Campaña Promo Mediana")</f>
        <v>Campaña Promo Mediana</v>
      </c>
      <c r="P101" s="152">
        <f>IFERROR(__xludf.DUMMYFUNCTION("""COMPUTED_VALUE"""),89.0)</f>
        <v>89</v>
      </c>
      <c r="Q101" s="151">
        <f>IFERROR(__xludf.DUMMYFUNCTION("""COMPUTED_VALUE"""),46219.0)</f>
        <v>46219</v>
      </c>
      <c r="R101" s="146" t="str">
        <f t="shared" si="1"/>
        <v>#N/A</v>
      </c>
    </row>
    <row r="102">
      <c r="C102" s="147"/>
      <c r="K102" s="146" t="str">
        <f>IFERROR(__xludf.DUMMYFUNCTION("""COMPUTED_VALUE"""),"70470485")</f>
        <v>70470485</v>
      </c>
      <c r="L102" s="146" t="str">
        <f>IFERROR(__xludf.DUMMYFUNCTION("""COMPUTED_VALUE"""),"DIEGO SANTIAGO ORBEGOSO ANGELES")</f>
        <v>DIEGO SANTIAGO ORBEGOSO ANGELES</v>
      </c>
      <c r="M102" s="146" t="str">
        <f>IFERROR(__xludf.DUMMYFUNCTION("""COMPUTED_VALUE"""),"LA LIBERTAD")</f>
        <v>LA LIBERTAD</v>
      </c>
      <c r="N102" s="146" t="str">
        <f>IFERROR(__xludf.DUMMYFUNCTION("""COMPUTED_VALUE"""),"2PLAY + TELF")</f>
        <v>2PLAY + TELF</v>
      </c>
      <c r="O102" s="146" t="str">
        <f>IFERROR(__xludf.DUMMYFUNCTION("""COMPUTED_VALUE"""),"Campaña Regular")</f>
        <v>Campaña Regular</v>
      </c>
      <c r="P102" s="152">
        <f>IFERROR(__xludf.DUMMYFUNCTION("""COMPUTED_VALUE"""),94.0)</f>
        <v>94</v>
      </c>
      <c r="Q102" s="151">
        <f>IFERROR(__xludf.DUMMYFUNCTION("""COMPUTED_VALUE"""),46219.0)</f>
        <v>46219</v>
      </c>
      <c r="R102" s="146" t="str">
        <f t="shared" si="1"/>
        <v>#N/A</v>
      </c>
    </row>
    <row r="103">
      <c r="C103" s="147"/>
      <c r="K103" s="146" t="str">
        <f>IFERROR(__xludf.DUMMYFUNCTION("""COMPUTED_VALUE"""),"44519214")</f>
        <v>44519214</v>
      </c>
      <c r="L103" s="146" t="str">
        <f>IFERROR(__xludf.DUMMYFUNCTION("""COMPUTED_VALUE"""),"LEONARDO FRANKLIN QUISPE YALLE")</f>
        <v>LEONARDO FRANKLIN QUISPE YALLE</v>
      </c>
      <c r="M103" s="146" t="str">
        <f>IFERROR(__xludf.DUMMYFUNCTION("""COMPUTED_VALUE"""),"ICA")</f>
        <v>ICA</v>
      </c>
      <c r="N103" s="146" t="str">
        <f>IFERROR(__xludf.DUMMYFUNCTION("""COMPUTED_VALUE"""),"1 PLAY + L1MAX")</f>
        <v>1 PLAY + L1MAX</v>
      </c>
      <c r="O103" s="146" t="str">
        <f>IFERROR(__xludf.DUMMYFUNCTION("""COMPUTED_VALUE"""),"Campaña Regular PRO")</f>
        <v>Campaña Regular PRO</v>
      </c>
      <c r="P103" s="152">
        <f>IFERROR(__xludf.DUMMYFUNCTION("""COMPUTED_VALUE"""),110.0)</f>
        <v>110</v>
      </c>
      <c r="Q103" s="151">
        <f>IFERROR(__xludf.DUMMYFUNCTION("""COMPUTED_VALUE"""),46219.0)</f>
        <v>46219</v>
      </c>
      <c r="R103" s="146" t="str">
        <f t="shared" si="1"/>
        <v>#N/A</v>
      </c>
    </row>
    <row r="104">
      <c r="C104" s="147"/>
      <c r="K104" s="146" t="str">
        <f>IFERROR(__xludf.DUMMYFUNCTION("""COMPUTED_VALUE"""),"45214315")</f>
        <v>45214315</v>
      </c>
      <c r="L104" s="146" t="str">
        <f>IFERROR(__xludf.DUMMYFUNCTION("""COMPUTED_VALUE"""),"EDER LUIS RODRIGUEZ BERECHE")</f>
        <v>EDER LUIS RODRIGUEZ BERECHE</v>
      </c>
      <c r="M104" s="146" t="str">
        <f>IFERROR(__xludf.DUMMYFUNCTION("""COMPUTED_VALUE"""),"ANCASH")</f>
        <v>ANCASH</v>
      </c>
      <c r="N104" s="146" t="str">
        <f>IFERROR(__xludf.DUMMYFUNCTION("""COMPUTED_VALUE"""),"1 PLAY")</f>
        <v>1 PLAY</v>
      </c>
      <c r="O104" s="146" t="str">
        <f>IFERROR(__xludf.DUMMYFUNCTION("""COMPUTED_VALUE"""),"Campaña Regular")</f>
        <v>Campaña Regular</v>
      </c>
      <c r="P104" s="152">
        <f>IFERROR(__xludf.DUMMYFUNCTION("""COMPUTED_VALUE"""),69.0)</f>
        <v>69</v>
      </c>
      <c r="Q104" s="151">
        <f>IFERROR(__xludf.DUMMYFUNCTION("""COMPUTED_VALUE"""),46220.0)</f>
        <v>46220</v>
      </c>
      <c r="R104" s="146" t="str">
        <f t="shared" si="1"/>
        <v>#N/A</v>
      </c>
    </row>
    <row r="105">
      <c r="C105" s="147"/>
      <c r="K105" s="146" t="str">
        <f>IFERROR(__xludf.DUMMYFUNCTION("""COMPUTED_VALUE"""),"32917555")</f>
        <v>32917555</v>
      </c>
      <c r="L105" s="146" t="str">
        <f>IFERROR(__xludf.DUMMYFUNCTION("""COMPUTED_VALUE"""),"MARIANELA JANET CISNEROS ALFARO")</f>
        <v>MARIANELA JANET CISNEROS ALFARO</v>
      </c>
      <c r="M105" s="146" t="str">
        <f>IFERROR(__xludf.DUMMYFUNCTION("""COMPUTED_VALUE"""),"ANCASH")</f>
        <v>ANCASH</v>
      </c>
      <c r="N105" s="146" t="str">
        <f>IFERROR(__xludf.DUMMYFUNCTION("""COMPUTED_VALUE"""),"1 PLAY")</f>
        <v>1 PLAY</v>
      </c>
      <c r="O105" s="146" t="str">
        <f>IFERROR(__xludf.DUMMYFUNCTION("""COMPUTED_VALUE"""),"Campaña Regular")</f>
        <v>Campaña Regular</v>
      </c>
      <c r="P105" s="152">
        <f>IFERROR(__xludf.DUMMYFUNCTION("""COMPUTED_VALUE"""),89.0)</f>
        <v>89</v>
      </c>
      <c r="Q105" s="151">
        <f>IFERROR(__xludf.DUMMYFUNCTION("""COMPUTED_VALUE"""),46220.0)</f>
        <v>46220</v>
      </c>
      <c r="R105" s="146" t="str">
        <f t="shared" si="1"/>
        <v>#N/A</v>
      </c>
    </row>
    <row r="106">
      <c r="C106" s="147"/>
      <c r="K106" s="146" t="str">
        <f>IFERROR(__xludf.DUMMYFUNCTION("""COMPUTED_VALUE"""),"41921272")</f>
        <v>41921272</v>
      </c>
      <c r="L106" s="146" t="str">
        <f>IFERROR(__xludf.DUMMYFUNCTION("""COMPUTED_VALUE"""),"KAREN JACQUELINE ROMERO MORI")</f>
        <v>KAREN JACQUELINE ROMERO MORI</v>
      </c>
      <c r="M106" s="146" t="str">
        <f>IFERROR(__xludf.DUMMYFUNCTION("""COMPUTED_VALUE"""),"CALLAO")</f>
        <v>CALLAO</v>
      </c>
      <c r="N106" s="146" t="str">
        <f>IFERROR(__xludf.DUMMYFUNCTION("""COMPUTED_VALUE"""),"1 PLAY")</f>
        <v>1 PLAY</v>
      </c>
      <c r="O106" s="146" t="str">
        <f>IFERROR(__xludf.DUMMYFUNCTION("""COMPUTED_VALUE"""),"Campaña Regular")</f>
        <v>Campaña Regular</v>
      </c>
      <c r="P106" s="152">
        <f>IFERROR(__xludf.DUMMYFUNCTION("""COMPUTED_VALUE"""),89.0)</f>
        <v>89</v>
      </c>
      <c r="Q106" s="151">
        <f>IFERROR(__xludf.DUMMYFUNCTION("""COMPUTED_VALUE"""),46220.0)</f>
        <v>46220</v>
      </c>
      <c r="R106" s="146" t="str">
        <f t="shared" si="1"/>
        <v>#N/A</v>
      </c>
    </row>
    <row r="107">
      <c r="C107" s="147"/>
      <c r="K107" s="146" t="str">
        <f>IFERROR(__xludf.DUMMYFUNCTION("""COMPUTED_VALUE"""),"46373400")</f>
        <v>46373400</v>
      </c>
      <c r="L107" s="146" t="str">
        <f>IFERROR(__xludf.DUMMYFUNCTION("""COMPUTED_VALUE"""),"RAQUEL EUNICE VILLEGAS ALARCON")</f>
        <v>RAQUEL EUNICE VILLEGAS ALARCON</v>
      </c>
      <c r="M107" s="146" t="str">
        <f>IFERROR(__xludf.DUMMYFUNCTION("""COMPUTED_VALUE"""),"LIMA METROPOLITANA")</f>
        <v>LIMA METROPOLITANA</v>
      </c>
      <c r="N107" s="146" t="str">
        <f>IFERROR(__xludf.DUMMYFUNCTION("""COMPUTED_VALUE"""),"2PLAY + TELF")</f>
        <v>2PLAY + TELF</v>
      </c>
      <c r="O107" s="146" t="str">
        <f>IFERROR(__xludf.DUMMYFUNCTION("""COMPUTED_VALUE"""),"Campaña Regular")</f>
        <v>Campaña Regular</v>
      </c>
      <c r="P107" s="152">
        <f>IFERROR(__xludf.DUMMYFUNCTION("""COMPUTED_VALUE"""),115.0)</f>
        <v>115</v>
      </c>
      <c r="Q107" s="151">
        <f>IFERROR(__xludf.DUMMYFUNCTION("""COMPUTED_VALUE"""),46221.0)</f>
        <v>46221</v>
      </c>
      <c r="R107" s="146" t="str">
        <f t="shared" si="1"/>
        <v>#N/A</v>
      </c>
    </row>
    <row r="108">
      <c r="C108" s="147"/>
      <c r="K108" s="146" t="str">
        <f>IFERROR(__xludf.DUMMYFUNCTION("""COMPUTED_VALUE"""),"60451631")</f>
        <v>60451631</v>
      </c>
      <c r="L108" s="146" t="str">
        <f>IFERROR(__xludf.DUMMYFUNCTION("""COMPUTED_VALUE"""),"FABRIZIO FERNANDO AGUILAR VERA")</f>
        <v>FABRIZIO FERNANDO AGUILAR VERA</v>
      </c>
      <c r="M108" s="146" t="str">
        <f>IFERROR(__xludf.DUMMYFUNCTION("""COMPUTED_VALUE"""),"LAMBAYEQUE")</f>
        <v>LAMBAYEQUE</v>
      </c>
      <c r="N108" s="146" t="str">
        <f>IFERROR(__xludf.DUMMYFUNCTION("""COMPUTED_VALUE"""),"1 PLAY")</f>
        <v>1 PLAY</v>
      </c>
      <c r="O108" s="146" t="str">
        <f>IFERROR(__xludf.DUMMYFUNCTION("""COMPUTED_VALUE"""),"Campaña Regular")</f>
        <v>Campaña Regular</v>
      </c>
      <c r="P108" s="152">
        <f>IFERROR(__xludf.DUMMYFUNCTION("""COMPUTED_VALUE"""),89.0)</f>
        <v>89</v>
      </c>
      <c r="Q108" s="151">
        <f>IFERROR(__xludf.DUMMYFUNCTION("""COMPUTED_VALUE"""),46222.0)</f>
        <v>46222</v>
      </c>
      <c r="R108" s="146" t="str">
        <f t="shared" si="1"/>
        <v>#N/A</v>
      </c>
    </row>
    <row r="109">
      <c r="C109" s="147"/>
      <c r="K109" s="146" t="str">
        <f>IFERROR(__xludf.DUMMYFUNCTION("""COMPUTED_VALUE"""),"32988719")</f>
        <v>32988719</v>
      </c>
      <c r="L109" s="146" t="str">
        <f>IFERROR(__xludf.DUMMYFUNCTION("""COMPUTED_VALUE"""),"SUSAN HERLITA MORENO TAPIA")</f>
        <v>SUSAN HERLITA MORENO TAPIA</v>
      </c>
      <c r="M109" s="146" t="str">
        <f>IFERROR(__xludf.DUMMYFUNCTION("""COMPUTED_VALUE"""),"ANCASH")</f>
        <v>ANCASH</v>
      </c>
      <c r="N109" s="146" t="str">
        <f>IFERROR(__xludf.DUMMYFUNCTION("""COMPUTED_VALUE"""),"1 PLAY")</f>
        <v>1 PLAY</v>
      </c>
      <c r="O109" s="146" t="str">
        <f>IFERROR(__xludf.DUMMYFUNCTION("""COMPUTED_VALUE"""),"Campaña HFC puro")</f>
        <v>Campaña HFC puro</v>
      </c>
      <c r="P109" s="152">
        <f>IFERROR(__xludf.DUMMYFUNCTION("""COMPUTED_VALUE"""),44.0)</f>
        <v>44</v>
      </c>
      <c r="Q109" s="151">
        <f>IFERROR(__xludf.DUMMYFUNCTION("""COMPUTED_VALUE"""),46222.0)</f>
        <v>46222</v>
      </c>
      <c r="R109" s="146" t="str">
        <f t="shared" si="1"/>
        <v>#N/A</v>
      </c>
    </row>
    <row r="110">
      <c r="C110" s="147"/>
      <c r="K110" s="146" t="str">
        <f>IFERROR(__xludf.DUMMYFUNCTION("""COMPUTED_VALUE"""),"22275348")</f>
        <v>22275348</v>
      </c>
      <c r="L110" s="146" t="str">
        <f>IFERROR(__xludf.DUMMYFUNCTION("""COMPUTED_VALUE"""),"ODRIA PAREDES, MARIA ALICIA")</f>
        <v>ODRIA PAREDES, MARIA ALICIA</v>
      </c>
      <c r="M110" s="146" t="str">
        <f>IFERROR(__xludf.DUMMYFUNCTION("""COMPUTED_VALUE"""),"LIMA METROPOLITANA")</f>
        <v>LIMA METROPOLITANA</v>
      </c>
      <c r="N110" s="146" t="str">
        <f>IFERROR(__xludf.DUMMYFUNCTION("""COMPUTED_VALUE"""),"1 PLAY")</f>
        <v>1 PLAY</v>
      </c>
      <c r="O110" s="146" t="str">
        <f>IFERROR(__xludf.DUMMYFUNCTION("""COMPUTED_VALUE"""),"Campaña Regular")</f>
        <v>Campaña Regular</v>
      </c>
      <c r="P110" s="152">
        <f>IFERROR(__xludf.DUMMYFUNCTION("""COMPUTED_VALUE"""),89.0)</f>
        <v>89</v>
      </c>
      <c r="Q110" s="151">
        <f>IFERROR(__xludf.DUMMYFUNCTION("""COMPUTED_VALUE"""),46222.0)</f>
        <v>46222</v>
      </c>
      <c r="R110" s="146" t="str">
        <f t="shared" si="1"/>
        <v>#N/A</v>
      </c>
    </row>
    <row r="111">
      <c r="C111" s="147"/>
      <c r="K111" s="146" t="str">
        <f>IFERROR(__xludf.DUMMYFUNCTION("""COMPUTED_VALUE"""),"60967496")</f>
        <v>60967496</v>
      </c>
      <c r="L111" s="146" t="str">
        <f>IFERROR(__xludf.DUMMYFUNCTION("""COMPUTED_VALUE"""),"ALEXIS BALTAZAR MAMANI MAMANI")</f>
        <v>ALEXIS BALTAZAR MAMANI MAMANI</v>
      </c>
      <c r="M111" s="146" t="str">
        <f>IFERROR(__xludf.DUMMYFUNCTION("""COMPUTED_VALUE"""),"AREQUIPA")</f>
        <v>AREQUIPA</v>
      </c>
      <c r="N111" s="146" t="str">
        <f>IFERROR(__xludf.DUMMYFUNCTION("""COMPUTED_VALUE"""),"1 PLAY")</f>
        <v>1 PLAY</v>
      </c>
      <c r="O111" s="146" t="str">
        <f>IFERROR(__xludf.DUMMYFUNCTION("""COMPUTED_VALUE"""),"Campaña Regular")</f>
        <v>Campaña Regular</v>
      </c>
      <c r="P111" s="152">
        <f>IFERROR(__xludf.DUMMYFUNCTION("""COMPUTED_VALUE"""),89.0)</f>
        <v>89</v>
      </c>
      <c r="Q111" s="151">
        <f>IFERROR(__xludf.DUMMYFUNCTION("""COMPUTED_VALUE"""),46222.0)</f>
        <v>46222</v>
      </c>
      <c r="R111" s="146" t="str">
        <f t="shared" si="1"/>
        <v>#N/A</v>
      </c>
    </row>
    <row r="112">
      <c r="C112" s="147"/>
      <c r="K112" s="146" t="str">
        <f>IFERROR(__xludf.DUMMYFUNCTION("""COMPUTED_VALUE"""),"44001748")</f>
        <v>44001748</v>
      </c>
      <c r="L112" s="146" t="str">
        <f>IFERROR(__xludf.DUMMYFUNCTION("""COMPUTED_VALUE"""),"JUAN VLADIMIR FARFAN MAMANI")</f>
        <v>JUAN VLADIMIR FARFAN MAMANI</v>
      </c>
      <c r="M112" s="146" t="str">
        <f>IFERROR(__xludf.DUMMYFUNCTION("""COMPUTED_VALUE"""),"TACNA")</f>
        <v>TACNA</v>
      </c>
      <c r="N112" s="146" t="str">
        <f>IFERROR(__xludf.DUMMYFUNCTION("""COMPUTED_VALUE"""),"2PLAY + TELF")</f>
        <v>2PLAY + TELF</v>
      </c>
      <c r="O112" s="146" t="str">
        <f>IFERROR(__xludf.DUMMYFUNCTION("""COMPUTED_VALUE"""),"Campaña Regular")</f>
        <v>Campaña Regular</v>
      </c>
      <c r="P112" s="152">
        <f>IFERROR(__xludf.DUMMYFUNCTION("""COMPUTED_VALUE"""),94.0)</f>
        <v>94</v>
      </c>
      <c r="Q112" s="151">
        <f>IFERROR(__xludf.DUMMYFUNCTION("""COMPUTED_VALUE"""),46223.0)</f>
        <v>46223</v>
      </c>
      <c r="R112" s="146" t="str">
        <f t="shared" si="1"/>
        <v>#N/A</v>
      </c>
    </row>
    <row r="113">
      <c r="C113" s="147"/>
      <c r="K113" s="146" t="str">
        <f>IFERROR(__xludf.DUMMYFUNCTION("""COMPUTED_VALUE"""),"46812160")</f>
        <v>46812160</v>
      </c>
      <c r="L113" s="146" t="str">
        <f>IFERROR(__xludf.DUMMYFUNCTION("""COMPUTED_VALUE"""),"JOSE EDUARDO COLLANTES INFANTE")</f>
        <v>JOSE EDUARDO COLLANTES INFANTE</v>
      </c>
      <c r="M113" s="146" t="str">
        <f>IFERROR(__xludf.DUMMYFUNCTION("""COMPUTED_VALUE"""),"LA LIBERTAD")</f>
        <v>LA LIBERTAD</v>
      </c>
      <c r="N113" s="146" t="str">
        <f>IFERROR(__xludf.DUMMYFUNCTION("""COMPUTED_VALUE"""),"2 PLAY + TV ESTANDAR")</f>
        <v>2 PLAY + TV ESTANDAR</v>
      </c>
      <c r="O113" s="146" t="str">
        <f>IFERROR(__xludf.DUMMYFUNCTION("""COMPUTED_VALUE"""),"Campaña Regular")</f>
        <v>Campaña Regular</v>
      </c>
      <c r="P113" s="152">
        <f>IFERROR(__xludf.DUMMYFUNCTION("""COMPUTED_VALUE"""),170.0)</f>
        <v>170</v>
      </c>
      <c r="Q113" s="151">
        <f>IFERROR(__xludf.DUMMYFUNCTION("""COMPUTED_VALUE"""),46223.0)</f>
        <v>46223</v>
      </c>
      <c r="R113" s="146" t="str">
        <f t="shared" si="1"/>
        <v>#N/A</v>
      </c>
    </row>
    <row r="114">
      <c r="C114" s="147"/>
      <c r="K114" s="146" t="str">
        <f>IFERROR(__xludf.DUMMYFUNCTION("""COMPUTED_VALUE"""),"72214402")</f>
        <v>72214402</v>
      </c>
      <c r="L114" s="146" t="str">
        <f>IFERROR(__xludf.DUMMYFUNCTION("""COMPUTED_VALUE"""),"ALVARO LUIS MURO VILLAVICENCIO")</f>
        <v>ALVARO LUIS MURO VILLAVICENCIO</v>
      </c>
      <c r="M114" s="146" t="str">
        <f>IFERROR(__xludf.DUMMYFUNCTION("""COMPUTED_VALUE"""),"LIMA METROPOLITANA")</f>
        <v>LIMA METROPOLITANA</v>
      </c>
      <c r="N114" s="146" t="str">
        <f>IFERROR(__xludf.DUMMYFUNCTION("""COMPUTED_VALUE"""),"1 PLAY")</f>
        <v>1 PLAY</v>
      </c>
      <c r="O114" s="146" t="str">
        <f>IFERROR(__xludf.DUMMYFUNCTION("""COMPUTED_VALUE"""),"Campaña Regular")</f>
        <v>Campaña Regular</v>
      </c>
      <c r="P114" s="152">
        <f>IFERROR(__xludf.DUMMYFUNCTION("""COMPUTED_VALUE"""),89.0)</f>
        <v>89</v>
      </c>
      <c r="Q114" s="151">
        <f>IFERROR(__xludf.DUMMYFUNCTION("""COMPUTED_VALUE"""),46223.0)</f>
        <v>46223</v>
      </c>
      <c r="R114" s="146" t="str">
        <f t="shared" si="1"/>
        <v>#N/A</v>
      </c>
    </row>
    <row r="115">
      <c r="C115" s="147"/>
      <c r="K115" s="146" t="str">
        <f>IFERROR(__xludf.DUMMYFUNCTION("""COMPUTED_VALUE"""),"77806035")</f>
        <v>77806035</v>
      </c>
      <c r="L115" s="146" t="str">
        <f>IFERROR(__xludf.DUMMYFUNCTION("""COMPUTED_VALUE"""),"PATRIC JHAIR HUAYTA ALMEIDA")</f>
        <v>PATRIC JHAIR HUAYTA ALMEIDA</v>
      </c>
      <c r="M115" s="146" t="str">
        <f>IFERROR(__xludf.DUMMYFUNCTION("""COMPUTED_VALUE"""),"LIMA METROPOLITANA")</f>
        <v>LIMA METROPOLITANA</v>
      </c>
      <c r="N115" s="146" t="str">
        <f>IFERROR(__xludf.DUMMYFUNCTION("""COMPUTED_VALUE"""),"2PLAY + TELF")</f>
        <v>2PLAY + TELF</v>
      </c>
      <c r="O115" s="146" t="str">
        <f>IFERROR(__xludf.DUMMYFUNCTION("""COMPUTED_VALUE"""),"Campaña Regular")</f>
        <v>Campaña Regular</v>
      </c>
      <c r="P115" s="152">
        <f>IFERROR(__xludf.DUMMYFUNCTION("""COMPUTED_VALUE"""),94.0)</f>
        <v>94</v>
      </c>
      <c r="Q115" s="151">
        <f>IFERROR(__xludf.DUMMYFUNCTION("""COMPUTED_VALUE"""),46223.0)</f>
        <v>46223</v>
      </c>
      <c r="R115" s="146" t="str">
        <f t="shared" si="1"/>
        <v>#N/A</v>
      </c>
    </row>
    <row r="116">
      <c r="C116" s="147"/>
      <c r="K116" s="146" t="str">
        <f>IFERROR(__xludf.DUMMYFUNCTION("""COMPUTED_VALUE"""),"42639907")</f>
        <v>42639907</v>
      </c>
      <c r="L116" s="146" t="str">
        <f>IFERROR(__xludf.DUMMYFUNCTION("""COMPUTED_VALUE"""),"DARWIN BRAULIO ROBLES ILDEFONSO")</f>
        <v>DARWIN BRAULIO ROBLES ILDEFONSO</v>
      </c>
      <c r="M116" s="146" t="str">
        <f>IFERROR(__xludf.DUMMYFUNCTION("""COMPUTED_VALUE"""),"LIMA METROPOLITANA")</f>
        <v>LIMA METROPOLITANA</v>
      </c>
      <c r="N116" s="146" t="str">
        <f>IFERROR(__xludf.DUMMYFUNCTION("""COMPUTED_VALUE"""),"2PLAY + TELF")</f>
        <v>2PLAY + TELF</v>
      </c>
      <c r="O116" s="146" t="str">
        <f>IFERROR(__xludf.DUMMYFUNCTION("""COMPUTED_VALUE"""),"Campaña Regular")</f>
        <v>Campaña Regular</v>
      </c>
      <c r="P116" s="152">
        <f>IFERROR(__xludf.DUMMYFUNCTION("""COMPUTED_VALUE"""),94.0)</f>
        <v>94</v>
      </c>
      <c r="Q116" s="151">
        <f>IFERROR(__xludf.DUMMYFUNCTION("""COMPUTED_VALUE"""),46223.0)</f>
        <v>46223</v>
      </c>
    </row>
    <row r="117">
      <c r="C117" s="147"/>
      <c r="K117" s="146" t="str">
        <f>IFERROR(__xludf.DUMMYFUNCTION("""COMPUTED_VALUE"""),"20454443765")</f>
        <v>20454443765</v>
      </c>
      <c r="L117" s="146" t="str">
        <f>IFERROR(__xludf.DUMMYFUNCTION("""COMPUTED_VALUE"""),"P &amp; O SISTEMAS GERENCIALES S.A.C.")</f>
        <v>P &amp; O SISTEMAS GERENCIALES S.A.C.</v>
      </c>
      <c r="M117" s="146" t="str">
        <f>IFERROR(__xludf.DUMMYFUNCTION("""COMPUTED_VALUE"""),"LIMA METROPOLITANA")</f>
        <v>LIMA METROPOLITANA</v>
      </c>
      <c r="N117" s="146" t="str">
        <f>IFERROR(__xludf.DUMMYFUNCTION("""COMPUTED_VALUE"""),"1 PLAY")</f>
        <v>1 PLAY</v>
      </c>
      <c r="O117" s="146" t="str">
        <f>IFERROR(__xludf.DUMMYFUNCTION("""COMPUTED_VALUE"""),"Campaña Regular")</f>
        <v>Campaña Regular</v>
      </c>
      <c r="P117" s="152">
        <f>IFERROR(__xludf.DUMMYFUNCTION("""COMPUTED_VALUE"""),89.0)</f>
        <v>89</v>
      </c>
      <c r="Q117" s="151">
        <f>IFERROR(__xludf.DUMMYFUNCTION("""COMPUTED_VALUE"""),46223.0)</f>
        <v>46223</v>
      </c>
    </row>
    <row r="118">
      <c r="C118" s="147"/>
      <c r="K118" s="146" t="str">
        <f>IFERROR(__xludf.DUMMYFUNCTION("""COMPUTED_VALUE"""),"23657035")</f>
        <v>23657035</v>
      </c>
      <c r="L118" s="146" t="str">
        <f>IFERROR(__xludf.DUMMYFUNCTION("""COMPUTED_VALUE"""),"FELIX TEODORO ALANYA HUAYANAY")</f>
        <v>FELIX TEODORO ALANYA HUAYANAY</v>
      </c>
      <c r="M118" s="146" t="str">
        <f>IFERROR(__xludf.DUMMYFUNCTION("""COMPUTED_VALUE"""),"LIMA")</f>
        <v>LIMA</v>
      </c>
      <c r="N118" s="146" t="str">
        <f>IFERROR(__xludf.DUMMYFUNCTION("""COMPUTED_VALUE"""),"2PLAY + TELF")</f>
        <v>2PLAY + TELF</v>
      </c>
      <c r="O118" s="146" t="str">
        <f>IFERROR(__xludf.DUMMYFUNCTION("""COMPUTED_VALUE"""),"Campaña Regular")</f>
        <v>Campaña Regular</v>
      </c>
      <c r="P118" s="152">
        <f>IFERROR(__xludf.DUMMYFUNCTION("""COMPUTED_VALUE"""),94.0)</f>
        <v>94</v>
      </c>
      <c r="Q118" s="151">
        <f>IFERROR(__xludf.DUMMYFUNCTION("""COMPUTED_VALUE"""),46224.0)</f>
        <v>46224</v>
      </c>
    </row>
    <row r="119">
      <c r="C119" s="147"/>
      <c r="K119" s="146" t="str">
        <f>IFERROR(__xludf.DUMMYFUNCTION("""COMPUTED_VALUE"""),"09809000")</f>
        <v>09809000</v>
      </c>
      <c r="L119" s="146" t="str">
        <f>IFERROR(__xludf.DUMMYFUNCTION("""COMPUTED_VALUE"""),"ROSA ENITH LINARES DE VENANCINO")</f>
        <v>ROSA ENITH LINARES DE VENANCINO</v>
      </c>
      <c r="M119" s="146" t="str">
        <f>IFERROR(__xludf.DUMMYFUNCTION("""COMPUTED_VALUE"""),"LIMA METROPOLITANA")</f>
        <v>LIMA METROPOLITANA</v>
      </c>
      <c r="N119" s="146" t="str">
        <f>IFERROR(__xludf.DUMMYFUNCTION("""COMPUTED_VALUE"""),"2 PLAY + TV ESTANDAR")</f>
        <v>2 PLAY + TV ESTANDAR</v>
      </c>
      <c r="O119" s="146" t="str">
        <f>IFERROR(__xludf.DUMMYFUNCTION("""COMPUTED_VALUE"""),"Campaña Regular")</f>
        <v>Campaña Regular</v>
      </c>
      <c r="P119" s="152">
        <f>IFERROR(__xludf.DUMMYFUNCTION("""COMPUTED_VALUE"""),150.0)</f>
        <v>150</v>
      </c>
      <c r="Q119" s="151">
        <f>IFERROR(__xludf.DUMMYFUNCTION("""COMPUTED_VALUE"""),46224.0)</f>
        <v>46224</v>
      </c>
    </row>
    <row r="120">
      <c r="C120" s="147"/>
      <c r="K120" s="146" t="str">
        <f>IFERROR(__xludf.DUMMYFUNCTION("""COMPUTED_VALUE"""),"01333032")</f>
        <v>01333032</v>
      </c>
      <c r="L120" s="146" t="str">
        <f>IFERROR(__xludf.DUMMYFUNCTION("""COMPUTED_VALUE"""),"FILOMENA LOURDES QUICAÑO NÚÑEZ DE LÓPEZ")</f>
        <v>FILOMENA LOURDES QUICAÑO NÚÑEZ DE LÓPEZ</v>
      </c>
      <c r="M120" s="146" t="str">
        <f>IFERROR(__xludf.DUMMYFUNCTION("""COMPUTED_VALUE"""),"PUNO")</f>
        <v>PUNO</v>
      </c>
      <c r="N120" s="146" t="str">
        <f>IFERROR(__xludf.DUMMYFUNCTION("""COMPUTED_VALUE"""),"1 PLAY")</f>
        <v>1 PLAY</v>
      </c>
      <c r="O120" s="146" t="str">
        <f>IFERROR(__xludf.DUMMYFUNCTION("""COMPUTED_VALUE"""),"Campaña Regular")</f>
        <v>Campaña Regular</v>
      </c>
      <c r="P120" s="152">
        <f>IFERROR(__xludf.DUMMYFUNCTION("""COMPUTED_VALUE"""),89.0)</f>
        <v>89</v>
      </c>
      <c r="Q120" s="151">
        <f>IFERROR(__xludf.DUMMYFUNCTION("""COMPUTED_VALUE"""),46225.0)</f>
        <v>46225</v>
      </c>
    </row>
    <row r="121">
      <c r="C121" s="147"/>
      <c r="K121" s="146" t="str">
        <f>IFERROR(__xludf.DUMMYFUNCTION("""COMPUTED_VALUE"""),"72244365")</f>
        <v>72244365</v>
      </c>
      <c r="L121" s="146" t="str">
        <f>IFERROR(__xludf.DUMMYFUNCTION("""COMPUTED_VALUE"""),"COLLADO FUENTES, FIORELLA NICOLE")</f>
        <v>COLLADO FUENTES, FIORELLA NICOLE</v>
      </c>
      <c r="M121" s="146" t="str">
        <f>IFERROR(__xludf.DUMMYFUNCTION("""COMPUTED_VALUE"""),"AREQUIPA")</f>
        <v>AREQUIPA</v>
      </c>
      <c r="N121" s="146" t="str">
        <f>IFERROR(__xludf.DUMMYFUNCTION("""COMPUTED_VALUE"""),"1 PLAY")</f>
        <v>1 PLAY</v>
      </c>
      <c r="O121" s="146" t="str">
        <f>IFERROR(__xludf.DUMMYFUNCTION("""COMPUTED_VALUE"""),"Campaña Regular")</f>
        <v>Campaña Regular</v>
      </c>
      <c r="P121" s="152">
        <f>IFERROR(__xludf.DUMMYFUNCTION("""COMPUTED_VALUE"""),94.0)</f>
        <v>94</v>
      </c>
      <c r="Q121" s="151">
        <f>IFERROR(__xludf.DUMMYFUNCTION("""COMPUTED_VALUE"""),46225.0)</f>
        <v>46225</v>
      </c>
    </row>
    <row r="122">
      <c r="C122" s="147"/>
      <c r="K122" s="146" t="str">
        <f>IFERROR(__xludf.DUMMYFUNCTION("""COMPUTED_VALUE"""),"44353837")</f>
        <v>44353837</v>
      </c>
      <c r="L122" s="146" t="str">
        <f>IFERROR(__xludf.DUMMYFUNCTION("""COMPUTED_VALUE"""),"MARTIN ALBERTO SEMINO POTENCIANO")</f>
        <v>MARTIN ALBERTO SEMINO POTENCIANO</v>
      </c>
      <c r="M122" s="146" t="str">
        <f>IFERROR(__xludf.DUMMYFUNCTION("""COMPUTED_VALUE"""),"LIMA METROPOLITANA")</f>
        <v>LIMA METROPOLITANA</v>
      </c>
      <c r="N122" s="146" t="str">
        <f>IFERROR(__xludf.DUMMYFUNCTION("""COMPUTED_VALUE"""),"1 PLAY")</f>
        <v>1 PLAY</v>
      </c>
      <c r="O122" s="146" t="str">
        <f>IFERROR(__xludf.DUMMYFUNCTION("""COMPUTED_VALUE"""),"Campaña Regular")</f>
        <v>Campaña Regular</v>
      </c>
      <c r="P122" s="152">
        <f>IFERROR(__xludf.DUMMYFUNCTION("""COMPUTED_VALUE"""),89.0)</f>
        <v>89</v>
      </c>
      <c r="Q122" s="151">
        <f>IFERROR(__xludf.DUMMYFUNCTION("""COMPUTED_VALUE"""),46225.0)</f>
        <v>46225</v>
      </c>
    </row>
    <row r="123">
      <c r="C123" s="147"/>
      <c r="K123" s="146" t="str">
        <f>IFERROR(__xludf.DUMMYFUNCTION("""COMPUTED_VALUE"""),"75324640")</f>
        <v>75324640</v>
      </c>
      <c r="L123" s="146" t="str">
        <f>IFERROR(__xludf.DUMMYFUNCTION("""COMPUTED_VALUE"""),"JORGE MIGUEL VILLARROEL CARDENAS")</f>
        <v>JORGE MIGUEL VILLARROEL CARDENAS</v>
      </c>
      <c r="M123" s="146" t="str">
        <f>IFERROR(__xludf.DUMMYFUNCTION("""COMPUTED_VALUE"""),"HUANCAVELICA")</f>
        <v>HUANCAVELICA</v>
      </c>
      <c r="N123" s="146" t="str">
        <f>IFERROR(__xludf.DUMMYFUNCTION("""COMPUTED_VALUE"""),"1 PLAY")</f>
        <v>1 PLAY</v>
      </c>
      <c r="O123" s="146" t="str">
        <f>IFERROR(__xludf.DUMMYFUNCTION("""COMPUTED_VALUE"""),"Campaña Regular")</f>
        <v>Campaña Regular</v>
      </c>
      <c r="P123" s="152">
        <f>IFERROR(__xludf.DUMMYFUNCTION("""COMPUTED_VALUE"""),69.0)</f>
        <v>69</v>
      </c>
      <c r="Q123" s="151">
        <f>IFERROR(__xludf.DUMMYFUNCTION("""COMPUTED_VALUE"""),46225.0)</f>
        <v>46225</v>
      </c>
    </row>
    <row r="124">
      <c r="C124" s="147"/>
      <c r="K124" s="146" t="str">
        <f>IFERROR(__xludf.DUMMYFUNCTION("""COMPUTED_VALUE"""),"73588688")</f>
        <v>73588688</v>
      </c>
      <c r="L124" s="146" t="str">
        <f>IFERROR(__xludf.DUMMYFUNCTION("""COMPUTED_VALUE"""),"MEYER ALIN RUFINO ROJAS")</f>
        <v>MEYER ALIN RUFINO ROJAS</v>
      </c>
      <c r="M124" s="146" t="str">
        <f>IFERROR(__xludf.DUMMYFUNCTION("""COMPUTED_VALUE"""),"LIMA METROPOLITANA")</f>
        <v>LIMA METROPOLITANA</v>
      </c>
      <c r="N124" s="146" t="str">
        <f>IFERROR(__xludf.DUMMYFUNCTION("""COMPUTED_VALUE"""),"1 PLAY")</f>
        <v>1 PLAY</v>
      </c>
      <c r="O124" s="146" t="str">
        <f>IFERROR(__xludf.DUMMYFUNCTION("""COMPUTED_VALUE"""),"Campaña Regular")</f>
        <v>Campaña Regular</v>
      </c>
      <c r="P124" s="152">
        <f>IFERROR(__xludf.DUMMYFUNCTION("""COMPUTED_VALUE"""),89.0)</f>
        <v>89</v>
      </c>
      <c r="Q124" s="151">
        <f>IFERROR(__xludf.DUMMYFUNCTION("""COMPUTED_VALUE"""),46225.0)</f>
        <v>46225</v>
      </c>
    </row>
    <row r="125">
      <c r="C125" s="147"/>
      <c r="K125" s="146" t="str">
        <f>IFERROR(__xludf.DUMMYFUNCTION("""COMPUTED_VALUE"""),"21854143")</f>
        <v>21854143</v>
      </c>
      <c r="L125" s="146" t="str">
        <f>IFERROR(__xludf.DUMMYFUNCTION("""COMPUTED_VALUE"""),"HENRY ALEXANDER ZEVALLOS LEON")</f>
        <v>HENRY ALEXANDER ZEVALLOS LEON</v>
      </c>
      <c r="M125" s="146" t="str">
        <f>IFERROR(__xludf.DUMMYFUNCTION("""COMPUTED_VALUE"""),"LIMA METROPOLITANA")</f>
        <v>LIMA METROPOLITANA</v>
      </c>
      <c r="N125" s="146" t="str">
        <f>IFERROR(__xludf.DUMMYFUNCTION("""COMPUTED_VALUE"""),"2 PLAY + TV ESTANDAR")</f>
        <v>2 PLAY + TV ESTANDAR</v>
      </c>
      <c r="O125" s="146" t="str">
        <f>IFERROR(__xludf.DUMMYFUNCTION("""COMPUTED_VALUE"""),"Campaña Regular PRO")</f>
        <v>Campaña Regular PRO</v>
      </c>
      <c r="P125" s="152">
        <f>IFERROR(__xludf.DUMMYFUNCTION("""COMPUTED_VALUE"""),169.0)</f>
        <v>169</v>
      </c>
      <c r="Q125" s="151">
        <f>IFERROR(__xludf.DUMMYFUNCTION("""COMPUTED_VALUE"""),46225.0)</f>
        <v>46225</v>
      </c>
    </row>
    <row r="126">
      <c r="C126" s="147"/>
      <c r="K126" s="146" t="str">
        <f>IFERROR(__xludf.DUMMYFUNCTION("""COMPUTED_VALUE"""),"45438286")</f>
        <v>45438286</v>
      </c>
      <c r="L126" s="146" t="str">
        <f>IFERROR(__xludf.DUMMYFUNCTION("""COMPUTED_VALUE"""),"MELVIN LUIS BACON LEON")</f>
        <v>MELVIN LUIS BACON LEON</v>
      </c>
      <c r="M126" s="146" t="str">
        <f>IFERROR(__xludf.DUMMYFUNCTION("""COMPUTED_VALUE"""),"ANCASH")</f>
        <v>ANCASH</v>
      </c>
      <c r="N126" s="146" t="str">
        <f>IFERROR(__xludf.DUMMYFUNCTION("""COMPUTED_VALUE"""),"1 PLAY")</f>
        <v>1 PLAY</v>
      </c>
      <c r="O126" s="146" t="str">
        <f>IFERROR(__xludf.DUMMYFUNCTION("""COMPUTED_VALUE"""),"Campaña Promo Mediana")</f>
        <v>Campaña Promo Mediana</v>
      </c>
      <c r="P126" s="152">
        <f>IFERROR(__xludf.DUMMYFUNCTION("""COMPUTED_VALUE"""),89.0)</f>
        <v>89</v>
      </c>
      <c r="Q126" s="151">
        <f>IFERROR(__xludf.DUMMYFUNCTION("""COMPUTED_VALUE"""),46225.0)</f>
        <v>46225</v>
      </c>
    </row>
    <row r="127">
      <c r="C127" s="147"/>
      <c r="K127" s="146" t="str">
        <f>IFERROR(__xludf.DUMMYFUNCTION("""COMPUTED_VALUE"""),"75223132")</f>
        <v>75223132</v>
      </c>
      <c r="L127" s="146" t="str">
        <f>IFERROR(__xludf.DUMMYFUNCTION("""COMPUTED_VALUE"""),"CHRISTIAN JEAN PIERRE BARRERA URIBIA")</f>
        <v>CHRISTIAN JEAN PIERRE BARRERA URIBIA</v>
      </c>
      <c r="M127" s="146" t="str">
        <f>IFERROR(__xludf.DUMMYFUNCTION("""COMPUTED_VALUE"""),"CALLAO")</f>
        <v>CALLAO</v>
      </c>
      <c r="N127" s="146" t="str">
        <f>IFERROR(__xludf.DUMMYFUNCTION("""COMPUTED_VALUE"""),"1 PLAY + L1MAX")</f>
        <v>1 PLAY + L1MAX</v>
      </c>
      <c r="O127" s="146" t="str">
        <f>IFERROR(__xludf.DUMMYFUNCTION("""COMPUTED_VALUE"""),"Campaña Regular")</f>
        <v>Campaña Regular</v>
      </c>
      <c r="P127" s="152">
        <f>IFERROR(__xludf.DUMMYFUNCTION("""COMPUTED_VALUE"""),110.0)</f>
        <v>110</v>
      </c>
      <c r="Q127" s="151">
        <f>IFERROR(__xludf.DUMMYFUNCTION("""COMPUTED_VALUE"""),46225.0)</f>
        <v>46225</v>
      </c>
    </row>
    <row r="128">
      <c r="C128" s="147"/>
      <c r="K128" s="146" t="str">
        <f>IFERROR(__xludf.DUMMYFUNCTION("""COMPUTED_VALUE"""),"74352825")</f>
        <v>74352825</v>
      </c>
      <c r="L128" s="146" t="str">
        <f>IFERROR(__xludf.DUMMYFUNCTION("""COMPUTED_VALUE"""),"LESLIE SHARON HUAYLLAHUA PANAIFO")</f>
        <v>LESLIE SHARON HUAYLLAHUA PANAIFO</v>
      </c>
      <c r="M128" s="146" t="str">
        <f>IFERROR(__xludf.DUMMYFUNCTION("""COMPUTED_VALUE"""),"LIMA METROPOLITANA")</f>
        <v>LIMA METROPOLITANA</v>
      </c>
      <c r="N128" s="146" t="str">
        <f>IFERROR(__xludf.DUMMYFUNCTION("""COMPUTED_VALUE"""),"1 PLAY")</f>
        <v>1 PLAY</v>
      </c>
      <c r="O128" s="146" t="str">
        <f>IFERROR(__xludf.DUMMYFUNCTION("""COMPUTED_VALUE"""),"Campaña Regular")</f>
        <v>Campaña Regular</v>
      </c>
      <c r="P128" s="152">
        <f>IFERROR(__xludf.DUMMYFUNCTION("""COMPUTED_VALUE"""),89.0)</f>
        <v>89</v>
      </c>
      <c r="Q128" s="151">
        <f>IFERROR(__xludf.DUMMYFUNCTION("""COMPUTED_VALUE"""),46225.0)</f>
        <v>46225</v>
      </c>
    </row>
    <row r="129">
      <c r="C129" s="147"/>
      <c r="K129" s="146" t="str">
        <f>IFERROR(__xludf.DUMMYFUNCTION("""COMPUTED_VALUE"""),"25737670")</f>
        <v>25737670</v>
      </c>
      <c r="L129" s="146" t="str">
        <f>IFERROR(__xludf.DUMMYFUNCTION("""COMPUTED_VALUE"""),"PATRICIA AURORA ARAYA RAMIREZ")</f>
        <v>PATRICIA AURORA ARAYA RAMIREZ</v>
      </c>
      <c r="M129" s="146" t="str">
        <f>IFERROR(__xludf.DUMMYFUNCTION("""COMPUTED_VALUE"""),"CALLAO")</f>
        <v>CALLAO</v>
      </c>
      <c r="N129" s="146" t="str">
        <f>IFERROR(__xludf.DUMMYFUNCTION("""COMPUTED_VALUE"""),"1 PLAY")</f>
        <v>1 PLAY</v>
      </c>
      <c r="O129" s="146" t="str">
        <f>IFERROR(__xludf.DUMMYFUNCTION("""COMPUTED_VALUE"""),"Campaña Regular")</f>
        <v>Campaña Regular</v>
      </c>
      <c r="P129" s="152">
        <f>IFERROR(__xludf.DUMMYFUNCTION("""COMPUTED_VALUE"""),110.0)</f>
        <v>110</v>
      </c>
      <c r="Q129" s="151">
        <f>IFERROR(__xludf.DUMMYFUNCTION("""COMPUTED_VALUE"""),46226.0)</f>
        <v>46226</v>
      </c>
    </row>
    <row r="130">
      <c r="C130" s="147"/>
      <c r="K130" s="146" t="str">
        <f>IFERROR(__xludf.DUMMYFUNCTION("""COMPUTED_VALUE"""),"47617687")</f>
        <v>47617687</v>
      </c>
      <c r="L130" s="146" t="str">
        <f>IFERROR(__xludf.DUMMYFUNCTION("""COMPUTED_VALUE"""),"EDUARDO RAMIREZ PONCE")</f>
        <v>EDUARDO RAMIREZ PONCE</v>
      </c>
      <c r="M130" s="146" t="str">
        <f>IFERROR(__xludf.DUMMYFUNCTION("""COMPUTED_VALUE"""),"LIMA METROPOLITANA")</f>
        <v>LIMA METROPOLITANA</v>
      </c>
      <c r="N130" s="146" t="str">
        <f>IFERROR(__xludf.DUMMYFUNCTION("""COMPUTED_VALUE"""),"1 PLAY")</f>
        <v>1 PLAY</v>
      </c>
      <c r="O130" s="146" t="str">
        <f>IFERROR(__xludf.DUMMYFUNCTION("""COMPUTED_VALUE"""),"Campaña Regular")</f>
        <v>Campaña Regular</v>
      </c>
      <c r="P130" s="152">
        <f>IFERROR(__xludf.DUMMYFUNCTION("""COMPUTED_VALUE"""),89.0)</f>
        <v>89</v>
      </c>
      <c r="Q130" s="151">
        <f>IFERROR(__xludf.DUMMYFUNCTION("""COMPUTED_VALUE"""),46226.0)</f>
        <v>46226</v>
      </c>
    </row>
    <row r="131">
      <c r="C131" s="147"/>
      <c r="K131" s="146" t="str">
        <f>IFERROR(__xludf.DUMMYFUNCTION("""COMPUTED_VALUE"""),"61408827")</f>
        <v>61408827</v>
      </c>
      <c r="L131" s="146" t="str">
        <f>IFERROR(__xludf.DUMMYFUNCTION("""COMPUTED_VALUE"""),"HITLER ISAIAS CURICO CARITIMARI")</f>
        <v>HITLER ISAIAS CURICO CARITIMARI</v>
      </c>
      <c r="M131" s="146" t="str">
        <f>IFERROR(__xludf.DUMMYFUNCTION("""COMPUTED_VALUE"""),"LIMA METROPOLITANA")</f>
        <v>LIMA METROPOLITANA</v>
      </c>
      <c r="N131" s="146" t="str">
        <f>IFERROR(__xludf.DUMMYFUNCTION("""COMPUTED_VALUE"""),"1 PLAY")</f>
        <v>1 PLAY</v>
      </c>
      <c r="O131" s="146" t="str">
        <f>IFERROR(__xludf.DUMMYFUNCTION("""COMPUTED_VALUE"""),"Campaña Regular")</f>
        <v>Campaña Regular</v>
      </c>
      <c r="P131" s="152">
        <f>IFERROR(__xludf.DUMMYFUNCTION("""COMPUTED_VALUE"""),110.0)</f>
        <v>110</v>
      </c>
      <c r="Q131" s="151">
        <f>IFERROR(__xludf.DUMMYFUNCTION("""COMPUTED_VALUE"""),46226.0)</f>
        <v>46226</v>
      </c>
    </row>
    <row r="132">
      <c r="C132" s="147"/>
      <c r="K132" s="146" t="str">
        <f>IFERROR(__xludf.DUMMYFUNCTION("""COMPUTED_VALUE"""),"09661999")</f>
        <v>09661999</v>
      </c>
      <c r="L132" s="146" t="str">
        <f>IFERROR(__xludf.DUMMYFUNCTION("""COMPUTED_VALUE"""),"YESICA YSABEL BENITO CANO")</f>
        <v>YESICA YSABEL BENITO CANO</v>
      </c>
      <c r="M132" s="146" t="str">
        <f>IFERROR(__xludf.DUMMYFUNCTION("""COMPUTED_VALUE"""),"LIMA METROPOLITANA")</f>
        <v>LIMA METROPOLITANA</v>
      </c>
      <c r="N132" s="146" t="str">
        <f>IFERROR(__xludf.DUMMYFUNCTION("""COMPUTED_VALUE"""),"1 PLAY")</f>
        <v>1 PLAY</v>
      </c>
      <c r="O132" s="146" t="str">
        <f>IFERROR(__xludf.DUMMYFUNCTION("""COMPUTED_VALUE"""),"Campaña Regular")</f>
        <v>Campaña Regular</v>
      </c>
      <c r="P132" s="152">
        <f>IFERROR(__xludf.DUMMYFUNCTION("""COMPUTED_VALUE"""),89.0)</f>
        <v>89</v>
      </c>
      <c r="Q132" s="151">
        <f>IFERROR(__xludf.DUMMYFUNCTION("""COMPUTED_VALUE"""),46226.0)</f>
        <v>46226</v>
      </c>
    </row>
    <row r="133">
      <c r="C133" s="147"/>
      <c r="K133" s="146" t="str">
        <f>IFERROR(__xludf.DUMMYFUNCTION("""COMPUTED_VALUE"""),"45356633")</f>
        <v>45356633</v>
      </c>
      <c r="L133" s="146" t="str">
        <f>IFERROR(__xludf.DUMMYFUNCTION("""COMPUTED_VALUE"""),"JOSE EINER HERNANDEZ RODAS")</f>
        <v>JOSE EINER HERNANDEZ RODAS</v>
      </c>
      <c r="M133" s="146" t="str">
        <f>IFERROR(__xludf.DUMMYFUNCTION("""COMPUTED_VALUE"""),"LIMA")</f>
        <v>LIMA</v>
      </c>
      <c r="N133" s="146" t="str">
        <f>IFERROR(__xludf.DUMMYFUNCTION("""COMPUTED_VALUE"""),"1 PLAY")</f>
        <v>1 PLAY</v>
      </c>
      <c r="O133" s="146" t="str">
        <f>IFERROR(__xludf.DUMMYFUNCTION("""COMPUTED_VALUE"""),"Campaña Regular")</f>
        <v>Campaña Regular</v>
      </c>
      <c r="P133" s="152">
        <f>IFERROR(__xludf.DUMMYFUNCTION("""COMPUTED_VALUE"""),89.0)</f>
        <v>89</v>
      </c>
      <c r="Q133" s="151">
        <f>IFERROR(__xludf.DUMMYFUNCTION("""COMPUTED_VALUE"""),46227.0)</f>
        <v>46227</v>
      </c>
    </row>
    <row r="134">
      <c r="C134" s="147"/>
      <c r="K134" s="146" t="str">
        <f>IFERROR(__xludf.DUMMYFUNCTION("""COMPUTED_VALUE"""),"41858443")</f>
        <v>41858443</v>
      </c>
      <c r="L134" s="146" t="str">
        <f>IFERROR(__xludf.DUMMYFUNCTION("""COMPUTED_VALUE"""),"YUDI VERONICA AMACHE LAUREN")</f>
        <v>YUDI VERONICA AMACHE LAUREN</v>
      </c>
      <c r="M134" s="146" t="str">
        <f>IFERROR(__xludf.DUMMYFUNCTION("""COMPUTED_VALUE"""),"CUSCO")</f>
        <v>CUSCO</v>
      </c>
      <c r="N134" s="146" t="str">
        <f>IFERROR(__xludf.DUMMYFUNCTION("""COMPUTED_VALUE"""),"1 PLAY")</f>
        <v>1 PLAY</v>
      </c>
      <c r="O134" s="146" t="str">
        <f>IFERROR(__xludf.DUMMYFUNCTION("""COMPUTED_VALUE"""),"Campaña Regular")</f>
        <v>Campaña Regular</v>
      </c>
      <c r="P134" s="152">
        <f>IFERROR(__xludf.DUMMYFUNCTION("""COMPUTED_VALUE"""),89.0)</f>
        <v>89</v>
      </c>
      <c r="Q134" s="151">
        <f>IFERROR(__xludf.DUMMYFUNCTION("""COMPUTED_VALUE"""),46227.0)</f>
        <v>46227</v>
      </c>
    </row>
    <row r="135">
      <c r="C135" s="147"/>
      <c r="K135" s="146" t="str">
        <f>IFERROR(__xludf.DUMMYFUNCTION("""COMPUTED_VALUE"""),"75354357")</f>
        <v>75354357</v>
      </c>
      <c r="L135" s="146" t="str">
        <f>IFERROR(__xludf.DUMMYFUNCTION("""COMPUTED_VALUE"""),"YEFERSON JESUS PEREZ")</f>
        <v>YEFERSON JESUS PEREZ</v>
      </c>
      <c r="M135" s="146" t="str">
        <f>IFERROR(__xludf.DUMMYFUNCTION("""COMPUTED_VALUE"""),"AREQUIPA")</f>
        <v>AREQUIPA</v>
      </c>
      <c r="N135" s="146" t="str">
        <f>IFERROR(__xludf.DUMMYFUNCTION("""COMPUTED_VALUE"""),"1 PLAY")</f>
        <v>1 PLAY</v>
      </c>
      <c r="O135" s="146" t="str">
        <f>IFERROR(__xludf.DUMMYFUNCTION("""COMPUTED_VALUE"""),"Campaña Regular")</f>
        <v>Campaña Regular</v>
      </c>
      <c r="P135" s="152">
        <f>IFERROR(__xludf.DUMMYFUNCTION("""COMPUTED_VALUE"""),89.0)</f>
        <v>89</v>
      </c>
      <c r="Q135" s="151">
        <f>IFERROR(__xludf.DUMMYFUNCTION("""COMPUTED_VALUE"""),46227.0)</f>
        <v>46227</v>
      </c>
    </row>
    <row r="136">
      <c r="C136" s="147"/>
      <c r="K136" s="146" t="str">
        <f>IFERROR(__xludf.DUMMYFUNCTION("""COMPUTED_VALUE"""),"25819468")</f>
        <v>25819468</v>
      </c>
      <c r="L136" s="146" t="str">
        <f>IFERROR(__xludf.DUMMYFUNCTION("""COMPUTED_VALUE"""),"NICSON GONZALES SAAVEDRA")</f>
        <v>NICSON GONZALES SAAVEDRA</v>
      </c>
      <c r="M136" s="146" t="str">
        <f>IFERROR(__xludf.DUMMYFUNCTION("""COMPUTED_VALUE"""),"CALLAO")</f>
        <v>CALLAO</v>
      </c>
      <c r="N136" s="146" t="str">
        <f>IFERROR(__xludf.DUMMYFUNCTION("""COMPUTED_VALUE"""),"2PLAY + TELF")</f>
        <v>2PLAY + TELF</v>
      </c>
      <c r="O136" s="146" t="str">
        <f>IFERROR(__xludf.DUMMYFUNCTION("""COMPUTED_VALUE"""),"Campaña Regular")</f>
        <v>Campaña Regular</v>
      </c>
      <c r="P136" s="152">
        <f>IFERROR(__xludf.DUMMYFUNCTION("""COMPUTED_VALUE"""),94.0)</f>
        <v>94</v>
      </c>
      <c r="Q136" s="151">
        <f>IFERROR(__xludf.DUMMYFUNCTION("""COMPUTED_VALUE"""),46227.0)</f>
        <v>46227</v>
      </c>
    </row>
    <row r="137">
      <c r="C137" s="147"/>
      <c r="K137" s="146" t="str">
        <f>IFERROR(__xludf.DUMMYFUNCTION("""COMPUTED_VALUE"""),"06578872")</f>
        <v>06578872</v>
      </c>
      <c r="L137" s="146" t="str">
        <f>IFERROR(__xludf.DUMMYFUNCTION("""COMPUTED_VALUE"""),"SANTA ELENA DAVILA IBARRA DE FERNANDEZ")</f>
        <v>SANTA ELENA DAVILA IBARRA DE FERNANDEZ</v>
      </c>
      <c r="M137" s="146" t="str">
        <f>IFERROR(__xludf.DUMMYFUNCTION("""COMPUTED_VALUE"""),"LIMA METROPOLITANA")</f>
        <v>LIMA METROPOLITANA</v>
      </c>
      <c r="N137" s="146" t="str">
        <f>IFERROR(__xludf.DUMMYFUNCTION("""COMPUTED_VALUE"""),"1 PLAY + L1MAX")</f>
        <v>1 PLAY + L1MAX</v>
      </c>
      <c r="O137" s="146" t="str">
        <f>IFERROR(__xludf.DUMMYFUNCTION("""COMPUTED_VALUE"""),"Campaña Regular")</f>
        <v>Campaña Regular</v>
      </c>
      <c r="P137" s="152">
        <f>IFERROR(__xludf.DUMMYFUNCTION("""COMPUTED_VALUE"""),110.0)</f>
        <v>110</v>
      </c>
      <c r="Q137" s="151">
        <f>IFERROR(__xludf.DUMMYFUNCTION("""COMPUTED_VALUE"""),46227.0)</f>
        <v>46227</v>
      </c>
    </row>
    <row r="138">
      <c r="C138" s="147"/>
      <c r="K138" s="146" t="str">
        <f>IFERROR(__xludf.DUMMYFUNCTION("""COMPUTED_VALUE"""),"74915427")</f>
        <v>74915427</v>
      </c>
      <c r="L138" s="146" t="str">
        <f>IFERROR(__xludf.DUMMYFUNCTION("""COMPUTED_VALUE"""),"JEFFREY ANDY ROJAS NAVARRO")</f>
        <v>JEFFREY ANDY ROJAS NAVARRO</v>
      </c>
      <c r="M138" s="146" t="str">
        <f>IFERROR(__xludf.DUMMYFUNCTION("""COMPUTED_VALUE"""),"LIMA METROPOLITANA")</f>
        <v>LIMA METROPOLITANA</v>
      </c>
      <c r="N138" s="146" t="str">
        <f>IFERROR(__xludf.DUMMYFUNCTION("""COMPUTED_VALUE"""),"1 PLAY")</f>
        <v>1 PLAY</v>
      </c>
      <c r="O138" s="146" t="str">
        <f>IFERROR(__xludf.DUMMYFUNCTION("""COMPUTED_VALUE"""),"Campaña Regular")</f>
        <v>Campaña Regular</v>
      </c>
      <c r="P138" s="152">
        <f>IFERROR(__xludf.DUMMYFUNCTION("""COMPUTED_VALUE"""),89.0)</f>
        <v>89</v>
      </c>
      <c r="Q138" s="151">
        <f>IFERROR(__xludf.DUMMYFUNCTION("""COMPUTED_VALUE"""),46227.0)</f>
        <v>46227</v>
      </c>
    </row>
    <row r="139">
      <c r="C139" s="147"/>
      <c r="K139" s="146" t="str">
        <f>IFERROR(__xludf.DUMMYFUNCTION("""COMPUTED_VALUE"""),"77333425")</f>
        <v>77333425</v>
      </c>
      <c r="L139" s="146" t="str">
        <f>IFERROR(__xludf.DUMMYFUNCTION("""COMPUTED_VALUE"""),"ERICK GEYSON JULCA NATIVIDAD")</f>
        <v>ERICK GEYSON JULCA NATIVIDAD</v>
      </c>
      <c r="M139" s="146" t="str">
        <f>IFERROR(__xludf.DUMMYFUNCTION("""COMPUTED_VALUE"""),"ANCASH")</f>
        <v>ANCASH</v>
      </c>
      <c r="N139" s="146" t="str">
        <f>IFERROR(__xludf.DUMMYFUNCTION("""COMPUTED_VALUE"""),"1 PLAY")</f>
        <v>1 PLAY</v>
      </c>
      <c r="O139" s="146" t="str">
        <f>IFERROR(__xludf.DUMMYFUNCTION("""COMPUTED_VALUE"""),"Campaña Regular")</f>
        <v>Campaña Regular</v>
      </c>
      <c r="P139" s="152">
        <f>IFERROR(__xludf.DUMMYFUNCTION("""COMPUTED_VALUE"""),89.0)</f>
        <v>89</v>
      </c>
      <c r="Q139" s="151">
        <f>IFERROR(__xludf.DUMMYFUNCTION("""COMPUTED_VALUE"""),46227.0)</f>
        <v>46227</v>
      </c>
    </row>
    <row r="140">
      <c r="C140" s="147"/>
      <c r="K140" s="146" t="str">
        <f>IFERROR(__xludf.DUMMYFUNCTION("""COMPUTED_VALUE"""),"74600628")</f>
        <v>74600628</v>
      </c>
      <c r="L140" s="146" t="str">
        <f>IFERROR(__xludf.DUMMYFUNCTION("""COMPUTED_VALUE"""),"XENA MIREDIA SAJAMI MACAHUACHI")</f>
        <v>XENA MIREDIA SAJAMI MACAHUACHI</v>
      </c>
      <c r="M140" s="146" t="str">
        <f>IFERROR(__xludf.DUMMYFUNCTION("""COMPUTED_VALUE"""),"ICA")</f>
        <v>ICA</v>
      </c>
      <c r="N140" s="146" t="str">
        <f>IFERROR(__xludf.DUMMYFUNCTION("""COMPUTED_VALUE"""),"2PLAY + TELF")</f>
        <v>2PLAY + TELF</v>
      </c>
      <c r="O140" s="146" t="str">
        <f>IFERROR(__xludf.DUMMYFUNCTION("""COMPUTED_VALUE"""),"Campaña Regular")</f>
        <v>Campaña Regular</v>
      </c>
      <c r="P140" s="152">
        <f>IFERROR(__xludf.DUMMYFUNCTION("""COMPUTED_VALUE"""),84.0)</f>
        <v>84</v>
      </c>
      <c r="Q140" s="151">
        <f>IFERROR(__xludf.DUMMYFUNCTION("""COMPUTED_VALUE"""),46228.0)</f>
        <v>46228</v>
      </c>
    </row>
    <row r="141">
      <c r="C141" s="147"/>
      <c r="K141" s="146" t="str">
        <f>IFERROR(__xludf.DUMMYFUNCTION("""COMPUTED_VALUE"""),"80205466")</f>
        <v>80205466</v>
      </c>
      <c r="L141" s="146" t="str">
        <f>IFERROR(__xludf.DUMMYFUNCTION("""COMPUTED_VALUE"""),"ELSA MARIA CHIROQUE HUEZA")</f>
        <v>ELSA MARIA CHIROQUE HUEZA</v>
      </c>
      <c r="M141" s="146" t="str">
        <f>IFERROR(__xludf.DUMMYFUNCTION("""COMPUTED_VALUE"""),"ANCASH")</f>
        <v>ANCASH</v>
      </c>
      <c r="N141" s="146" t="str">
        <f>IFERROR(__xludf.DUMMYFUNCTION("""COMPUTED_VALUE"""),"2 PLAY + TV ESTANDAR")</f>
        <v>2 PLAY + TV ESTANDAR</v>
      </c>
      <c r="O141" s="146" t="str">
        <f>IFERROR(__xludf.DUMMYFUNCTION("""COMPUTED_VALUE"""),"Campaña Regular")</f>
        <v>Campaña Regular</v>
      </c>
      <c r="P141" s="152">
        <f>IFERROR(__xludf.DUMMYFUNCTION("""COMPUTED_VALUE"""),150.0)</f>
        <v>150</v>
      </c>
      <c r="Q141" s="151">
        <f>IFERROR(__xludf.DUMMYFUNCTION("""COMPUTED_VALUE"""),46228.0)</f>
        <v>46228</v>
      </c>
    </row>
    <row r="142">
      <c r="C142" s="147"/>
      <c r="K142" s="146" t="str">
        <f>IFERROR(__xludf.DUMMYFUNCTION("""COMPUTED_VALUE"""),"71537490")</f>
        <v>71537490</v>
      </c>
      <c r="L142" s="146" t="str">
        <f>IFERROR(__xludf.DUMMYFUNCTION("""COMPUTED_VALUE"""),"JUAN ABNER AUCCAPIÑA GUILLEN")</f>
        <v>JUAN ABNER AUCCAPIÑA GUILLEN</v>
      </c>
      <c r="M142" s="146" t="str">
        <f>IFERROR(__xludf.DUMMYFUNCTION("""COMPUTED_VALUE"""),"CUSCO")</f>
        <v>CUSCO</v>
      </c>
      <c r="N142" s="146" t="str">
        <f>IFERROR(__xludf.DUMMYFUNCTION("""COMPUTED_VALUE"""),"1 PLAY")</f>
        <v>1 PLAY</v>
      </c>
      <c r="O142" s="146" t="str">
        <f>IFERROR(__xludf.DUMMYFUNCTION("""COMPUTED_VALUE"""),"Campaña Regular")</f>
        <v>Campaña Regular</v>
      </c>
      <c r="P142" s="152">
        <f>IFERROR(__xludf.DUMMYFUNCTION("""COMPUTED_VALUE"""),110.0)</f>
        <v>110</v>
      </c>
      <c r="Q142" s="151">
        <f>IFERROR(__xludf.DUMMYFUNCTION("""COMPUTED_VALUE"""),46228.0)</f>
        <v>46228</v>
      </c>
    </row>
    <row r="143">
      <c r="C143" s="147"/>
      <c r="K143" s="146" t="str">
        <f>IFERROR(__xludf.DUMMYFUNCTION("""COMPUTED_VALUE"""),"45206371")</f>
        <v>45206371</v>
      </c>
      <c r="L143" s="146" t="str">
        <f>IFERROR(__xludf.DUMMYFUNCTION("""COMPUTED_VALUE"""),"ELMER HUAMAN CORREA")</f>
        <v>ELMER HUAMAN CORREA</v>
      </c>
      <c r="M143" s="146" t="str">
        <f>IFERROR(__xludf.DUMMYFUNCTION("""COMPUTED_VALUE"""),"LAMBAYEQUE")</f>
        <v>LAMBAYEQUE</v>
      </c>
      <c r="N143" s="146" t="str">
        <f>IFERROR(__xludf.DUMMYFUNCTION("""COMPUTED_VALUE"""),"1 PLAY")</f>
        <v>1 PLAY</v>
      </c>
      <c r="O143" s="146" t="str">
        <f>IFERROR(__xludf.DUMMYFUNCTION("""COMPUTED_VALUE"""),"Campaña 1 sol")</f>
        <v>Campaña 1 sol</v>
      </c>
      <c r="P143" s="152">
        <f>IFERROR(__xludf.DUMMYFUNCTION("""COMPUTED_VALUE"""),89.0)</f>
        <v>89</v>
      </c>
      <c r="Q143" s="151">
        <f>IFERROR(__xludf.DUMMYFUNCTION("""COMPUTED_VALUE"""),46228.0)</f>
        <v>46228</v>
      </c>
    </row>
    <row r="144">
      <c r="C144" s="147"/>
      <c r="K144" s="146" t="str">
        <f>IFERROR(__xludf.DUMMYFUNCTION("""COMPUTED_VALUE"""),"70554447")</f>
        <v>70554447</v>
      </c>
      <c r="L144" s="146" t="str">
        <f>IFERROR(__xludf.DUMMYFUNCTION("""COMPUTED_VALUE"""),"CRISTIAN GIANMARCO SALAZAR SAENZ")</f>
        <v>CRISTIAN GIANMARCO SALAZAR SAENZ</v>
      </c>
      <c r="M144" s="146" t="str">
        <f>IFERROR(__xludf.DUMMYFUNCTION("""COMPUTED_VALUE"""),"ANCASH")</f>
        <v>ANCASH</v>
      </c>
      <c r="N144" s="146" t="str">
        <f>IFERROR(__xludf.DUMMYFUNCTION("""COMPUTED_VALUE"""),"2 PLAY + TV ESTANDAR")</f>
        <v>2 PLAY + TV ESTANDAR</v>
      </c>
      <c r="O144" s="146" t="str">
        <f>IFERROR(__xludf.DUMMYFUNCTION("""COMPUTED_VALUE"""),"Campaña Regular")</f>
        <v>Campaña Regular</v>
      </c>
      <c r="P144" s="152">
        <f>IFERROR(__xludf.DUMMYFUNCTION("""COMPUTED_VALUE"""),170.0)</f>
        <v>170</v>
      </c>
      <c r="Q144" s="151">
        <f>IFERROR(__xludf.DUMMYFUNCTION("""COMPUTED_VALUE"""),46228.0)</f>
        <v>46228</v>
      </c>
    </row>
    <row r="145">
      <c r="C145" s="147"/>
      <c r="K145" s="146" t="str">
        <f>IFERROR(__xludf.DUMMYFUNCTION("""COMPUTED_VALUE"""),"40092641")</f>
        <v>40092641</v>
      </c>
      <c r="L145" s="146" t="str">
        <f>IFERROR(__xludf.DUMMYFUNCTION("""COMPUTED_VALUE"""),"EVERT VICTORIO QUISPE")</f>
        <v>EVERT VICTORIO QUISPE</v>
      </c>
      <c r="M145" s="146" t="str">
        <f>IFERROR(__xludf.DUMMYFUNCTION("""COMPUTED_VALUE"""),"CUSCO")</f>
        <v>CUSCO</v>
      </c>
      <c r="N145" s="146" t="str">
        <f>IFERROR(__xludf.DUMMYFUNCTION("""COMPUTED_VALUE"""),"1 PLAY")</f>
        <v>1 PLAY</v>
      </c>
      <c r="O145" s="146" t="str">
        <f>IFERROR(__xludf.DUMMYFUNCTION("""COMPUTED_VALUE"""),"Campaña HFC puro")</f>
        <v>Campaña HFC puro</v>
      </c>
      <c r="P145" s="152">
        <f>IFERROR(__xludf.DUMMYFUNCTION("""COMPUTED_VALUE"""),89.0)</f>
        <v>89</v>
      </c>
      <c r="Q145" s="151">
        <f>IFERROR(__xludf.DUMMYFUNCTION("""COMPUTED_VALUE"""),46228.0)</f>
        <v>46228</v>
      </c>
    </row>
    <row r="146">
      <c r="C146" s="147"/>
      <c r="K146" s="146" t="str">
        <f>IFERROR(__xludf.DUMMYFUNCTION("""COMPUTED_VALUE"""),"02845563")</f>
        <v>02845563</v>
      </c>
      <c r="L146" s="146" t="str">
        <f>IFERROR(__xludf.DUMMYFUNCTION("""COMPUTED_VALUE"""),"ANA ROSAS LAZO")</f>
        <v>ANA ROSAS LAZO</v>
      </c>
      <c r="M146" s="146" t="str">
        <f>IFERROR(__xludf.DUMMYFUNCTION("""COMPUTED_VALUE"""),"LIMA METROPOLITANA")</f>
        <v>LIMA METROPOLITANA</v>
      </c>
      <c r="N146" s="146" t="str">
        <f>IFERROR(__xludf.DUMMYFUNCTION("""COMPUTED_VALUE"""),"1 PLAY")</f>
        <v>1 PLAY</v>
      </c>
      <c r="O146" s="146" t="str">
        <f>IFERROR(__xludf.DUMMYFUNCTION("""COMPUTED_VALUE"""),"Campaña Regular")</f>
        <v>Campaña Regular</v>
      </c>
      <c r="P146" s="152">
        <f>IFERROR(__xludf.DUMMYFUNCTION("""COMPUTED_VALUE"""),89.0)</f>
        <v>89</v>
      </c>
      <c r="Q146" s="151">
        <f>IFERROR(__xludf.DUMMYFUNCTION("""COMPUTED_VALUE"""),46228.0)</f>
        <v>46228</v>
      </c>
    </row>
    <row r="147">
      <c r="C147" s="147"/>
      <c r="K147" s="146" t="str">
        <f>IFERROR(__xludf.DUMMYFUNCTION("""COMPUTED_VALUE"""),"47729850")</f>
        <v>47729850</v>
      </c>
      <c r="L147" s="146" t="str">
        <f>IFERROR(__xludf.DUMMYFUNCTION("""COMPUTED_VALUE"""),"MIGUEL ANGEL IDROGO RAMOS")</f>
        <v>MIGUEL ANGEL IDROGO RAMOS</v>
      </c>
      <c r="M147" s="146" t="str">
        <f>IFERROR(__xludf.DUMMYFUNCTION("""COMPUTED_VALUE"""),"LIMA METROPOLITANA")</f>
        <v>LIMA METROPOLITANA</v>
      </c>
      <c r="N147" s="146" t="str">
        <f>IFERROR(__xludf.DUMMYFUNCTION("""COMPUTED_VALUE"""),"1 PLAY")</f>
        <v>1 PLAY</v>
      </c>
      <c r="O147" s="146" t="str">
        <f>IFERROR(__xludf.DUMMYFUNCTION("""COMPUTED_VALUE"""),"Campaña Promo Mediana")</f>
        <v>Campaña Promo Mediana</v>
      </c>
      <c r="P147" s="152">
        <f>IFERROR(__xludf.DUMMYFUNCTION("""COMPUTED_VALUE"""),89.0)</f>
        <v>89</v>
      </c>
      <c r="Q147" s="151">
        <f>IFERROR(__xludf.DUMMYFUNCTION("""COMPUTED_VALUE"""),46229.0)</f>
        <v>46229</v>
      </c>
    </row>
    <row r="148">
      <c r="C148" s="147"/>
      <c r="K148" s="146" t="str">
        <f>IFERROR(__xludf.DUMMYFUNCTION("""COMPUTED_VALUE"""),"72954655")</f>
        <v>72954655</v>
      </c>
      <c r="L148" s="146" t="str">
        <f>IFERROR(__xludf.DUMMYFUNCTION("""COMPUTED_VALUE"""),"MARIANA LIZBETH LIHON POZO")</f>
        <v>MARIANA LIZBETH LIHON POZO</v>
      </c>
      <c r="M148" s="146" t="str">
        <f>IFERROR(__xludf.DUMMYFUNCTION("""COMPUTED_VALUE"""),"UCAYALI")</f>
        <v>UCAYALI</v>
      </c>
      <c r="N148" s="146" t="str">
        <f>IFERROR(__xludf.DUMMYFUNCTION("""COMPUTED_VALUE"""),"1 PLAY")</f>
        <v>1 PLAY</v>
      </c>
      <c r="O148" s="146" t="str">
        <f>IFERROR(__xludf.DUMMYFUNCTION("""COMPUTED_VALUE"""),"Campaña Regular")</f>
        <v>Campaña Regular</v>
      </c>
      <c r="P148" s="152">
        <f>IFERROR(__xludf.DUMMYFUNCTION("""COMPUTED_VALUE"""),89.0)</f>
        <v>89</v>
      </c>
      <c r="Q148" s="151">
        <f>IFERROR(__xludf.DUMMYFUNCTION("""COMPUTED_VALUE"""),46229.0)</f>
        <v>46229</v>
      </c>
    </row>
    <row r="149">
      <c r="C149" s="147"/>
      <c r="K149" s="146" t="str">
        <f>IFERROR(__xludf.DUMMYFUNCTION("""COMPUTED_VALUE"""),"18110989")</f>
        <v>18110989</v>
      </c>
      <c r="L149" s="146" t="str">
        <f>IFERROR(__xludf.DUMMYFUNCTION("""COMPUTED_VALUE"""),"CARLOS ALBERTO VALLADOLID ROMERO")</f>
        <v>CARLOS ALBERTO VALLADOLID ROMERO</v>
      </c>
      <c r="M149" s="146" t="str">
        <f>IFERROR(__xludf.DUMMYFUNCTION("""COMPUTED_VALUE"""),"LA LIBERTAD")</f>
        <v>LA LIBERTAD</v>
      </c>
      <c r="N149" s="146" t="str">
        <f>IFERROR(__xludf.DUMMYFUNCTION("""COMPUTED_VALUE"""),"1 PLAY")</f>
        <v>1 PLAY</v>
      </c>
      <c r="O149" s="146" t="str">
        <f>IFERROR(__xludf.DUMMYFUNCTION("""COMPUTED_VALUE"""),"Campaña Regular")</f>
        <v>Campaña Regular</v>
      </c>
      <c r="P149" s="152">
        <f>IFERROR(__xludf.DUMMYFUNCTION("""COMPUTED_VALUE"""),89.0)</f>
        <v>89</v>
      </c>
      <c r="Q149" s="151">
        <f>IFERROR(__xludf.DUMMYFUNCTION("""COMPUTED_VALUE"""),46230.0)</f>
        <v>46230</v>
      </c>
    </row>
    <row r="150">
      <c r="C150" s="147"/>
      <c r="K150" s="146" t="str">
        <f>IFERROR(__xludf.DUMMYFUNCTION("""COMPUTED_VALUE"""),"10230941")</f>
        <v>10230941</v>
      </c>
      <c r="L150" s="146" t="str">
        <f>IFERROR(__xludf.DUMMYFUNCTION("""COMPUTED_VALUE"""),"EDWIN FREDDY ROQUE BALBOA")</f>
        <v>EDWIN FREDDY ROQUE BALBOA</v>
      </c>
      <c r="M150" s="146" t="str">
        <f>IFERROR(__xludf.DUMMYFUNCTION("""COMPUTED_VALUE"""),"LIMA METROPOLITANA")</f>
        <v>LIMA METROPOLITANA</v>
      </c>
      <c r="N150" s="146" t="str">
        <f>IFERROR(__xludf.DUMMYFUNCTION("""COMPUTED_VALUE"""),"1 PLAY")</f>
        <v>1 PLAY</v>
      </c>
      <c r="O150" s="146" t="str">
        <f>IFERROR(__xludf.DUMMYFUNCTION("""COMPUTED_VALUE"""),"Campaña Regular")</f>
        <v>Campaña Regular</v>
      </c>
      <c r="P150" s="152">
        <f>IFERROR(__xludf.DUMMYFUNCTION("""COMPUTED_VALUE"""),89.0)</f>
        <v>89</v>
      </c>
      <c r="Q150" s="151">
        <f>IFERROR(__xludf.DUMMYFUNCTION("""COMPUTED_VALUE"""),46230.0)</f>
        <v>46230</v>
      </c>
    </row>
    <row r="151">
      <c r="C151" s="147"/>
      <c r="K151" s="146" t="str">
        <f>IFERROR(__xludf.DUMMYFUNCTION("""COMPUTED_VALUE"""),"40651075")</f>
        <v>40651075</v>
      </c>
      <c r="L151" s="146" t="str">
        <f>IFERROR(__xludf.DUMMYFUNCTION("""COMPUTED_VALUE"""),"NILTON ROY RODRIGO VILELA")</f>
        <v>NILTON ROY RODRIGO VILELA</v>
      </c>
      <c r="M151" s="146" t="str">
        <f>IFERROR(__xludf.DUMMYFUNCTION("""COMPUTED_VALUE"""),"LIMA METROPOLITANA")</f>
        <v>LIMA METROPOLITANA</v>
      </c>
      <c r="N151" s="146" t="str">
        <f>IFERROR(__xludf.DUMMYFUNCTION("""COMPUTED_VALUE"""),"2 PLAY + TV ESTANDAR")</f>
        <v>2 PLAY + TV ESTANDAR</v>
      </c>
      <c r="O151" s="146" t="str">
        <f>IFERROR(__xludf.DUMMYFUNCTION("""COMPUTED_VALUE"""),"Campaña Regular")</f>
        <v>Campaña Regular</v>
      </c>
      <c r="P151" s="152">
        <f>IFERROR(__xludf.DUMMYFUNCTION("""COMPUTED_VALUE"""),170.0)</f>
        <v>170</v>
      </c>
      <c r="Q151" s="151">
        <f>IFERROR(__xludf.DUMMYFUNCTION("""COMPUTED_VALUE"""),46230.0)</f>
        <v>46230</v>
      </c>
    </row>
    <row r="152">
      <c r="C152" s="147"/>
      <c r="K152" s="146" t="str">
        <f>IFERROR(__xludf.DUMMYFUNCTION("""COMPUTED_VALUE"""),"45800634")</f>
        <v>45800634</v>
      </c>
      <c r="L152" s="146" t="str">
        <f>IFERROR(__xludf.DUMMYFUNCTION("""COMPUTED_VALUE"""),"NILDA SOLEDAD CAHUANA")</f>
        <v>NILDA SOLEDAD CAHUANA</v>
      </c>
      <c r="M152" s="146" t="str">
        <f>IFERROR(__xludf.DUMMYFUNCTION("""COMPUTED_VALUE"""),"MOQUEGUA")</f>
        <v>MOQUEGUA</v>
      </c>
      <c r="N152" s="146" t="str">
        <f>IFERROR(__xludf.DUMMYFUNCTION("""COMPUTED_VALUE"""),"2PLAY + TELF")</f>
        <v>2PLAY + TELF</v>
      </c>
      <c r="O152" s="146" t="str">
        <f>IFERROR(__xludf.DUMMYFUNCTION("""COMPUTED_VALUE"""),"Campaña Regular")</f>
        <v>Campaña Regular</v>
      </c>
      <c r="P152" s="152">
        <f>IFERROR(__xludf.DUMMYFUNCTION("""COMPUTED_VALUE"""),84.0)</f>
        <v>84</v>
      </c>
      <c r="Q152" s="151">
        <f>IFERROR(__xludf.DUMMYFUNCTION("""COMPUTED_VALUE"""),46230.0)</f>
        <v>46230</v>
      </c>
    </row>
    <row r="153">
      <c r="C153" s="147"/>
      <c r="K153" s="146" t="str">
        <f>IFERROR(__xludf.DUMMYFUNCTION("""COMPUTED_VALUE"""),"74365486")</f>
        <v>74365486</v>
      </c>
      <c r="L153" s="146" t="str">
        <f>IFERROR(__xludf.DUMMYFUNCTION("""COMPUTED_VALUE"""),"BERNABE ALAJA CCAMA")</f>
        <v>BERNABE ALAJA CCAMA</v>
      </c>
      <c r="M153" s="146" t="str">
        <f>IFERROR(__xludf.DUMMYFUNCTION("""COMPUTED_VALUE"""),"AREQUIPA")</f>
        <v>AREQUIPA</v>
      </c>
      <c r="N153" s="146" t="str">
        <f>IFERROR(__xludf.DUMMYFUNCTION("""COMPUTED_VALUE"""),"1 PLAY")</f>
        <v>1 PLAY</v>
      </c>
      <c r="O153" s="146" t="str">
        <f>IFERROR(__xludf.DUMMYFUNCTION("""COMPUTED_VALUE"""),"Campaña Regular")</f>
        <v>Campaña Regular</v>
      </c>
      <c r="P153" s="152">
        <f>IFERROR(__xludf.DUMMYFUNCTION("""COMPUTED_VALUE"""),69.0)</f>
        <v>69</v>
      </c>
      <c r="Q153" s="151">
        <f>IFERROR(__xludf.DUMMYFUNCTION("""COMPUTED_VALUE"""),46230.0)</f>
        <v>46230</v>
      </c>
    </row>
    <row r="154">
      <c r="C154" s="147"/>
      <c r="K154" s="146" t="str">
        <f>IFERROR(__xludf.DUMMYFUNCTION("""COMPUTED_VALUE"""),"76744153")</f>
        <v>76744153</v>
      </c>
      <c r="L154" s="146" t="str">
        <f>IFERROR(__xludf.DUMMYFUNCTION("""COMPUTED_VALUE"""),"ASLLY LUCIA TERRONES CAMPOVERDE")</f>
        <v>ASLLY LUCIA TERRONES CAMPOVERDE</v>
      </c>
      <c r="M154" s="146" t="str">
        <f>IFERROR(__xludf.DUMMYFUNCTION("""COMPUTED_VALUE"""),"PIURA")</f>
        <v>PIURA</v>
      </c>
      <c r="N154" s="146" t="str">
        <f>IFERROR(__xludf.DUMMYFUNCTION("""COMPUTED_VALUE"""),"2 PLAY + TV ESTANDAR")</f>
        <v>2 PLAY + TV ESTANDAR</v>
      </c>
      <c r="O154" s="146" t="str">
        <f>IFERROR(__xludf.DUMMYFUNCTION("""COMPUTED_VALUE"""),"Campaña Regular")</f>
        <v>Campaña Regular</v>
      </c>
      <c r="P154" s="152">
        <f>IFERROR(__xludf.DUMMYFUNCTION("""COMPUTED_VALUE"""),150.0)</f>
        <v>150</v>
      </c>
      <c r="Q154" s="151">
        <f>IFERROR(__xludf.DUMMYFUNCTION("""COMPUTED_VALUE"""),46231.0)</f>
        <v>46231</v>
      </c>
    </row>
    <row r="155">
      <c r="C155" s="147"/>
      <c r="K155" s="146" t="str">
        <f>IFERROR(__xludf.DUMMYFUNCTION("""COMPUTED_VALUE"""),"44818756")</f>
        <v>44818756</v>
      </c>
      <c r="L155" s="146" t="str">
        <f>IFERROR(__xludf.DUMMYFUNCTION("""COMPUTED_VALUE"""),"LILIANA PATRICIA DE LA CRUZ QUISPE")</f>
        <v>LILIANA PATRICIA DE LA CRUZ QUISPE</v>
      </c>
      <c r="M155" s="146" t="str">
        <f>IFERROR(__xludf.DUMMYFUNCTION("""COMPUTED_VALUE"""),"AREQUIPA")</f>
        <v>AREQUIPA</v>
      </c>
      <c r="N155" s="146" t="str">
        <f>IFERROR(__xludf.DUMMYFUNCTION("""COMPUTED_VALUE"""),"2 PLAY + TV ESTANDAR")</f>
        <v>2 PLAY + TV ESTANDAR</v>
      </c>
      <c r="O155" s="146" t="str">
        <f>IFERROR(__xludf.DUMMYFUNCTION("""COMPUTED_VALUE"""),"Campaña Regular")</f>
        <v>Campaña Regular</v>
      </c>
      <c r="P155" s="152">
        <f>IFERROR(__xludf.DUMMYFUNCTION("""COMPUTED_VALUE"""),170.0)</f>
        <v>170</v>
      </c>
      <c r="Q155" s="151">
        <f>IFERROR(__xludf.DUMMYFUNCTION("""COMPUTED_VALUE"""),46231.0)</f>
        <v>46231</v>
      </c>
    </row>
    <row r="156">
      <c r="C156" s="147"/>
      <c r="K156" s="146" t="str">
        <f>IFERROR(__xludf.DUMMYFUNCTION("""COMPUTED_VALUE"""),"72196471")</f>
        <v>72196471</v>
      </c>
      <c r="L156" s="146" t="str">
        <f>IFERROR(__xludf.DUMMYFUNCTION("""COMPUTED_VALUE"""),"JESUS JOSEPH MATHEUS ACOSTA")</f>
        <v>JESUS JOSEPH MATHEUS ACOSTA</v>
      </c>
      <c r="M156" s="146" t="str">
        <f>IFERROR(__xludf.DUMMYFUNCTION("""COMPUTED_VALUE"""),"LIMA METROPOLITANA")</f>
        <v>LIMA METROPOLITANA</v>
      </c>
      <c r="N156" s="146" t="str">
        <f>IFERROR(__xludf.DUMMYFUNCTION("""COMPUTED_VALUE"""),"1 PLAY")</f>
        <v>1 PLAY</v>
      </c>
      <c r="O156" s="146" t="str">
        <f>IFERROR(__xludf.DUMMYFUNCTION("""COMPUTED_VALUE"""),"Campaña 1 sol")</f>
        <v>Campaña 1 sol</v>
      </c>
      <c r="P156" s="152">
        <f>IFERROR(__xludf.DUMMYFUNCTION("""COMPUTED_VALUE"""),89.0)</f>
        <v>89</v>
      </c>
      <c r="Q156" s="151">
        <f>IFERROR(__xludf.DUMMYFUNCTION("""COMPUTED_VALUE"""),46231.0)</f>
        <v>46231</v>
      </c>
    </row>
    <row r="157">
      <c r="C157" s="147"/>
      <c r="K157" s="146" t="str">
        <f>IFERROR(__xludf.DUMMYFUNCTION("""COMPUTED_VALUE"""),"42278869")</f>
        <v>42278869</v>
      </c>
      <c r="L157" s="146" t="str">
        <f>IFERROR(__xludf.DUMMYFUNCTION("""COMPUTED_VALUE"""),"LADY DIANY DELGADO GONZALES")</f>
        <v>LADY DIANY DELGADO GONZALES</v>
      </c>
      <c r="M157" s="146" t="str">
        <f>IFERROR(__xludf.DUMMYFUNCTION("""COMPUTED_VALUE"""),"UCAYALI")</f>
        <v>UCAYALI</v>
      </c>
      <c r="N157" s="146" t="str">
        <f>IFERROR(__xludf.DUMMYFUNCTION("""COMPUTED_VALUE"""),"1 PLAY")</f>
        <v>1 PLAY</v>
      </c>
      <c r="O157" s="146" t="str">
        <f>IFERROR(__xludf.DUMMYFUNCTION("""COMPUTED_VALUE"""),"Campaña Regular")</f>
        <v>Campaña Regular</v>
      </c>
      <c r="P157" s="152">
        <f>IFERROR(__xludf.DUMMYFUNCTION("""COMPUTED_VALUE"""),89.0)</f>
        <v>89</v>
      </c>
      <c r="Q157" s="151">
        <f>IFERROR(__xludf.DUMMYFUNCTION("""COMPUTED_VALUE"""),46231.0)</f>
        <v>46231</v>
      </c>
    </row>
    <row r="158">
      <c r="C158" s="147"/>
      <c r="K158" s="146" t="str">
        <f>IFERROR(__xludf.DUMMYFUNCTION("""COMPUTED_VALUE"""),"46758247")</f>
        <v>46758247</v>
      </c>
      <c r="L158" s="146" t="str">
        <f>IFERROR(__xludf.DUMMYFUNCTION("""COMPUTED_VALUE"""),"FRANCISCO LOO ESCOBAR")</f>
        <v>FRANCISCO LOO ESCOBAR</v>
      </c>
      <c r="M158" s="146" t="str">
        <f>IFERROR(__xludf.DUMMYFUNCTION("""COMPUTED_VALUE"""),"LIMA METROPOLITANA")</f>
        <v>LIMA METROPOLITANA</v>
      </c>
      <c r="N158" s="146" t="str">
        <f>IFERROR(__xludf.DUMMYFUNCTION("""COMPUTED_VALUE"""),"2 PLAY + TV ESTANDAR")</f>
        <v>2 PLAY + TV ESTANDAR</v>
      </c>
      <c r="O158" s="146" t="str">
        <f>IFERROR(__xludf.DUMMYFUNCTION("""COMPUTED_VALUE"""),"Campaña Regular")</f>
        <v>Campaña Regular</v>
      </c>
      <c r="P158" s="152">
        <f>IFERROR(__xludf.DUMMYFUNCTION("""COMPUTED_VALUE"""),170.0)</f>
        <v>170</v>
      </c>
      <c r="Q158" s="151">
        <f>IFERROR(__xludf.DUMMYFUNCTION("""COMPUTED_VALUE"""),46231.0)</f>
        <v>46231</v>
      </c>
    </row>
    <row r="159">
      <c r="C159" s="147"/>
      <c r="K159" s="146" t="str">
        <f>IFERROR(__xludf.DUMMYFUNCTION("""COMPUTED_VALUE"""),"70713627")</f>
        <v>70713627</v>
      </c>
      <c r="L159" s="146" t="str">
        <f>IFERROR(__xludf.DUMMYFUNCTION("""COMPUTED_VALUE"""),"UGUSTO SAEZN HUANCA")</f>
        <v>UGUSTO SAEZN HUANCA</v>
      </c>
      <c r="M159" s="146" t="str">
        <f>IFERROR(__xludf.DUMMYFUNCTION("""COMPUTED_VALUE"""),"LIMA METROPOLITANA")</f>
        <v>LIMA METROPOLITANA</v>
      </c>
      <c r="N159" s="146" t="str">
        <f>IFERROR(__xludf.DUMMYFUNCTION("""COMPUTED_VALUE"""),"1 PLAY")</f>
        <v>1 PLAY</v>
      </c>
      <c r="O159" s="146" t="str">
        <f>IFERROR(__xludf.DUMMYFUNCTION("""COMPUTED_VALUE"""),"Campaña Regular")</f>
        <v>Campaña Regular</v>
      </c>
      <c r="P159" s="152">
        <f>IFERROR(__xludf.DUMMYFUNCTION("""COMPUTED_VALUE"""),89.0)</f>
        <v>89</v>
      </c>
      <c r="Q159" s="151">
        <f>IFERROR(__xludf.DUMMYFUNCTION("""COMPUTED_VALUE"""),46232.0)</f>
        <v>46232</v>
      </c>
    </row>
    <row r="160">
      <c r="C160" s="147"/>
      <c r="K160" s="146" t="str">
        <f>IFERROR(__xludf.DUMMYFUNCTION("""COMPUTED_VALUE"""),"25481183")</f>
        <v>25481183</v>
      </c>
      <c r="L160" s="146" t="str">
        <f>IFERROR(__xludf.DUMMYFUNCTION("""COMPUTED_VALUE"""),"ROSA GLADYS PASCO AMES")</f>
        <v>ROSA GLADYS PASCO AMES</v>
      </c>
      <c r="M160" s="146" t="str">
        <f>IFERROR(__xludf.DUMMYFUNCTION("""COMPUTED_VALUE"""),"ANCASH")</f>
        <v>ANCASH</v>
      </c>
      <c r="N160" s="146" t="str">
        <f>IFERROR(__xludf.DUMMYFUNCTION("""COMPUTED_VALUE"""),"1 PLAY")</f>
        <v>1 PLAY</v>
      </c>
      <c r="O160" s="146" t="str">
        <f>IFERROR(__xludf.DUMMYFUNCTION("""COMPUTED_VALUE"""),"Campaña Regular")</f>
        <v>Campaña Regular</v>
      </c>
      <c r="P160" s="152">
        <f>IFERROR(__xludf.DUMMYFUNCTION("""COMPUTED_VALUE"""),89.0)</f>
        <v>89</v>
      </c>
      <c r="Q160" s="151">
        <f>IFERROR(__xludf.DUMMYFUNCTION("""COMPUTED_VALUE"""),46232.0)</f>
        <v>46232</v>
      </c>
    </row>
    <row r="161">
      <c r="C161" s="147"/>
      <c r="K161" s="146" t="str">
        <f>IFERROR(__xludf.DUMMYFUNCTION("""COMPUTED_VALUE"""),"71419851")</f>
        <v>71419851</v>
      </c>
      <c r="L161" s="146" t="str">
        <f>IFERROR(__xludf.DUMMYFUNCTION("""COMPUTED_VALUE"""),"GINO DION ESPINOZA CAUSHI")</f>
        <v>GINO DION ESPINOZA CAUSHI</v>
      </c>
      <c r="M161" s="146" t="str">
        <f>IFERROR(__xludf.DUMMYFUNCTION("""COMPUTED_VALUE"""),"ANCASH")</f>
        <v>ANCASH</v>
      </c>
      <c r="N161" s="146" t="str">
        <f>IFERROR(__xludf.DUMMYFUNCTION("""COMPUTED_VALUE"""),"1 PLAY")</f>
        <v>1 PLAY</v>
      </c>
      <c r="O161" s="146" t="str">
        <f>IFERROR(__xludf.DUMMYFUNCTION("""COMPUTED_VALUE"""),"Campaña Regular")</f>
        <v>Campaña Regular</v>
      </c>
      <c r="P161" s="152">
        <f>IFERROR(__xludf.DUMMYFUNCTION("""COMPUTED_VALUE"""),89.0)</f>
        <v>89</v>
      </c>
      <c r="Q161" s="151">
        <f>IFERROR(__xludf.DUMMYFUNCTION("""COMPUTED_VALUE"""),46233.0)</f>
        <v>46233</v>
      </c>
    </row>
    <row r="162">
      <c r="C162" s="147"/>
      <c r="K162" s="146" t="str">
        <f>IFERROR(__xludf.DUMMYFUNCTION("""COMPUTED_VALUE"""),"08702820")</f>
        <v>08702820</v>
      </c>
      <c r="L162" s="146" t="str">
        <f>IFERROR(__xludf.DUMMYFUNCTION("""COMPUTED_VALUE"""),"JOSE RAUL MIRANDA MINAYA")</f>
        <v>JOSE RAUL MIRANDA MINAYA</v>
      </c>
      <c r="M162" s="146" t="str">
        <f>IFERROR(__xludf.DUMMYFUNCTION("""COMPUTED_VALUE"""),"LIMA METROPOLITANA")</f>
        <v>LIMA METROPOLITANA</v>
      </c>
      <c r="N162" s="146" t="str">
        <f>IFERROR(__xludf.DUMMYFUNCTION("""COMPUTED_VALUE"""),"1 PLAY + L1MAX")</f>
        <v>1 PLAY + L1MAX</v>
      </c>
      <c r="O162" s="146" t="str">
        <f>IFERROR(__xludf.DUMMYFUNCTION("""COMPUTED_VALUE"""),"Campaña Regular")</f>
        <v>Campaña Regular</v>
      </c>
      <c r="P162" s="152">
        <f>IFERROR(__xludf.DUMMYFUNCTION("""COMPUTED_VALUE"""),110.0)</f>
        <v>110</v>
      </c>
      <c r="Q162" s="151">
        <f>IFERROR(__xludf.DUMMYFUNCTION("""COMPUTED_VALUE"""),46233.0)</f>
        <v>46233</v>
      </c>
    </row>
    <row r="163">
      <c r="C163" s="147"/>
      <c r="K163" s="146" t="str">
        <f>IFERROR(__xludf.DUMMYFUNCTION("""COMPUTED_VALUE"""),"10178934")</f>
        <v>10178934</v>
      </c>
      <c r="L163" s="146" t="str">
        <f>IFERROR(__xludf.DUMMYFUNCTION("""COMPUTED_VALUE"""),"JUAN EDWIN PIÑAS AYALA")</f>
        <v>JUAN EDWIN PIÑAS AYALA</v>
      </c>
      <c r="M163" s="146" t="str">
        <f>IFERROR(__xludf.DUMMYFUNCTION("""COMPUTED_VALUE"""),"LIMA METROPOLITANA")</f>
        <v>LIMA METROPOLITANA</v>
      </c>
      <c r="N163" s="146" t="str">
        <f>IFERROR(__xludf.DUMMYFUNCTION("""COMPUTED_VALUE"""),"1 PLAY")</f>
        <v>1 PLAY</v>
      </c>
      <c r="O163" s="146" t="str">
        <f>IFERROR(__xludf.DUMMYFUNCTION("""COMPUTED_VALUE"""),"Campaña Regular")</f>
        <v>Campaña Regular</v>
      </c>
      <c r="P163" s="152">
        <f>IFERROR(__xludf.DUMMYFUNCTION("""COMPUTED_VALUE"""),89.0)</f>
        <v>89</v>
      </c>
      <c r="Q163" s="151">
        <f>IFERROR(__xludf.DUMMYFUNCTION("""COMPUTED_VALUE"""),46234.0)</f>
        <v>46234</v>
      </c>
    </row>
    <row r="164">
      <c r="C164" s="147"/>
      <c r="K164" s="146" t="str">
        <f>IFERROR(__xludf.DUMMYFUNCTION("""COMPUTED_VALUE"""),"44379150")</f>
        <v>44379150</v>
      </c>
      <c r="L164" s="146" t="str">
        <f>IFERROR(__xludf.DUMMYFUNCTION("""COMPUTED_VALUE"""),"LUIS HUMBERTO HUAMANI QUILLATUPA")</f>
        <v>LUIS HUMBERTO HUAMANI QUILLATUPA</v>
      </c>
      <c r="M164" s="146" t="str">
        <f>IFERROR(__xludf.DUMMYFUNCTION("""COMPUTED_VALUE"""),"JUNIN")</f>
        <v>JUNIN</v>
      </c>
      <c r="N164" s="146" t="str">
        <f>IFERROR(__xludf.DUMMYFUNCTION("""COMPUTED_VALUE"""),"1 PLAY")</f>
        <v>1 PLAY</v>
      </c>
      <c r="O164" s="146" t="str">
        <f>IFERROR(__xludf.DUMMYFUNCTION("""COMPUTED_VALUE"""),"Campaña Regular")</f>
        <v>Campaña Regular</v>
      </c>
      <c r="P164" s="152">
        <f>IFERROR(__xludf.DUMMYFUNCTION("""COMPUTED_VALUE"""),89.0)</f>
        <v>89</v>
      </c>
      <c r="Q164" s="151">
        <f>IFERROR(__xludf.DUMMYFUNCTION("""COMPUTED_VALUE"""),46234.0)</f>
        <v>46234</v>
      </c>
    </row>
    <row r="165">
      <c r="C165" s="147"/>
      <c r="K165" s="146" t="str">
        <f>IFERROR(__xludf.DUMMYFUNCTION("""COMPUTED_VALUE"""),"16757680")</f>
        <v>16757680</v>
      </c>
      <c r="L165" s="146" t="str">
        <f>IFERROR(__xludf.DUMMYFUNCTION("""COMPUTED_VALUE"""),"FRANCISCO FERRER ROLDAN CHAVEZ")</f>
        <v>FRANCISCO FERRER ROLDAN CHAVEZ</v>
      </c>
      <c r="M165" s="146" t="str">
        <f>IFERROR(__xludf.DUMMYFUNCTION("""COMPUTED_VALUE"""),"LIMA METROPOLITANA")</f>
        <v>LIMA METROPOLITANA</v>
      </c>
      <c r="N165" s="146" t="str">
        <f>IFERROR(__xludf.DUMMYFUNCTION("""COMPUTED_VALUE"""),"2PLAY + TELF")</f>
        <v>2PLAY + TELF</v>
      </c>
      <c r="O165" s="146" t="str">
        <f>IFERROR(__xludf.DUMMYFUNCTION("""COMPUTED_VALUE"""),"Campaña Regular")</f>
        <v>Campaña Regular</v>
      </c>
      <c r="P165" s="152">
        <f>IFERROR(__xludf.DUMMYFUNCTION("""COMPUTED_VALUE"""),94.0)</f>
        <v>94</v>
      </c>
      <c r="Q165" s="151">
        <f>IFERROR(__xludf.DUMMYFUNCTION("""COMPUTED_VALUE"""),46234.0)</f>
        <v>46234</v>
      </c>
    </row>
    <row r="166">
      <c r="C166" s="147"/>
      <c r="K166" s="146" t="str">
        <f>IFERROR(__xludf.DUMMYFUNCTION("""COMPUTED_VALUE"""),"74687606")</f>
        <v>74687606</v>
      </c>
      <c r="L166" s="146" t="str">
        <f>IFERROR(__xludf.DUMMYFUNCTION("""COMPUTED_VALUE"""),"PIERO CRISTHIAN JEANCARLO MERMA CRUZ")</f>
        <v>PIERO CRISTHIAN JEANCARLO MERMA CRUZ</v>
      </c>
      <c r="M166" s="146" t="str">
        <f>IFERROR(__xludf.DUMMYFUNCTION("""COMPUTED_VALUE"""),"TACNA")</f>
        <v>TACNA</v>
      </c>
      <c r="N166" s="146" t="str">
        <f>IFERROR(__xludf.DUMMYFUNCTION("""COMPUTED_VALUE"""),"1 PLAY")</f>
        <v>1 PLAY</v>
      </c>
      <c r="O166" s="146" t="str">
        <f>IFERROR(__xludf.DUMMYFUNCTION("""COMPUTED_VALUE"""),"Campaña Regular")</f>
        <v>Campaña Regular</v>
      </c>
      <c r="P166" s="152">
        <f>IFERROR(__xludf.DUMMYFUNCTION("""COMPUTED_VALUE"""),89.0)</f>
        <v>89</v>
      </c>
      <c r="Q166" s="151">
        <f>IFERROR(__xludf.DUMMYFUNCTION("""COMPUTED_VALUE"""),46234.0)</f>
        <v>46234</v>
      </c>
    </row>
    <row r="167">
      <c r="C167" s="147"/>
      <c r="K167" s="146" t="str">
        <f>IFERROR(__xludf.DUMMYFUNCTION("""COMPUTED_VALUE"""),"48521002")</f>
        <v>48521002</v>
      </c>
      <c r="L167" s="146" t="str">
        <f>IFERROR(__xludf.DUMMYFUNCTION("""COMPUTED_VALUE"""),"JESSICA LUCERO LLONTOP LLONTOP")</f>
        <v>JESSICA LUCERO LLONTOP LLONTOP</v>
      </c>
      <c r="M167" s="146" t="str">
        <f>IFERROR(__xludf.DUMMYFUNCTION("""COMPUTED_VALUE"""),"LAMBAYEQUE")</f>
        <v>LAMBAYEQUE</v>
      </c>
      <c r="N167" s="146" t="str">
        <f>IFERROR(__xludf.DUMMYFUNCTION("""COMPUTED_VALUE"""),"1 PLAY")</f>
        <v>1 PLAY</v>
      </c>
      <c r="O167" s="146" t="str">
        <f>IFERROR(__xludf.DUMMYFUNCTION("""COMPUTED_VALUE"""),"Campaña Promo Entrada")</f>
        <v>Campaña Promo Entrada</v>
      </c>
      <c r="P167" s="152">
        <f>IFERROR(__xludf.DUMMYFUNCTION("""COMPUTED_VALUE"""),69.0)</f>
        <v>69</v>
      </c>
      <c r="Q167" s="151">
        <f>IFERROR(__xludf.DUMMYFUNCTION("""COMPUTED_VALUE"""),46234.0)</f>
        <v>46234</v>
      </c>
    </row>
    <row r="168">
      <c r="C168" s="147"/>
      <c r="K168" s="146" t="str">
        <f>IFERROR(__xludf.DUMMYFUNCTION("""COMPUTED_VALUE"""),"29368021")</f>
        <v>29368021</v>
      </c>
      <c r="L168" s="146" t="str">
        <f>IFERROR(__xludf.DUMMYFUNCTION("""COMPUTED_VALUE"""),"DIONISIO CRUZ ZAPATA")</f>
        <v>DIONISIO CRUZ ZAPATA</v>
      </c>
      <c r="M168" s="146" t="str">
        <f>IFERROR(__xludf.DUMMYFUNCTION("""COMPUTED_VALUE"""),"AREQUIPA")</f>
        <v>AREQUIPA</v>
      </c>
      <c r="N168" s="146" t="str">
        <f>IFERROR(__xludf.DUMMYFUNCTION("""COMPUTED_VALUE"""),"2PLAY + TELF")</f>
        <v>2PLAY + TELF</v>
      </c>
      <c r="O168" s="146" t="str">
        <f>IFERROR(__xludf.DUMMYFUNCTION("""COMPUTED_VALUE"""),"Campaña Regular")</f>
        <v>Campaña Regular</v>
      </c>
      <c r="P168" s="152">
        <f>IFERROR(__xludf.DUMMYFUNCTION("""COMPUTED_VALUE"""),94.0)</f>
        <v>94</v>
      </c>
      <c r="Q168" s="151">
        <f>IFERROR(__xludf.DUMMYFUNCTION("""COMPUTED_VALUE"""),46234.0)</f>
        <v>46234</v>
      </c>
    </row>
    <row r="169">
      <c r="C169" s="147"/>
      <c r="K169" s="146" t="str">
        <f>IFERROR(__xludf.DUMMYFUNCTION("""COMPUTED_VALUE"""),"10068901")</f>
        <v>10068901</v>
      </c>
      <c r="L169" s="146" t="str">
        <f>IFERROR(__xludf.DUMMYFUNCTION("""COMPUTED_VALUE"""),"ALBERTO CHRISTIAN JESUS CASTRO JIMENEZ")</f>
        <v>ALBERTO CHRISTIAN JESUS CASTRO JIMENEZ</v>
      </c>
      <c r="M169" s="146" t="str">
        <f>IFERROR(__xludf.DUMMYFUNCTION("""COMPUTED_VALUE"""),"LIMA METROPOLITANA")</f>
        <v>LIMA METROPOLITANA</v>
      </c>
      <c r="N169" s="146" t="str">
        <f>IFERROR(__xludf.DUMMYFUNCTION("""COMPUTED_VALUE"""),"2 PLAY + TV ESTANDAR")</f>
        <v>2 PLAY + TV ESTANDAR</v>
      </c>
      <c r="O169" s="146" t="str">
        <f>IFERROR(__xludf.DUMMYFUNCTION("""COMPUTED_VALUE"""),"Campaña Regular")</f>
        <v>Campaña Regular</v>
      </c>
      <c r="P169" s="152">
        <f>IFERROR(__xludf.DUMMYFUNCTION("""COMPUTED_VALUE"""),150.0)</f>
        <v>150</v>
      </c>
      <c r="Q169" s="151">
        <f>IFERROR(__xludf.DUMMYFUNCTION("""COMPUTED_VALUE"""),46234.0)</f>
        <v>46234</v>
      </c>
    </row>
    <row r="170">
      <c r="C170" s="147"/>
      <c r="K170" s="146" t="str">
        <f>IFERROR(__xludf.DUMMYFUNCTION("""COMPUTED_VALUE"""),"41718044")</f>
        <v>41718044</v>
      </c>
      <c r="L170" s="146" t="str">
        <f>IFERROR(__xludf.DUMMYFUNCTION("""COMPUTED_VALUE"""),"ANA ISABEL CUTIPA QUISPE")</f>
        <v>ANA ISABEL CUTIPA QUISPE</v>
      </c>
      <c r="M170" s="146" t="str">
        <f>IFERROR(__xludf.DUMMYFUNCTION("""COMPUTED_VALUE"""),"PUNO")</f>
        <v>PUNO</v>
      </c>
      <c r="N170" s="146" t="str">
        <f>IFERROR(__xludf.DUMMYFUNCTION("""COMPUTED_VALUE"""),"1 PLAY + L1MAX")</f>
        <v>1 PLAY + L1MAX</v>
      </c>
      <c r="O170" s="146" t="str">
        <f>IFERROR(__xludf.DUMMYFUNCTION("""COMPUTED_VALUE"""),"Campaña Regular")</f>
        <v>Campaña Regular</v>
      </c>
      <c r="P170" s="152">
        <f>IFERROR(__xludf.DUMMYFUNCTION("""COMPUTED_VALUE"""),110.0)</f>
        <v>110</v>
      </c>
      <c r="Q170" s="151">
        <f>IFERROR(__xludf.DUMMYFUNCTION("""COMPUTED_VALUE"""),46234.0)</f>
        <v>46234</v>
      </c>
    </row>
    <row r="171">
      <c r="C171" s="147"/>
      <c r="K171" s="146" t="str">
        <f>IFERROR(__xludf.DUMMYFUNCTION("""COMPUTED_VALUE"""),"08459521")</f>
        <v>08459521</v>
      </c>
      <c r="L171" s="146" t="str">
        <f>IFERROR(__xludf.DUMMYFUNCTION("""COMPUTED_VALUE"""),"CESAR AUGUSTO ROMERO REYNOSO")</f>
        <v>CESAR AUGUSTO ROMERO REYNOSO</v>
      </c>
      <c r="M171" s="146" t="str">
        <f>IFERROR(__xludf.DUMMYFUNCTION("""COMPUTED_VALUE"""),"LIMA METROPOLITANA")</f>
        <v>LIMA METROPOLITANA</v>
      </c>
      <c r="N171" s="146" t="str">
        <f>IFERROR(__xludf.DUMMYFUNCTION("""COMPUTED_VALUE"""),"1 PLAY")</f>
        <v>1 PLAY</v>
      </c>
      <c r="O171" s="146" t="str">
        <f>IFERROR(__xludf.DUMMYFUNCTION("""COMPUTED_VALUE"""),"Campaña Regular")</f>
        <v>Campaña Regular</v>
      </c>
      <c r="P171" s="152">
        <f>IFERROR(__xludf.DUMMYFUNCTION("""COMPUTED_VALUE"""),89.0)</f>
        <v>89</v>
      </c>
      <c r="Q171" s="151">
        <f>IFERROR(__xludf.DUMMYFUNCTION("""COMPUTED_VALUE"""),46234.0)</f>
        <v>46234</v>
      </c>
    </row>
    <row r="172">
      <c r="C172" s="147"/>
      <c r="K172" s="146" t="str">
        <f>IFERROR(__xludf.DUMMYFUNCTION("""COMPUTED_VALUE"""),"74915473")</f>
        <v>74915473</v>
      </c>
      <c r="L172" s="146" t="str">
        <f>IFERROR(__xludf.DUMMYFUNCTION("""COMPUTED_VALUE"""),"ELISEO CALEB GALAN GARCIA")</f>
        <v>ELISEO CALEB GALAN GARCIA</v>
      </c>
      <c r="M172" s="146" t="str">
        <f>IFERROR(__xludf.DUMMYFUNCTION("""COMPUTED_VALUE"""),"ANCASH")</f>
        <v>ANCASH</v>
      </c>
      <c r="N172" s="146" t="str">
        <f>IFERROR(__xludf.DUMMYFUNCTION("""COMPUTED_VALUE"""),"1 PLAY")</f>
        <v>1 PLAY</v>
      </c>
      <c r="O172" s="146" t="str">
        <f>IFERROR(__xludf.DUMMYFUNCTION("""COMPUTED_VALUE"""),"Campaña Regular")</f>
        <v>Campaña Regular</v>
      </c>
      <c r="P172" s="152">
        <f>IFERROR(__xludf.DUMMYFUNCTION("""COMPUTED_VALUE"""),89.0)</f>
        <v>89</v>
      </c>
      <c r="Q172" s="151">
        <f>IFERROR(__xludf.DUMMYFUNCTION("""COMPUTED_VALUE"""),46234.0)</f>
        <v>46234</v>
      </c>
    </row>
    <row r="173">
      <c r="C173" s="147"/>
      <c r="K173" s="146" t="str">
        <f>IFERROR(__xludf.DUMMYFUNCTION("""COMPUTED_VALUE"""),"45459233")</f>
        <v>45459233</v>
      </c>
      <c r="L173" s="146" t="str">
        <f>IFERROR(__xludf.DUMMYFUNCTION("""COMPUTED_VALUE"""),"EVERLY ALBERTO CORONADO MITMA")</f>
        <v>EVERLY ALBERTO CORONADO MITMA</v>
      </c>
      <c r="M173" s="146" t="str">
        <f>IFERROR(__xludf.DUMMYFUNCTION("""COMPUTED_VALUE"""),"AYACUCHO")</f>
        <v>AYACUCHO</v>
      </c>
      <c r="N173" s="146" t="str">
        <f>IFERROR(__xludf.DUMMYFUNCTION("""COMPUTED_VALUE"""),"1 PLAY")</f>
        <v>1 PLAY</v>
      </c>
      <c r="O173" s="146" t="str">
        <f>IFERROR(__xludf.DUMMYFUNCTION("""COMPUTED_VALUE"""),"Campaña Regular")</f>
        <v>Campaña Regular</v>
      </c>
      <c r="P173" s="152">
        <f>IFERROR(__xludf.DUMMYFUNCTION("""COMPUTED_VALUE"""),89.0)</f>
        <v>89</v>
      </c>
      <c r="Q173" s="151">
        <f>IFERROR(__xludf.DUMMYFUNCTION("""COMPUTED_VALUE"""),46235.0)</f>
        <v>46235</v>
      </c>
    </row>
    <row r="174">
      <c r="C174" s="147"/>
      <c r="K174" s="146" t="str">
        <f>IFERROR(__xludf.DUMMYFUNCTION("""COMPUTED_VALUE"""),"61576505")</f>
        <v>61576505</v>
      </c>
      <c r="L174" s="146" t="str">
        <f>IFERROR(__xludf.DUMMYFUNCTION("""COMPUTED_VALUE"""),"NERCY VILCAS LLALLICO")</f>
        <v>NERCY VILCAS LLALLICO</v>
      </c>
      <c r="M174" s="146" t="str">
        <f>IFERROR(__xludf.DUMMYFUNCTION("""COMPUTED_VALUE"""),"JUNIN")</f>
        <v>JUNIN</v>
      </c>
      <c r="N174" s="146" t="str">
        <f>IFERROR(__xludf.DUMMYFUNCTION("""COMPUTED_VALUE"""),"1 PLAY")</f>
        <v>1 PLAY</v>
      </c>
      <c r="O174" s="146" t="str">
        <f>IFERROR(__xludf.DUMMYFUNCTION("""COMPUTED_VALUE"""),"Campaña Regular")</f>
        <v>Campaña Regular</v>
      </c>
      <c r="P174" s="152">
        <f>IFERROR(__xludf.DUMMYFUNCTION("""COMPUTED_VALUE"""),69.0)</f>
        <v>69</v>
      </c>
      <c r="Q174" s="151">
        <f>IFERROR(__xludf.DUMMYFUNCTION("""COMPUTED_VALUE"""),46235.0)</f>
        <v>46235</v>
      </c>
    </row>
    <row r="175">
      <c r="C175" s="147"/>
      <c r="K175" s="146" t="str">
        <f>IFERROR(__xludf.DUMMYFUNCTION("""COMPUTED_VALUE"""),"41288686")</f>
        <v>41288686</v>
      </c>
      <c r="L175" s="146" t="str">
        <f>IFERROR(__xludf.DUMMYFUNCTION("""COMPUTED_VALUE"""),"LISSIE MILAGROS VILLACORTA OZAMBELA")</f>
        <v>LISSIE MILAGROS VILLACORTA OZAMBELA</v>
      </c>
      <c r="M175" s="146" t="str">
        <f>IFERROR(__xludf.DUMMYFUNCTION("""COMPUTED_VALUE"""),"SAN MARTIN")</f>
        <v>SAN MARTIN</v>
      </c>
      <c r="N175" s="146" t="str">
        <f>IFERROR(__xludf.DUMMYFUNCTION("""COMPUTED_VALUE"""),"1 PLAY")</f>
        <v>1 PLAY</v>
      </c>
      <c r="O175" s="146" t="str">
        <f>IFERROR(__xludf.DUMMYFUNCTION("""COMPUTED_VALUE"""),"Campaña Regular")</f>
        <v>Campaña Regular</v>
      </c>
      <c r="P175" s="152">
        <f>IFERROR(__xludf.DUMMYFUNCTION("""COMPUTED_VALUE"""),89.0)</f>
        <v>89</v>
      </c>
      <c r="Q175" s="151">
        <f>IFERROR(__xludf.DUMMYFUNCTION("""COMPUTED_VALUE"""),46235.0)</f>
        <v>46235</v>
      </c>
    </row>
    <row r="176">
      <c r="C176" s="147"/>
      <c r="K176" s="146" t="str">
        <f>IFERROR(__xludf.DUMMYFUNCTION("""COMPUTED_VALUE"""),"43258364")</f>
        <v>43258364</v>
      </c>
      <c r="L176" s="146" t="str">
        <f>IFERROR(__xludf.DUMMYFUNCTION("""COMPUTED_VALUE"""),"MANUEL DEL CARMEN CASTILLO RODRIGUEZ")</f>
        <v>MANUEL DEL CARMEN CASTILLO RODRIGUEZ</v>
      </c>
      <c r="M176" s="146" t="str">
        <f>IFERROR(__xludf.DUMMYFUNCTION("""COMPUTED_VALUE"""),"LA LIBERTAD")</f>
        <v>LA LIBERTAD</v>
      </c>
      <c r="N176" s="146" t="str">
        <f>IFERROR(__xludf.DUMMYFUNCTION("""COMPUTED_VALUE"""),"1 PLAY")</f>
        <v>1 PLAY</v>
      </c>
      <c r="O176" s="146" t="str">
        <f>IFERROR(__xludf.DUMMYFUNCTION("""COMPUTED_VALUE"""),"Campaña Regular")</f>
        <v>Campaña Regular</v>
      </c>
      <c r="P176" s="152">
        <f>IFERROR(__xludf.DUMMYFUNCTION("""COMPUTED_VALUE"""),89.0)</f>
        <v>89</v>
      </c>
      <c r="Q176" s="151">
        <f>IFERROR(__xludf.DUMMYFUNCTION("""COMPUTED_VALUE"""),46235.0)</f>
        <v>46235</v>
      </c>
    </row>
    <row r="177">
      <c r="C177" s="147"/>
      <c r="K177" s="146" t="str">
        <f>IFERROR(__xludf.DUMMYFUNCTION("""COMPUTED_VALUE"""),"72118234")</f>
        <v>72118234</v>
      </c>
      <c r="L177" s="146" t="str">
        <f>IFERROR(__xludf.DUMMYFUNCTION("""COMPUTED_VALUE"""),"ALEXANDER ANSELMO HUAMANI QUISPE")</f>
        <v>ALEXANDER ANSELMO HUAMANI QUISPE</v>
      </c>
      <c r="M177" s="146" t="str">
        <f>IFERROR(__xludf.DUMMYFUNCTION("""COMPUTED_VALUE"""),"AREQUIPA")</f>
        <v>AREQUIPA</v>
      </c>
      <c r="N177" s="146" t="str">
        <f>IFERROR(__xludf.DUMMYFUNCTION("""COMPUTED_VALUE"""),"2PLAY + TELF")</f>
        <v>2PLAY + TELF</v>
      </c>
      <c r="O177" s="146" t="str">
        <f>IFERROR(__xludf.DUMMYFUNCTION("""COMPUTED_VALUE"""),"Campaña Regular")</f>
        <v>Campaña Regular</v>
      </c>
      <c r="P177" s="152">
        <f>IFERROR(__xludf.DUMMYFUNCTION("""COMPUTED_VALUE"""),84.0)</f>
        <v>84</v>
      </c>
      <c r="Q177" s="151">
        <f>IFERROR(__xludf.DUMMYFUNCTION("""COMPUTED_VALUE"""),46235.0)</f>
        <v>46235</v>
      </c>
    </row>
    <row r="178">
      <c r="C178" s="147"/>
      <c r="K178" s="146" t="str">
        <f>IFERROR(__xludf.DUMMYFUNCTION("""COMPUTED_VALUE"""),"42487295")</f>
        <v>42487295</v>
      </c>
      <c r="L178" s="146" t="str">
        <f>IFERROR(__xludf.DUMMYFUNCTION("""COMPUTED_VALUE"""),"EDUARDO ABEL BLANCAS CAMARENA")</f>
        <v>EDUARDO ABEL BLANCAS CAMARENA</v>
      </c>
      <c r="M178" s="146" t="str">
        <f>IFERROR(__xludf.DUMMYFUNCTION("""COMPUTED_VALUE"""),"JUNIN")</f>
        <v>JUNIN</v>
      </c>
      <c r="N178" s="146" t="str">
        <f>IFERROR(__xludf.DUMMYFUNCTION("""COMPUTED_VALUE"""),"1 PLAY")</f>
        <v>1 PLAY</v>
      </c>
      <c r="O178" s="146" t="str">
        <f>IFERROR(__xludf.DUMMYFUNCTION("""COMPUTED_VALUE"""),"Campaña Regular")</f>
        <v>Campaña Regular</v>
      </c>
      <c r="P178" s="152">
        <f>IFERROR(__xludf.DUMMYFUNCTION("""COMPUTED_VALUE"""),89.0)</f>
        <v>89</v>
      </c>
      <c r="Q178" s="151">
        <f>IFERROR(__xludf.DUMMYFUNCTION("""COMPUTED_VALUE"""),46235.0)</f>
        <v>46235</v>
      </c>
    </row>
    <row r="179">
      <c r="C179" s="147"/>
      <c r="K179" s="146" t="str">
        <f>IFERROR(__xludf.DUMMYFUNCTION("""COMPUTED_VALUE"""),"70275157")</f>
        <v>70275157</v>
      </c>
      <c r="L179" s="146" t="str">
        <f>IFERROR(__xludf.DUMMYFUNCTION("""COMPUTED_VALUE"""),"KATIA SILVIA CAROLINA BRAVO MOSCOL")</f>
        <v>KATIA SILVIA CAROLINA BRAVO MOSCOL</v>
      </c>
      <c r="M179" s="146" t="str">
        <f>IFERROR(__xludf.DUMMYFUNCTION("""COMPUTED_VALUE"""),"LIMA METROPOLITANA")</f>
        <v>LIMA METROPOLITANA</v>
      </c>
      <c r="N179" s="146" t="str">
        <f>IFERROR(__xludf.DUMMYFUNCTION("""COMPUTED_VALUE"""),"1 PLAY")</f>
        <v>1 PLAY</v>
      </c>
      <c r="O179" s="146" t="str">
        <f>IFERROR(__xludf.DUMMYFUNCTION("""COMPUTED_VALUE"""),"Campaña Regular")</f>
        <v>Campaña Regular</v>
      </c>
      <c r="P179" s="152">
        <f>IFERROR(__xludf.DUMMYFUNCTION("""COMPUTED_VALUE"""),89.0)</f>
        <v>89</v>
      </c>
      <c r="Q179" s="151">
        <f>IFERROR(__xludf.DUMMYFUNCTION("""COMPUTED_VALUE"""),46235.0)</f>
        <v>46235</v>
      </c>
    </row>
    <row r="180">
      <c r="C180" s="147"/>
      <c r="K180" s="146" t="str">
        <f>IFERROR(__xludf.DUMMYFUNCTION("""COMPUTED_VALUE"""),"09863711")</f>
        <v>09863711</v>
      </c>
      <c r="L180" s="146" t="str">
        <f>IFERROR(__xludf.DUMMYFUNCTION("""COMPUTED_VALUE"""),"MARIA DEL PILAR ICAZA INFANTES")</f>
        <v>MARIA DEL PILAR ICAZA INFANTES</v>
      </c>
      <c r="M180" s="146" t="str">
        <f>IFERROR(__xludf.DUMMYFUNCTION("""COMPUTED_VALUE"""),"LIMA METROPOLITANA")</f>
        <v>LIMA METROPOLITANA</v>
      </c>
      <c r="N180" s="146" t="str">
        <f>IFERROR(__xludf.DUMMYFUNCTION("""COMPUTED_VALUE"""),"1 PLAY")</f>
        <v>1 PLAY</v>
      </c>
      <c r="O180" s="146" t="str">
        <f>IFERROR(__xludf.DUMMYFUNCTION("""COMPUTED_VALUE"""),"Campaña Regular")</f>
        <v>Campaña Regular</v>
      </c>
      <c r="P180" s="152">
        <f>IFERROR(__xludf.DUMMYFUNCTION("""COMPUTED_VALUE"""),89.0)</f>
        <v>89</v>
      </c>
      <c r="Q180" s="151">
        <f>IFERROR(__xludf.DUMMYFUNCTION("""COMPUTED_VALUE"""),46237.0)</f>
        <v>46237</v>
      </c>
    </row>
    <row r="181">
      <c r="C181" s="147"/>
      <c r="K181" s="146" t="str">
        <f>IFERROR(__xludf.DUMMYFUNCTION("""COMPUTED_VALUE"""),"40561380")</f>
        <v>40561380</v>
      </c>
      <c r="L181" s="146" t="str">
        <f>IFERROR(__xludf.DUMMYFUNCTION("""COMPUTED_VALUE"""),"OSCAR ROBERTO TORRES OLIVA")</f>
        <v>OSCAR ROBERTO TORRES OLIVA</v>
      </c>
      <c r="M181" s="146" t="str">
        <f>IFERROR(__xludf.DUMMYFUNCTION("""COMPUTED_VALUE"""),"LIMA METROPOLITANA")</f>
        <v>LIMA METROPOLITANA</v>
      </c>
      <c r="N181" s="146" t="str">
        <f>IFERROR(__xludf.DUMMYFUNCTION("""COMPUTED_VALUE"""),"3 PLAY + TV ESTANDAR")</f>
        <v>3 PLAY + TV ESTANDAR</v>
      </c>
      <c r="O181" s="146" t="str">
        <f>IFERROR(__xludf.DUMMYFUNCTION("""COMPUTED_VALUE"""),"Campaña Regular")</f>
        <v>Campaña Regular</v>
      </c>
      <c r="P181" s="152">
        <f>IFERROR(__xludf.DUMMYFUNCTION("""COMPUTED_VALUE"""),175.0)</f>
        <v>175</v>
      </c>
      <c r="Q181" s="151">
        <f>IFERROR(__xludf.DUMMYFUNCTION("""COMPUTED_VALUE"""),46239.0)</f>
        <v>46239</v>
      </c>
    </row>
    <row r="182">
      <c r="C182" s="147"/>
      <c r="K182" s="146" t="str">
        <f>IFERROR(__xludf.DUMMYFUNCTION("""COMPUTED_VALUE"""),"74119928")</f>
        <v>74119928</v>
      </c>
      <c r="L182" s="146" t="str">
        <f>IFERROR(__xludf.DUMMYFUNCTION("""COMPUTED_VALUE"""),"MARIA ANTONIETA PALOMINO ROBLES")</f>
        <v>MARIA ANTONIETA PALOMINO ROBLES</v>
      </c>
      <c r="M182" s="146" t="str">
        <f>IFERROR(__xludf.DUMMYFUNCTION("""COMPUTED_VALUE"""),"LIMA METROPOLITANA")</f>
        <v>LIMA METROPOLITANA</v>
      </c>
      <c r="N182" s="146" t="str">
        <f>IFERROR(__xludf.DUMMYFUNCTION("""COMPUTED_VALUE"""),"1 PLAY")</f>
        <v>1 PLAY</v>
      </c>
      <c r="O182" s="146" t="str">
        <f>IFERROR(__xludf.DUMMYFUNCTION("""COMPUTED_VALUE"""),"Campaña Regular")</f>
        <v>Campaña Regular</v>
      </c>
      <c r="P182" s="152">
        <f>IFERROR(__xludf.DUMMYFUNCTION("""COMPUTED_VALUE"""),89.0)</f>
        <v>89</v>
      </c>
      <c r="Q182" s="151">
        <f>IFERROR(__xludf.DUMMYFUNCTION("""COMPUTED_VALUE"""),46241.0)</f>
        <v>46241</v>
      </c>
    </row>
    <row r="183">
      <c r="C183" s="147"/>
      <c r="K183" s="146" t="str">
        <f>IFERROR(__xludf.DUMMYFUNCTION("""COMPUTED_VALUE"""),"44128990")</f>
        <v>44128990</v>
      </c>
      <c r="L183" s="146" t="str">
        <f>IFERROR(__xludf.DUMMYFUNCTION("""COMPUTED_VALUE"""),"MARIO DENIS'S VASQUEZ PEREZ")</f>
        <v>MARIO DENIS'S VASQUEZ PEREZ</v>
      </c>
      <c r="M183" s="146" t="str">
        <f>IFERROR(__xludf.DUMMYFUNCTION("""COMPUTED_VALUE"""),"LAMBAYEQUE")</f>
        <v>LAMBAYEQUE</v>
      </c>
      <c r="N183" s="146" t="str">
        <f>IFERROR(__xludf.DUMMYFUNCTION("""COMPUTED_VALUE"""),"1 PLAY")</f>
        <v>1 PLAY</v>
      </c>
      <c r="O183" s="146" t="str">
        <f>IFERROR(__xludf.DUMMYFUNCTION("""COMPUTED_VALUE"""),"Campaña Regular")</f>
        <v>Campaña Regular</v>
      </c>
      <c r="P183" s="152">
        <f>IFERROR(__xludf.DUMMYFUNCTION("""COMPUTED_VALUE"""),89.0)</f>
        <v>89</v>
      </c>
      <c r="Q183" s="151">
        <f>IFERROR(__xludf.DUMMYFUNCTION("""COMPUTED_VALUE"""),46236.0)</f>
        <v>46236</v>
      </c>
    </row>
    <row r="184">
      <c r="C184" s="147"/>
      <c r="K184" s="146" t="str">
        <f>IFERROR(__xludf.DUMMYFUNCTION("""COMPUTED_VALUE"""),"46948967")</f>
        <v>46948967</v>
      </c>
      <c r="L184" s="146" t="str">
        <f>IFERROR(__xludf.DUMMYFUNCTION("""COMPUTED_VALUE"""),"KATHERIN ROSA CORDOVA CALLUPE")</f>
        <v>KATHERIN ROSA CORDOVA CALLUPE</v>
      </c>
      <c r="M184" s="146" t="str">
        <f>IFERROR(__xludf.DUMMYFUNCTION("""COMPUTED_VALUE"""),"LIMA METROPOLITANA")</f>
        <v>LIMA METROPOLITANA</v>
      </c>
      <c r="N184" s="146" t="str">
        <f>IFERROR(__xludf.DUMMYFUNCTION("""COMPUTED_VALUE"""),"2 PLAY + TV ESTANDAR")</f>
        <v>2 PLAY + TV ESTANDAR</v>
      </c>
      <c r="O184" s="146" t="str">
        <f>IFERROR(__xludf.DUMMYFUNCTION("""COMPUTED_VALUE"""),"Campaña Regular")</f>
        <v>Campaña Regular</v>
      </c>
      <c r="P184" s="152">
        <f>IFERROR(__xludf.DUMMYFUNCTION("""COMPUTED_VALUE"""),150.0)</f>
        <v>150</v>
      </c>
      <c r="Q184" s="151">
        <f>IFERROR(__xludf.DUMMYFUNCTION("""COMPUTED_VALUE"""),46237.0)</f>
        <v>46237</v>
      </c>
    </row>
    <row r="185">
      <c r="C185" s="147"/>
      <c r="K185" s="146" t="str">
        <f>IFERROR(__xludf.DUMMYFUNCTION("""COMPUTED_VALUE"""),"10421699")</f>
        <v>10421699</v>
      </c>
      <c r="L185" s="146" t="str">
        <f>IFERROR(__xludf.DUMMYFUNCTION("""COMPUTED_VALUE"""),"TATIANA PATRICIA DIAZ HERRERA")</f>
        <v>TATIANA PATRICIA DIAZ HERRERA</v>
      </c>
      <c r="M185" s="146" t="str">
        <f>IFERROR(__xludf.DUMMYFUNCTION("""COMPUTED_VALUE"""),"LIMA METROPOLITANA")</f>
        <v>LIMA METROPOLITANA</v>
      </c>
      <c r="N185" s="146" t="str">
        <f>IFERROR(__xludf.DUMMYFUNCTION("""COMPUTED_VALUE"""),"1 PLAY")</f>
        <v>1 PLAY</v>
      </c>
      <c r="O185" s="146" t="str">
        <f>IFERROR(__xludf.DUMMYFUNCTION("""COMPUTED_VALUE"""),"Campaña Regular")</f>
        <v>Campaña Regular</v>
      </c>
      <c r="P185" s="152">
        <f>IFERROR(__xludf.DUMMYFUNCTION("""COMPUTED_VALUE"""),89.0)</f>
        <v>89</v>
      </c>
      <c r="Q185" s="151">
        <f>IFERROR(__xludf.DUMMYFUNCTION("""COMPUTED_VALUE"""),46237.0)</f>
        <v>46237</v>
      </c>
    </row>
    <row r="186">
      <c r="C186" s="147"/>
      <c r="K186" s="146" t="str">
        <f>IFERROR(__xludf.DUMMYFUNCTION("""COMPUTED_VALUE"""),"43668978")</f>
        <v>43668978</v>
      </c>
      <c r="L186" s="146" t="str">
        <f>IFERROR(__xludf.DUMMYFUNCTION("""COMPUTED_VALUE"""),"ELIS HANSEL LABOREANO SUXE")</f>
        <v>ELIS HANSEL LABOREANO SUXE</v>
      </c>
      <c r="M186" s="146" t="str">
        <f>IFERROR(__xludf.DUMMYFUNCTION("""COMPUTED_VALUE"""),"LAMBAYEQUE")</f>
        <v>LAMBAYEQUE</v>
      </c>
      <c r="N186" s="146" t="str">
        <f>IFERROR(__xludf.DUMMYFUNCTION("""COMPUTED_VALUE"""),"1 PLAY")</f>
        <v>1 PLAY</v>
      </c>
      <c r="O186" s="146" t="str">
        <f>IFERROR(__xludf.DUMMYFUNCTION("""COMPUTED_VALUE"""),"Campaña Regular")</f>
        <v>Campaña Regular</v>
      </c>
      <c r="P186" s="152">
        <f>IFERROR(__xludf.DUMMYFUNCTION("""COMPUTED_VALUE"""),89.0)</f>
        <v>89</v>
      </c>
      <c r="Q186" s="151">
        <f>IFERROR(__xludf.DUMMYFUNCTION("""COMPUTED_VALUE"""),46237.0)</f>
        <v>46237</v>
      </c>
    </row>
    <row r="187">
      <c r="C187" s="147"/>
      <c r="K187" s="146" t="str">
        <f>IFERROR(__xludf.DUMMYFUNCTION("""COMPUTED_VALUE"""),"28276176")</f>
        <v>28276176</v>
      </c>
      <c r="L187" s="146" t="str">
        <f>IFERROR(__xludf.DUMMYFUNCTION("""COMPUTED_VALUE"""),"MARY BELL PASTOR RUA")</f>
        <v>MARY BELL PASTOR RUA</v>
      </c>
      <c r="M187" s="146" t="str">
        <f>IFERROR(__xludf.DUMMYFUNCTION("""COMPUTED_VALUE"""),"AYACUCHO")</f>
        <v>AYACUCHO</v>
      </c>
      <c r="N187" s="146" t="str">
        <f>IFERROR(__xludf.DUMMYFUNCTION("""COMPUTED_VALUE"""),"1 PLAY")</f>
        <v>1 PLAY</v>
      </c>
      <c r="O187" s="146" t="str">
        <f>IFERROR(__xludf.DUMMYFUNCTION("""COMPUTED_VALUE"""),"Campaña Regular")</f>
        <v>Campaña Regular</v>
      </c>
      <c r="P187" s="152">
        <f>IFERROR(__xludf.DUMMYFUNCTION("""COMPUTED_VALUE"""),89.0)</f>
        <v>89</v>
      </c>
      <c r="Q187" s="151">
        <f>IFERROR(__xludf.DUMMYFUNCTION("""COMPUTED_VALUE"""),46237.0)</f>
        <v>46237</v>
      </c>
    </row>
    <row r="188">
      <c r="C188" s="147"/>
      <c r="K188" s="146" t="str">
        <f>IFERROR(__xludf.DUMMYFUNCTION("""COMPUTED_VALUE"""),"18109852")</f>
        <v>18109852</v>
      </c>
      <c r="L188" s="146" t="str">
        <f>IFERROR(__xludf.DUMMYFUNCTION("""COMPUTED_VALUE"""),"JUAN CARLOS CASTILLO LESCANO")</f>
        <v>JUAN CARLOS CASTILLO LESCANO</v>
      </c>
      <c r="M188" s="146" t="str">
        <f>IFERROR(__xludf.DUMMYFUNCTION("""COMPUTED_VALUE"""),"LA LIBERTAD")</f>
        <v>LA LIBERTAD</v>
      </c>
      <c r="N188" s="146" t="str">
        <f>IFERROR(__xludf.DUMMYFUNCTION("""COMPUTED_VALUE"""),"1 PLAY")</f>
        <v>1 PLAY</v>
      </c>
      <c r="O188" s="146" t="str">
        <f>IFERROR(__xludf.DUMMYFUNCTION("""COMPUTED_VALUE"""),"Campaña Regular")</f>
        <v>Campaña Regular</v>
      </c>
      <c r="P188" s="152">
        <f>IFERROR(__xludf.DUMMYFUNCTION("""COMPUTED_VALUE"""),89.0)</f>
        <v>89</v>
      </c>
      <c r="Q188" s="151">
        <f>IFERROR(__xludf.DUMMYFUNCTION("""COMPUTED_VALUE"""),46238.0)</f>
        <v>46238</v>
      </c>
    </row>
    <row r="189">
      <c r="C189" s="147"/>
      <c r="K189" s="146" t="str">
        <f>IFERROR(__xludf.DUMMYFUNCTION("""COMPUTED_VALUE"""),"40682811")</f>
        <v>40682811</v>
      </c>
      <c r="L189" s="146" t="str">
        <f>IFERROR(__xludf.DUMMYFUNCTION("""COMPUTED_VALUE"""),"GERARDO MANCHA RODRIGUEZ")</f>
        <v>GERARDO MANCHA RODRIGUEZ</v>
      </c>
      <c r="M189" s="146" t="str">
        <f>IFERROR(__xludf.DUMMYFUNCTION("""COMPUTED_VALUE"""),"CUSCO")</f>
        <v>CUSCO</v>
      </c>
      <c r="N189" s="146" t="str">
        <f>IFERROR(__xludf.DUMMYFUNCTION("""COMPUTED_VALUE"""),"2 PLAY + TV ESTANDAR")</f>
        <v>2 PLAY + TV ESTANDAR</v>
      </c>
      <c r="O189" s="146" t="str">
        <f>IFERROR(__xludf.DUMMYFUNCTION("""COMPUTED_VALUE"""),"Campaña Regular")</f>
        <v>Campaña Regular</v>
      </c>
      <c r="P189" s="152">
        <f>IFERROR(__xludf.DUMMYFUNCTION("""COMPUTED_VALUE"""),170.0)</f>
        <v>170</v>
      </c>
      <c r="Q189" s="151">
        <f>IFERROR(__xludf.DUMMYFUNCTION("""COMPUTED_VALUE"""),46238.0)</f>
        <v>46238</v>
      </c>
    </row>
    <row r="190">
      <c r="C190" s="147"/>
      <c r="K190" s="146" t="str">
        <f>IFERROR(__xludf.DUMMYFUNCTION("""COMPUTED_VALUE"""),"40355199")</f>
        <v>40355199</v>
      </c>
      <c r="L190" s="146" t="str">
        <f>IFERROR(__xludf.DUMMYFUNCTION("""COMPUTED_VALUE"""),"edith yanina ortega minaya")</f>
        <v>edith yanina ortega minaya</v>
      </c>
      <c r="M190" s="146" t="str">
        <f>IFERROR(__xludf.DUMMYFUNCTION("""COMPUTED_VALUE"""),"ANCASH")</f>
        <v>ANCASH</v>
      </c>
      <c r="N190" s="146" t="str">
        <f>IFERROR(__xludf.DUMMYFUNCTION("""COMPUTED_VALUE"""),"2 PLAY + TV ESTANDAR")</f>
        <v>2 PLAY + TV ESTANDAR</v>
      </c>
      <c r="O190" s="146" t="str">
        <f>IFERROR(__xludf.DUMMYFUNCTION("""COMPUTED_VALUE"""),"Campaña Regular")</f>
        <v>Campaña Regular</v>
      </c>
      <c r="P190" s="152">
        <f>IFERROR(__xludf.DUMMYFUNCTION("""COMPUTED_VALUE"""),150.0)</f>
        <v>150</v>
      </c>
      <c r="Q190" s="151">
        <f>IFERROR(__xludf.DUMMYFUNCTION("""COMPUTED_VALUE"""),46238.0)</f>
        <v>46238</v>
      </c>
    </row>
    <row r="191">
      <c r="C191" s="147"/>
      <c r="K191" s="146" t="str">
        <f>IFERROR(__xludf.DUMMYFUNCTION("""COMPUTED_VALUE"""),"09025743")</f>
        <v>09025743</v>
      </c>
      <c r="L191" s="146" t="str">
        <f>IFERROR(__xludf.DUMMYFUNCTION("""COMPUTED_VALUE"""),"TERESA VILLALOBOS ALTAMIRANO")</f>
        <v>TERESA VILLALOBOS ALTAMIRANO</v>
      </c>
      <c r="M191" s="146" t="str">
        <f>IFERROR(__xludf.DUMMYFUNCTION("""COMPUTED_VALUE"""),"LIMA METROPOLITANA")</f>
        <v>LIMA METROPOLITANA</v>
      </c>
      <c r="N191" s="146" t="str">
        <f>IFERROR(__xludf.DUMMYFUNCTION("""COMPUTED_VALUE"""),"2 PLAY + TV ESTANDAR")</f>
        <v>2 PLAY + TV ESTANDAR</v>
      </c>
      <c r="O191" s="146" t="str">
        <f>IFERROR(__xludf.DUMMYFUNCTION("""COMPUTED_VALUE"""),"Campaña Regular")</f>
        <v>Campaña Regular</v>
      </c>
      <c r="P191" s="152">
        <f>IFERROR(__xludf.DUMMYFUNCTION("""COMPUTED_VALUE"""),150.0)</f>
        <v>150</v>
      </c>
      <c r="Q191" s="151">
        <f>IFERROR(__xludf.DUMMYFUNCTION("""COMPUTED_VALUE"""),46238.0)</f>
        <v>46238</v>
      </c>
    </row>
    <row r="192">
      <c r="C192" s="147"/>
      <c r="K192" s="146" t="str">
        <f>IFERROR(__xludf.DUMMYFUNCTION("""COMPUTED_VALUE"""),"01174091")</f>
        <v>01174091</v>
      </c>
      <c r="L192" s="146" t="str">
        <f>IFERROR(__xludf.DUMMYFUNCTION("""COMPUTED_VALUE"""),"REATEGUI COLLAZOS, MARCO ANTONIO")</f>
        <v>REATEGUI COLLAZOS, MARCO ANTONIO</v>
      </c>
      <c r="M192" s="146" t="str">
        <f>IFERROR(__xludf.DUMMYFUNCTION("""COMPUTED_VALUE"""),"SAN MARTIN")</f>
        <v>SAN MARTIN</v>
      </c>
      <c r="N192" s="146" t="str">
        <f>IFERROR(__xludf.DUMMYFUNCTION("""COMPUTED_VALUE"""),"2 PLAY + TV ESTANDAR")</f>
        <v>2 PLAY + TV ESTANDAR</v>
      </c>
      <c r="O192" s="146" t="str">
        <f>IFERROR(__xludf.DUMMYFUNCTION("""COMPUTED_VALUE"""),"Campaña Regular")</f>
        <v>Campaña Regular</v>
      </c>
      <c r="P192" s="152">
        <f>IFERROR(__xludf.DUMMYFUNCTION("""COMPUTED_VALUE"""),150.0)</f>
        <v>150</v>
      </c>
      <c r="Q192" s="151">
        <f>IFERROR(__xludf.DUMMYFUNCTION("""COMPUTED_VALUE"""),46238.0)</f>
        <v>46238</v>
      </c>
    </row>
    <row r="193">
      <c r="C193" s="147"/>
      <c r="K193" s="146" t="str">
        <f>IFERROR(__xludf.DUMMYFUNCTION("""COMPUTED_VALUE"""),"00491734")</f>
        <v>00491734</v>
      </c>
      <c r="L193" s="146" t="str">
        <f>IFERROR(__xludf.DUMMYFUNCTION("""COMPUTED_VALUE"""),"FREDDY HELADIO MAQUEYRA VELARDE")</f>
        <v>FREDDY HELADIO MAQUEYRA VELARDE</v>
      </c>
      <c r="M193" s="146" t="str">
        <f>IFERROR(__xludf.DUMMYFUNCTION("""COMPUTED_VALUE"""),"TACNA")</f>
        <v>TACNA</v>
      </c>
      <c r="N193" s="146" t="str">
        <f>IFERROR(__xludf.DUMMYFUNCTION("""COMPUTED_VALUE"""),"2 PLAY + TV ESTANDAR")</f>
        <v>2 PLAY + TV ESTANDAR</v>
      </c>
      <c r="O193" s="146" t="str">
        <f>IFERROR(__xludf.DUMMYFUNCTION("""COMPUTED_VALUE"""),"Campaña Regular")</f>
        <v>Campaña Regular</v>
      </c>
      <c r="P193" s="152">
        <f>IFERROR(__xludf.DUMMYFUNCTION("""COMPUTED_VALUE"""),150.0)</f>
        <v>150</v>
      </c>
      <c r="Q193" s="151">
        <f>IFERROR(__xludf.DUMMYFUNCTION("""COMPUTED_VALUE"""),46239.0)</f>
        <v>46239</v>
      </c>
    </row>
    <row r="194">
      <c r="C194" s="147"/>
      <c r="K194" s="146" t="str">
        <f>IFERROR(__xludf.DUMMYFUNCTION("""COMPUTED_VALUE"""),"31616317")</f>
        <v>31616317</v>
      </c>
      <c r="L194" s="146" t="str">
        <f>IFERROR(__xludf.DUMMYFUNCTION("""COMPUTED_VALUE"""),"DANIEL PAULINO LOPEZ ANAYA")</f>
        <v>DANIEL PAULINO LOPEZ ANAYA</v>
      </c>
      <c r="M194" s="146" t="str">
        <f>IFERROR(__xludf.DUMMYFUNCTION("""COMPUTED_VALUE"""),"ANCASH")</f>
        <v>ANCASH</v>
      </c>
      <c r="N194" s="146" t="str">
        <f>IFERROR(__xludf.DUMMYFUNCTION("""COMPUTED_VALUE"""),"1 PLAY")</f>
        <v>1 PLAY</v>
      </c>
      <c r="O194" s="146" t="str">
        <f>IFERROR(__xludf.DUMMYFUNCTION("""COMPUTED_VALUE"""),"Campaña Regular")</f>
        <v>Campaña Regular</v>
      </c>
      <c r="P194" s="152">
        <f>IFERROR(__xludf.DUMMYFUNCTION("""COMPUTED_VALUE"""),89.0)</f>
        <v>89</v>
      </c>
      <c r="Q194" s="151">
        <f>IFERROR(__xludf.DUMMYFUNCTION("""COMPUTED_VALUE"""),46239.0)</f>
        <v>46239</v>
      </c>
    </row>
    <row r="195">
      <c r="C195" s="147"/>
      <c r="K195" s="146" t="str">
        <f>IFERROR(__xludf.DUMMYFUNCTION("""COMPUTED_VALUE"""),"70902196")</f>
        <v>70902196</v>
      </c>
      <c r="L195" s="146" t="str">
        <f>IFERROR(__xludf.DUMMYFUNCTION("""COMPUTED_VALUE"""),"VICTOR HENRRY AGUILAR URBINA")</f>
        <v>VICTOR HENRRY AGUILAR URBINA</v>
      </c>
      <c r="M195" s="146" t="str">
        <f>IFERROR(__xludf.DUMMYFUNCTION("""COMPUTED_VALUE"""),"HUANCAVELICA")</f>
        <v>HUANCAVELICA</v>
      </c>
      <c r="N195" s="146" t="str">
        <f>IFERROR(__xludf.DUMMYFUNCTION("""COMPUTED_VALUE"""),"1 PLAY")</f>
        <v>1 PLAY</v>
      </c>
      <c r="O195" s="146" t="str">
        <f>IFERROR(__xludf.DUMMYFUNCTION("""COMPUTED_VALUE"""),"Campaña Regular")</f>
        <v>Campaña Regular</v>
      </c>
      <c r="P195" s="152">
        <f>IFERROR(__xludf.DUMMYFUNCTION("""COMPUTED_VALUE"""),89.0)</f>
        <v>89</v>
      </c>
      <c r="Q195" s="151">
        <f>IFERROR(__xludf.DUMMYFUNCTION("""COMPUTED_VALUE"""),46240.0)</f>
        <v>46240</v>
      </c>
    </row>
    <row r="196">
      <c r="C196" s="147"/>
      <c r="K196" s="146" t="str">
        <f>IFERROR(__xludf.DUMMYFUNCTION("""COMPUTED_VALUE"""),"45400234")</f>
        <v>45400234</v>
      </c>
      <c r="L196" s="146" t="str">
        <f>IFERROR(__xludf.DUMMYFUNCTION("""COMPUTED_VALUE"""),"JOSE DENNIS HILARION PICHIHUA")</f>
        <v>JOSE DENNIS HILARION PICHIHUA</v>
      </c>
      <c r="M196" s="146" t="str">
        <f>IFERROR(__xludf.DUMMYFUNCTION("""COMPUTED_VALUE"""),"LIMA METROPOLITANA")</f>
        <v>LIMA METROPOLITANA</v>
      </c>
      <c r="N196" s="146" t="str">
        <f>IFERROR(__xludf.DUMMYFUNCTION("""COMPUTED_VALUE"""),"1 PLAY")</f>
        <v>1 PLAY</v>
      </c>
      <c r="O196" s="146" t="str">
        <f>IFERROR(__xludf.DUMMYFUNCTION("""COMPUTED_VALUE"""),"Campaña Regular")</f>
        <v>Campaña Regular</v>
      </c>
      <c r="P196" s="152">
        <f>IFERROR(__xludf.DUMMYFUNCTION("""COMPUTED_VALUE"""),69.0)</f>
        <v>69</v>
      </c>
      <c r="Q196" s="151">
        <f>IFERROR(__xludf.DUMMYFUNCTION("""COMPUTED_VALUE"""),46240.0)</f>
        <v>46240</v>
      </c>
    </row>
    <row r="197">
      <c r="C197" s="147"/>
      <c r="K197" s="146" t="str">
        <f>IFERROR(__xludf.DUMMYFUNCTION("""COMPUTED_VALUE"""),"09381879")</f>
        <v>09381879</v>
      </c>
      <c r="L197" s="146" t="str">
        <f>IFERROR(__xludf.DUMMYFUNCTION("""COMPUTED_VALUE"""),"JUAN MANUEL YATACO REAÑO")</f>
        <v>JUAN MANUEL YATACO REAÑO</v>
      </c>
      <c r="M197" s="146" t="str">
        <f>IFERROR(__xludf.DUMMYFUNCTION("""COMPUTED_VALUE"""),"LIMA METROPOLITANA")</f>
        <v>LIMA METROPOLITANA</v>
      </c>
      <c r="N197" s="146" t="str">
        <f>IFERROR(__xludf.DUMMYFUNCTION("""COMPUTED_VALUE"""),"2 PLAY + TV ESTANDAR")</f>
        <v>2 PLAY + TV ESTANDAR</v>
      </c>
      <c r="O197" s="146" t="str">
        <f>IFERROR(__xludf.DUMMYFUNCTION("""COMPUTED_VALUE"""),"Campaña Regular")</f>
        <v>Campaña Regular</v>
      </c>
      <c r="P197" s="152">
        <f>IFERROR(__xludf.DUMMYFUNCTION("""COMPUTED_VALUE"""),150.0)</f>
        <v>150</v>
      </c>
      <c r="Q197" s="151">
        <f>IFERROR(__xludf.DUMMYFUNCTION("""COMPUTED_VALUE"""),46240.0)</f>
        <v>46240</v>
      </c>
    </row>
    <row r="198">
      <c r="C198" s="147"/>
      <c r="K198" s="146" t="str">
        <f>IFERROR(__xludf.DUMMYFUNCTION("""COMPUTED_VALUE"""),"43015946")</f>
        <v>43015946</v>
      </c>
      <c r="L198" s="146" t="str">
        <f>IFERROR(__xludf.DUMMYFUNCTION("""COMPUTED_VALUE"""),"CHOQUE CASTILLO, HERMILA DNI:43015946")</f>
        <v>CHOQUE CASTILLO, HERMILA DNI:43015946</v>
      </c>
      <c r="M198" s="146" t="str">
        <f>IFERROR(__xludf.DUMMYFUNCTION("""COMPUTED_VALUE"""),"CUSCO")</f>
        <v>CUSCO</v>
      </c>
      <c r="N198" s="146" t="str">
        <f>IFERROR(__xludf.DUMMYFUNCTION("""COMPUTED_VALUE"""),"2PLAY + TELF")</f>
        <v>2PLAY + TELF</v>
      </c>
      <c r="O198" s="146" t="str">
        <f>IFERROR(__xludf.DUMMYFUNCTION("""COMPUTED_VALUE"""),"Campaña Regular")</f>
        <v>Campaña Regular</v>
      </c>
      <c r="P198" s="152">
        <f>IFERROR(__xludf.DUMMYFUNCTION("""COMPUTED_VALUE"""),170.0)</f>
        <v>170</v>
      </c>
      <c r="Q198" s="151">
        <f>IFERROR(__xludf.DUMMYFUNCTION("""COMPUTED_VALUE"""),46240.0)</f>
        <v>46240</v>
      </c>
    </row>
    <row r="199">
      <c r="C199" s="147"/>
      <c r="K199" s="146" t="str">
        <f>IFERROR(__xludf.DUMMYFUNCTION("""COMPUTED_VALUE"""),"18090160")</f>
        <v>18090160</v>
      </c>
      <c r="L199" s="146" t="str">
        <f>IFERROR(__xludf.DUMMYFUNCTION("""COMPUTED_VALUE"""),"CARLOS ALBERTO MARIÑOS LOAYZA")</f>
        <v>CARLOS ALBERTO MARIÑOS LOAYZA</v>
      </c>
      <c r="M199" s="146" t="str">
        <f>IFERROR(__xludf.DUMMYFUNCTION("""COMPUTED_VALUE"""),"LA LIBERTAD")</f>
        <v>LA LIBERTAD</v>
      </c>
      <c r="N199" s="146" t="str">
        <f>IFERROR(__xludf.DUMMYFUNCTION("""COMPUTED_VALUE"""),"1 PLAY")</f>
        <v>1 PLAY</v>
      </c>
      <c r="O199" s="146" t="str">
        <f>IFERROR(__xludf.DUMMYFUNCTION("""COMPUTED_VALUE"""),"Campaña Regular")</f>
        <v>Campaña Regular</v>
      </c>
      <c r="P199" s="152">
        <f>IFERROR(__xludf.DUMMYFUNCTION("""COMPUTED_VALUE"""),89.0)</f>
        <v>89</v>
      </c>
      <c r="Q199" s="151">
        <f>IFERROR(__xludf.DUMMYFUNCTION("""COMPUTED_VALUE"""),46240.0)</f>
        <v>46240</v>
      </c>
    </row>
    <row r="200">
      <c r="C200" s="147"/>
      <c r="K200" s="146" t="str">
        <f>IFERROR(__xludf.DUMMYFUNCTION("""COMPUTED_VALUE"""),"42098369")</f>
        <v>42098369</v>
      </c>
      <c r="L200" s="146" t="str">
        <f>IFERROR(__xludf.DUMMYFUNCTION("""COMPUTED_VALUE"""),"JORGE LUIS MARTIN LOPEZ CROVETTO")</f>
        <v>JORGE LUIS MARTIN LOPEZ CROVETTO</v>
      </c>
      <c r="M200" s="146" t="str">
        <f>IFERROR(__xludf.DUMMYFUNCTION("""COMPUTED_VALUE"""),"LIMA METROPOLITANA")</f>
        <v>LIMA METROPOLITANA</v>
      </c>
      <c r="N200" s="146" t="str">
        <f>IFERROR(__xludf.DUMMYFUNCTION("""COMPUTED_VALUE"""),"1 PLAY")</f>
        <v>1 PLAY</v>
      </c>
      <c r="O200" s="146" t="str">
        <f>IFERROR(__xludf.DUMMYFUNCTION("""COMPUTED_VALUE"""),"Campaña Regular")</f>
        <v>Campaña Regular</v>
      </c>
      <c r="P200" s="152">
        <f>IFERROR(__xludf.DUMMYFUNCTION("""COMPUTED_VALUE"""),89.0)</f>
        <v>89</v>
      </c>
      <c r="Q200" s="151">
        <f>IFERROR(__xludf.DUMMYFUNCTION("""COMPUTED_VALUE"""),46241.0)</f>
        <v>46241</v>
      </c>
    </row>
    <row r="201">
      <c r="C201" s="147"/>
      <c r="K201" s="146" t="str">
        <f>IFERROR(__xludf.DUMMYFUNCTION("""COMPUTED_VALUE"""),"40958527")</f>
        <v>40958527</v>
      </c>
      <c r="L201" s="146" t="str">
        <f>IFERROR(__xludf.DUMMYFUNCTION("""COMPUTED_VALUE"""),"MONTOYA TIRADO, JOANNA LIZBETH")</f>
        <v>MONTOYA TIRADO, JOANNA LIZBETH</v>
      </c>
      <c r="M201" s="146" t="str">
        <f>IFERROR(__xludf.DUMMYFUNCTION("""COMPUTED_VALUE"""),"CALLAO")</f>
        <v>CALLAO</v>
      </c>
      <c r="N201" s="146" t="str">
        <f>IFERROR(__xludf.DUMMYFUNCTION("""COMPUTED_VALUE"""),"2 PLAY + TV ESTANDAR")</f>
        <v>2 PLAY + TV ESTANDAR</v>
      </c>
      <c r="O201" s="146" t="str">
        <f>IFERROR(__xludf.DUMMYFUNCTION("""COMPUTED_VALUE"""),"Campaña Regular")</f>
        <v>Campaña Regular</v>
      </c>
      <c r="P201" s="152">
        <f>IFERROR(__xludf.DUMMYFUNCTION("""COMPUTED_VALUE"""),170.0)</f>
        <v>170</v>
      </c>
      <c r="Q201" s="151">
        <f>IFERROR(__xludf.DUMMYFUNCTION("""COMPUTED_VALUE"""),46241.0)</f>
        <v>46241</v>
      </c>
    </row>
    <row r="202">
      <c r="C202" s="147"/>
      <c r="K202" s="146" t="str">
        <f>IFERROR(__xludf.DUMMYFUNCTION("""COMPUTED_VALUE"""),"20097743")</f>
        <v>20097743</v>
      </c>
      <c r="L202" s="146" t="str">
        <f>IFERROR(__xludf.DUMMYFUNCTION("""COMPUTED_VALUE"""),"RAMOS CASAS, ANA MARIA")</f>
        <v>RAMOS CASAS, ANA MARIA</v>
      </c>
      <c r="M202" s="146" t="str">
        <f>IFERROR(__xludf.DUMMYFUNCTION("""COMPUTED_VALUE"""),"JUNIN")</f>
        <v>JUNIN</v>
      </c>
      <c r="N202" s="146" t="str">
        <f>IFERROR(__xludf.DUMMYFUNCTION("""COMPUTED_VALUE"""),"1 PLAY")</f>
        <v>1 PLAY</v>
      </c>
      <c r="O202" s="146" t="str">
        <f>IFERROR(__xludf.DUMMYFUNCTION("""COMPUTED_VALUE"""),"Campaña Regular")</f>
        <v>Campaña Regular</v>
      </c>
      <c r="P202" s="152">
        <f>IFERROR(__xludf.DUMMYFUNCTION("""COMPUTED_VALUE"""),89.0)</f>
        <v>89</v>
      </c>
      <c r="Q202" s="151">
        <f>IFERROR(__xludf.DUMMYFUNCTION("""COMPUTED_VALUE"""),46241.0)</f>
        <v>46241</v>
      </c>
    </row>
    <row r="203">
      <c r="C203" s="147"/>
      <c r="K203" s="146" t="str">
        <f>IFERROR(__xludf.DUMMYFUNCTION("""COMPUTED_VALUE"""),"60960621")</f>
        <v>60960621</v>
      </c>
      <c r="L203" s="146" t="str">
        <f>IFERROR(__xludf.DUMMYFUNCTION("""COMPUTED_VALUE"""),"JEREMY EDILBERTO QUISPE DIOSES")</f>
        <v>JEREMY EDILBERTO QUISPE DIOSES</v>
      </c>
      <c r="M203" s="146" t="str">
        <f>IFERROR(__xludf.DUMMYFUNCTION("""COMPUTED_VALUE"""),"LIMA METROPOLITANA")</f>
        <v>LIMA METROPOLITANA</v>
      </c>
      <c r="N203" s="146" t="str">
        <f>IFERROR(__xludf.DUMMYFUNCTION("""COMPUTED_VALUE"""),"1 PLAY")</f>
        <v>1 PLAY</v>
      </c>
      <c r="O203" s="146" t="str">
        <f>IFERROR(__xludf.DUMMYFUNCTION("""COMPUTED_VALUE"""),"Campaña Regular")</f>
        <v>Campaña Regular</v>
      </c>
      <c r="P203" s="152">
        <f>IFERROR(__xludf.DUMMYFUNCTION("""COMPUTED_VALUE"""),89.0)</f>
        <v>89</v>
      </c>
      <c r="Q203" s="151">
        <f>IFERROR(__xludf.DUMMYFUNCTION("""COMPUTED_VALUE"""),46241.0)</f>
        <v>46241</v>
      </c>
    </row>
    <row r="204">
      <c r="C204" s="147"/>
      <c r="K204" s="146" t="str">
        <f>IFERROR(__xludf.DUMMYFUNCTION("""COMPUTED_VALUE"""),"08242299")</f>
        <v>08242299</v>
      </c>
      <c r="L204" s="146" t="str">
        <f>IFERROR(__xludf.DUMMYFUNCTION("""COMPUTED_VALUE"""),"LOAYZA ARENAZA, JAIME ENRIQUE JESUS")</f>
        <v>LOAYZA ARENAZA, JAIME ENRIQUE JESUS</v>
      </c>
      <c r="M204" s="146" t="str">
        <f>IFERROR(__xludf.DUMMYFUNCTION("""COMPUTED_VALUE"""),"LIMA METROPOLITANA")</f>
        <v>LIMA METROPOLITANA</v>
      </c>
      <c r="N204" s="146" t="str">
        <f>IFERROR(__xludf.DUMMYFUNCTION("""COMPUTED_VALUE"""),"2 PLAY + TV ESTANDAR")</f>
        <v>2 PLAY + TV ESTANDAR</v>
      </c>
      <c r="O204" s="146" t="str">
        <f>IFERROR(__xludf.DUMMYFUNCTION("""COMPUTED_VALUE"""),"Campaña Regular")</f>
        <v>Campaña Regular</v>
      </c>
      <c r="P204" s="152">
        <f>IFERROR(__xludf.DUMMYFUNCTION("""COMPUTED_VALUE"""),150.0)</f>
        <v>150</v>
      </c>
      <c r="Q204" s="151">
        <f>IFERROR(__xludf.DUMMYFUNCTION("""COMPUTED_VALUE"""),46241.0)</f>
        <v>46241</v>
      </c>
    </row>
    <row r="205">
      <c r="C205" s="147"/>
      <c r="K205" s="146" t="str">
        <f>IFERROR(__xludf.DUMMYFUNCTION("""COMPUTED_VALUE"""),"44336907")</f>
        <v>44336907</v>
      </c>
      <c r="L205" s="146" t="str">
        <f>IFERROR(__xludf.DUMMYFUNCTION("""COMPUTED_VALUE"""),"CARLOS MANUEL JESUS SALAZAR LLERENA")</f>
        <v>CARLOS MANUEL JESUS SALAZAR LLERENA</v>
      </c>
      <c r="M205" s="146" t="str">
        <f>IFERROR(__xludf.DUMMYFUNCTION("""COMPUTED_VALUE"""),"LIMA METROPOLITANA")</f>
        <v>LIMA METROPOLITANA</v>
      </c>
      <c r="N205" s="146" t="str">
        <f>IFERROR(__xludf.DUMMYFUNCTION("""COMPUTED_VALUE"""),"2 PLAY + TV ESTANDAR")</f>
        <v>2 PLAY + TV ESTANDAR</v>
      </c>
      <c r="O205" s="146" t="str">
        <f>IFERROR(__xludf.DUMMYFUNCTION("""COMPUTED_VALUE"""),"Campaña Regular")</f>
        <v>Campaña Regular</v>
      </c>
      <c r="P205" s="152">
        <f>IFERROR(__xludf.DUMMYFUNCTION("""COMPUTED_VALUE"""),150.0)</f>
        <v>150</v>
      </c>
      <c r="Q205" s="151">
        <f>IFERROR(__xludf.DUMMYFUNCTION("""COMPUTED_VALUE"""),46241.0)</f>
        <v>46241</v>
      </c>
    </row>
    <row r="206">
      <c r="C206" s="147"/>
      <c r="K206" s="146" t="str">
        <f>IFERROR(__xludf.DUMMYFUNCTION("""COMPUTED_VALUE"""),"15664915")</f>
        <v>15664915</v>
      </c>
      <c r="L206" s="146" t="str">
        <f>IFERROR(__xludf.DUMMYFUNCTION("""COMPUTED_VALUE"""),"GLADYS DANCES CORDERO")</f>
        <v>GLADYS DANCES CORDERO</v>
      </c>
      <c r="M206" s="146" t="str">
        <f>IFERROR(__xludf.DUMMYFUNCTION("""COMPUTED_VALUE"""),"LIMA")</f>
        <v>LIMA</v>
      </c>
      <c r="N206" s="146" t="str">
        <f>IFERROR(__xludf.DUMMYFUNCTION("""COMPUTED_VALUE"""),"1 PLAY")</f>
        <v>1 PLAY</v>
      </c>
      <c r="O206" s="146" t="str">
        <f>IFERROR(__xludf.DUMMYFUNCTION("""COMPUTED_VALUE"""),"Campaña Regular")</f>
        <v>Campaña Regular</v>
      </c>
      <c r="P206" s="152">
        <f>IFERROR(__xludf.DUMMYFUNCTION("""COMPUTED_VALUE"""),110.0)</f>
        <v>110</v>
      </c>
      <c r="Q206" s="151">
        <f>IFERROR(__xludf.DUMMYFUNCTION("""COMPUTED_VALUE"""),46241.0)</f>
        <v>46241</v>
      </c>
    </row>
    <row r="207">
      <c r="C207" s="147"/>
      <c r="K207" s="146" t="str">
        <f>IFERROR(__xludf.DUMMYFUNCTION("""COMPUTED_VALUE"""),"47034224")</f>
        <v>47034224</v>
      </c>
      <c r="L207" s="146" t="str">
        <f>IFERROR(__xludf.DUMMYFUNCTION("""COMPUTED_VALUE"""),"AUQUILLA QUIJAHUAMAN, MOISES DANIEL")</f>
        <v>AUQUILLA QUIJAHUAMAN, MOISES DANIEL</v>
      </c>
      <c r="M207" s="146" t="str">
        <f>IFERROR(__xludf.DUMMYFUNCTION("""COMPUTED_VALUE"""),"AREQUIPA")</f>
        <v>AREQUIPA</v>
      </c>
      <c r="N207" s="146" t="str">
        <f>IFERROR(__xludf.DUMMYFUNCTION("""COMPUTED_VALUE"""),"1 PLAY")</f>
        <v>1 PLAY</v>
      </c>
      <c r="O207" s="146" t="str">
        <f>IFERROR(__xludf.DUMMYFUNCTION("""COMPUTED_VALUE"""),"Campaña Oferta Ataque")</f>
        <v>Campaña Oferta Ataque</v>
      </c>
      <c r="P207" s="152">
        <f>IFERROR(__xludf.DUMMYFUNCTION("""COMPUTED_VALUE"""),110.0)</f>
        <v>110</v>
      </c>
      <c r="Q207" s="151">
        <f>IFERROR(__xludf.DUMMYFUNCTION("""COMPUTED_VALUE"""),46241.0)</f>
        <v>46241</v>
      </c>
    </row>
    <row r="208">
      <c r="C208" s="147"/>
      <c r="K208" s="146" t="str">
        <f>IFERROR(__xludf.DUMMYFUNCTION("""COMPUTED_VALUE"""),"21421550")</f>
        <v>21421550</v>
      </c>
      <c r="L208" s="146" t="str">
        <f>IFERROR(__xludf.DUMMYFUNCTION("""COMPUTED_VALUE"""),"MARIA DEL CARMEN ORE JERONIMO")</f>
        <v>MARIA DEL CARMEN ORE JERONIMO</v>
      </c>
      <c r="M208" s="146" t="str">
        <f>IFERROR(__xludf.DUMMYFUNCTION("""COMPUTED_VALUE"""),"ICA")</f>
        <v>ICA</v>
      </c>
      <c r="N208" s="146" t="str">
        <f>IFERROR(__xludf.DUMMYFUNCTION("""COMPUTED_VALUE"""),"2PLAY + TELF")</f>
        <v>2PLAY + TELF</v>
      </c>
      <c r="O208" s="146" t="str">
        <f>IFERROR(__xludf.DUMMYFUNCTION("""COMPUTED_VALUE"""),"Campaña Regular")</f>
        <v>Campaña Regular</v>
      </c>
      <c r="P208" s="152">
        <f>IFERROR(__xludf.DUMMYFUNCTION("""COMPUTED_VALUE"""),94.0)</f>
        <v>94</v>
      </c>
      <c r="Q208" s="151">
        <f>IFERROR(__xludf.DUMMYFUNCTION("""COMPUTED_VALUE"""),46242.0)</f>
        <v>46242</v>
      </c>
    </row>
    <row r="209">
      <c r="C209" s="147"/>
      <c r="K209" s="146" t="str">
        <f>IFERROR(__xludf.DUMMYFUNCTION("""COMPUTED_VALUE"""),"46678678")</f>
        <v>46678678</v>
      </c>
      <c r="L209" s="146" t="str">
        <f>IFERROR(__xludf.DUMMYFUNCTION("""COMPUTED_VALUE"""),"ANTONY EFRAIN VIDAURRE QUISPE")</f>
        <v>ANTONY EFRAIN VIDAURRE QUISPE</v>
      </c>
      <c r="M209" s="146" t="str">
        <f>IFERROR(__xludf.DUMMYFUNCTION("""COMPUTED_VALUE"""),"LIMA METROPOLITANA")</f>
        <v>LIMA METROPOLITANA</v>
      </c>
      <c r="N209" s="146" t="str">
        <f>IFERROR(__xludf.DUMMYFUNCTION("""COMPUTED_VALUE"""),"1 PLAY")</f>
        <v>1 PLAY</v>
      </c>
      <c r="O209" s="146" t="str">
        <f>IFERROR(__xludf.DUMMYFUNCTION("""COMPUTED_VALUE"""),"Campaña Regular")</f>
        <v>Campaña Regular</v>
      </c>
      <c r="P209" s="152">
        <f>IFERROR(__xludf.DUMMYFUNCTION("""COMPUTED_VALUE"""),89.0)</f>
        <v>89</v>
      </c>
      <c r="Q209" s="151">
        <f>IFERROR(__xludf.DUMMYFUNCTION("""COMPUTED_VALUE"""),46242.0)</f>
        <v>46242</v>
      </c>
    </row>
    <row r="210">
      <c r="C210" s="147"/>
      <c r="K210" s="146" t="str">
        <f>IFERROR(__xludf.DUMMYFUNCTION("""COMPUTED_VALUE"""),"42717582")</f>
        <v>42717582</v>
      </c>
      <c r="L210" s="146" t="str">
        <f>IFERROR(__xludf.DUMMYFUNCTION("""COMPUTED_VALUE"""),"PERALTA ALLENDE, ALEX OSWALDO")</f>
        <v>PERALTA ALLENDE, ALEX OSWALDO</v>
      </c>
      <c r="M210" s="146" t="str">
        <f>IFERROR(__xludf.DUMMYFUNCTION("""COMPUTED_VALUE"""),"LAMBAYEQUE")</f>
        <v>LAMBAYEQUE</v>
      </c>
      <c r="N210" s="146" t="str">
        <f>IFERROR(__xludf.DUMMYFUNCTION("""COMPUTED_VALUE"""),"1 PLAY")</f>
        <v>1 PLAY</v>
      </c>
      <c r="O210" s="146" t="str">
        <f>IFERROR(__xludf.DUMMYFUNCTION("""COMPUTED_VALUE"""),"Campaña Regular")</f>
        <v>Campaña Regular</v>
      </c>
      <c r="P210" s="152">
        <f>IFERROR(__xludf.DUMMYFUNCTION("""COMPUTED_VALUE"""),89.0)</f>
        <v>89</v>
      </c>
      <c r="Q210" s="151">
        <f>IFERROR(__xludf.DUMMYFUNCTION("""COMPUTED_VALUE"""),46242.0)</f>
        <v>46242</v>
      </c>
    </row>
    <row r="211">
      <c r="C211" s="147"/>
      <c r="K211" s="146" t="str">
        <f>IFERROR(__xludf.DUMMYFUNCTION("""COMPUTED_VALUE"""),"20539452011")</f>
        <v>20539452011</v>
      </c>
      <c r="L211" s="146" t="str">
        <f>IFERROR(__xludf.DUMMYFUNCTION("""COMPUTED_VALUE"""),"EDUARD JAVIER FUENTES BUTRON")</f>
        <v>EDUARD JAVIER FUENTES BUTRON</v>
      </c>
      <c r="M211" s="146" t="str">
        <f>IFERROR(__xludf.DUMMYFUNCTION("""COMPUTED_VALUE"""),"AREQUIPA")</f>
        <v>AREQUIPA</v>
      </c>
      <c r="N211" s="146" t="str">
        <f>IFERROR(__xludf.DUMMYFUNCTION("""COMPUTED_VALUE"""),"2 PLAY + TV ESTANDAR")</f>
        <v>2 PLAY + TV ESTANDAR</v>
      </c>
      <c r="O211" s="146" t="str">
        <f>IFERROR(__xludf.DUMMYFUNCTION("""COMPUTED_VALUE"""),"Campaña Regular")</f>
        <v>Campaña Regular</v>
      </c>
      <c r="P211" s="152">
        <f>IFERROR(__xludf.DUMMYFUNCTION("""COMPUTED_VALUE"""),170.0)</f>
        <v>170</v>
      </c>
      <c r="Q211" s="151">
        <f>IFERROR(__xludf.DUMMYFUNCTION("""COMPUTED_VALUE"""),46242.0)</f>
        <v>46242</v>
      </c>
    </row>
    <row r="212">
      <c r="C212" s="147"/>
      <c r="K212" s="146" t="str">
        <f>IFERROR(__xludf.DUMMYFUNCTION("""COMPUTED_VALUE"""),"45444946")</f>
        <v>45444946</v>
      </c>
      <c r="L212" s="146" t="str">
        <f>IFERROR(__xludf.DUMMYFUNCTION("""COMPUTED_VALUE"""),"ALCANTARA BECERRA, HEINER ALY")</f>
        <v>ALCANTARA BECERRA, HEINER ALY</v>
      </c>
      <c r="M212" s="146" t="str">
        <f>IFERROR(__xludf.DUMMYFUNCTION("""COMPUTED_VALUE"""),"ANCASH")</f>
        <v>ANCASH</v>
      </c>
      <c r="N212" s="146" t="str">
        <f>IFERROR(__xludf.DUMMYFUNCTION("""COMPUTED_VALUE"""),"1 PLAY")</f>
        <v>1 PLAY</v>
      </c>
      <c r="O212" s="146" t="str">
        <f>IFERROR(__xludf.DUMMYFUNCTION("""COMPUTED_VALUE"""),"Campaña HFC puro")</f>
        <v>Campaña HFC puro</v>
      </c>
      <c r="P212" s="152">
        <f>IFERROR(__xludf.DUMMYFUNCTION("""COMPUTED_VALUE"""),44.0)</f>
        <v>44</v>
      </c>
      <c r="Q212" s="151">
        <f>IFERROR(__xludf.DUMMYFUNCTION("""COMPUTED_VALUE"""),46243.0)</f>
        <v>46243</v>
      </c>
    </row>
    <row r="213">
      <c r="C213" s="147"/>
      <c r="K213" s="146" t="str">
        <f>IFERROR(__xludf.DUMMYFUNCTION("""COMPUTED_VALUE"""),"73366645")</f>
        <v>73366645</v>
      </c>
      <c r="L213" s="146" t="str">
        <f>IFERROR(__xludf.DUMMYFUNCTION("""COMPUTED_VALUE"""),"POZO INGA, MIKHAIL")</f>
        <v>POZO INGA, MIKHAIL</v>
      </c>
      <c r="M213" s="146" t="str">
        <f>IFERROR(__xludf.DUMMYFUNCTION("""COMPUTED_VALUE"""),"CUSCO")</f>
        <v>CUSCO</v>
      </c>
      <c r="N213" s="146" t="str">
        <f>IFERROR(__xludf.DUMMYFUNCTION("""COMPUTED_VALUE"""),"1 PLAY")</f>
        <v>1 PLAY</v>
      </c>
      <c r="O213" s="146" t="str">
        <f>IFERROR(__xludf.DUMMYFUNCTION("""COMPUTED_VALUE"""),"Campaña Regular")</f>
        <v>Campaña Regular</v>
      </c>
      <c r="P213" s="152">
        <f>IFERROR(__xludf.DUMMYFUNCTION("""COMPUTED_VALUE"""),69.0)</f>
        <v>69</v>
      </c>
      <c r="Q213" s="151">
        <f>IFERROR(__xludf.DUMMYFUNCTION("""COMPUTED_VALUE"""),46243.0)</f>
        <v>46243</v>
      </c>
    </row>
    <row r="214">
      <c r="C214" s="147"/>
      <c r="K214" s="146" t="str">
        <f>IFERROR(__xludf.DUMMYFUNCTION("""COMPUTED_VALUE"""),"07700622")</f>
        <v>07700622</v>
      </c>
      <c r="L214" s="146" t="str">
        <f>IFERROR(__xludf.DUMMYFUNCTION("""COMPUTED_VALUE"""),"RAUL ABARCA TORRES")</f>
        <v>RAUL ABARCA TORRES</v>
      </c>
      <c r="M214" s="146" t="str">
        <f>IFERROR(__xludf.DUMMYFUNCTION("""COMPUTED_VALUE"""),"LIMA METROPOLITANA")</f>
        <v>LIMA METROPOLITANA</v>
      </c>
      <c r="N214" s="146" t="str">
        <f>IFERROR(__xludf.DUMMYFUNCTION("""COMPUTED_VALUE"""),"2 PLAY + TV ESTANDAR")</f>
        <v>2 PLAY + TV ESTANDAR</v>
      </c>
      <c r="O214" s="146" t="str">
        <f>IFERROR(__xludf.DUMMYFUNCTION("""COMPUTED_VALUE"""),"Campaña Regular")</f>
        <v>Campaña Regular</v>
      </c>
      <c r="P214" s="152">
        <f>IFERROR(__xludf.DUMMYFUNCTION("""COMPUTED_VALUE"""),170.0)</f>
        <v>170</v>
      </c>
      <c r="Q214" s="151">
        <f>IFERROR(__xludf.DUMMYFUNCTION("""COMPUTED_VALUE"""),46243.0)</f>
        <v>46243</v>
      </c>
    </row>
    <row r="215">
      <c r="C215" s="147"/>
      <c r="K215" s="146" t="str">
        <f>IFERROR(__xludf.DUMMYFUNCTION("""COMPUTED_VALUE"""),"03681965")</f>
        <v>03681965</v>
      </c>
      <c r="L215" s="146" t="str">
        <f>IFERROR(__xludf.DUMMYFUNCTION("""COMPUTED_VALUE"""),"CARMEN DORA CANOVA VALLADARES")</f>
        <v>CARMEN DORA CANOVA VALLADARES</v>
      </c>
      <c r="M215" s="146" t="str">
        <f>IFERROR(__xludf.DUMMYFUNCTION("""COMPUTED_VALUE"""),"PIURA")</f>
        <v>PIURA</v>
      </c>
      <c r="N215" s="146" t="str">
        <f>IFERROR(__xludf.DUMMYFUNCTION("""COMPUTED_VALUE"""),"1 PLAY")</f>
        <v>1 PLAY</v>
      </c>
      <c r="O215" s="146" t="str">
        <f>IFERROR(__xludf.DUMMYFUNCTION("""COMPUTED_VALUE"""),"Campaña Regular")</f>
        <v>Campaña Regular</v>
      </c>
      <c r="P215" s="152">
        <f>IFERROR(__xludf.DUMMYFUNCTION("""COMPUTED_VALUE"""),89.0)</f>
        <v>89</v>
      </c>
      <c r="Q215" s="151">
        <f>IFERROR(__xludf.DUMMYFUNCTION("""COMPUTED_VALUE"""),46243.0)</f>
        <v>46243</v>
      </c>
    </row>
    <row r="216">
      <c r="C216" s="147"/>
      <c r="K216" s="146" t="str">
        <f>IFERROR(__xludf.DUMMYFUNCTION("""COMPUTED_VALUE"""),"46808728")</f>
        <v>46808728</v>
      </c>
      <c r="L216" s="146" t="str">
        <f>IFERROR(__xludf.DUMMYFUNCTION("""COMPUTED_VALUE"""),"JUAN VICTOR SICCHA VASQUEZ")</f>
        <v>JUAN VICTOR SICCHA VASQUEZ</v>
      </c>
      <c r="M216" s="146" t="str">
        <f>IFERROR(__xludf.DUMMYFUNCTION("""COMPUTED_VALUE"""),"LIMA METROPOLITANA")</f>
        <v>LIMA METROPOLITANA</v>
      </c>
      <c r="N216" s="146" t="str">
        <f>IFERROR(__xludf.DUMMYFUNCTION("""COMPUTED_VALUE"""),"1 PLAY")</f>
        <v>1 PLAY</v>
      </c>
      <c r="O216" s="146" t="str">
        <f>IFERROR(__xludf.DUMMYFUNCTION("""COMPUTED_VALUE"""),"Campaña HFC puro")</f>
        <v>Campaña HFC puro</v>
      </c>
      <c r="P216" s="152">
        <f>IFERROR(__xludf.DUMMYFUNCTION("""COMPUTED_VALUE"""),44.0)</f>
        <v>44</v>
      </c>
      <c r="Q216" s="151">
        <f>IFERROR(__xludf.DUMMYFUNCTION("""COMPUTED_VALUE"""),46244.0)</f>
        <v>46244</v>
      </c>
    </row>
    <row r="217">
      <c r="C217" s="147"/>
      <c r="K217" s="146" t="str">
        <f>IFERROR(__xludf.DUMMYFUNCTION("""COMPUTED_VALUE"""),"74696328")</f>
        <v>74696328</v>
      </c>
      <c r="L217" s="146" t="str">
        <f>IFERROR(__xludf.DUMMYFUNCTION("""COMPUTED_VALUE"""),"PIERO ALEXIS ALVARADO PALOMINO")</f>
        <v>PIERO ALEXIS ALVARADO PALOMINO</v>
      </c>
      <c r="M217" s="146" t="str">
        <f>IFERROR(__xludf.DUMMYFUNCTION("""COMPUTED_VALUE"""),"PIURA")</f>
        <v>PIURA</v>
      </c>
      <c r="N217" s="146" t="str">
        <f>IFERROR(__xludf.DUMMYFUNCTION("""COMPUTED_VALUE"""),"1 PLAY")</f>
        <v>1 PLAY</v>
      </c>
      <c r="O217" s="146" t="str">
        <f>IFERROR(__xludf.DUMMYFUNCTION("""COMPUTED_VALUE"""),"Campaña Regular")</f>
        <v>Campaña Regular</v>
      </c>
      <c r="P217" s="152">
        <f>IFERROR(__xludf.DUMMYFUNCTION("""COMPUTED_VALUE"""),89.0)</f>
        <v>89</v>
      </c>
      <c r="Q217" s="151">
        <f>IFERROR(__xludf.DUMMYFUNCTION("""COMPUTED_VALUE"""),46244.0)</f>
        <v>46244</v>
      </c>
    </row>
    <row r="218">
      <c r="C218" s="147"/>
      <c r="K218" s="146" t="str">
        <f>IFERROR(__xludf.DUMMYFUNCTION("""COMPUTED_VALUE"""),"70724883")</f>
        <v>70724883</v>
      </c>
      <c r="L218" s="146" t="str">
        <f>IFERROR(__xludf.DUMMYFUNCTION("""COMPUTED_VALUE"""),"ARROYO RAZURI, DANIELA FRANCCESCA")</f>
        <v>ARROYO RAZURI, DANIELA FRANCCESCA</v>
      </c>
      <c r="M218" s="146" t="str">
        <f>IFERROR(__xludf.DUMMYFUNCTION("""COMPUTED_VALUE"""),"PIURA")</f>
        <v>PIURA</v>
      </c>
      <c r="N218" s="146" t="str">
        <f>IFERROR(__xludf.DUMMYFUNCTION("""COMPUTED_VALUE"""),"1 PLAY")</f>
        <v>1 PLAY</v>
      </c>
      <c r="O218" s="146" t="str">
        <f>IFERROR(__xludf.DUMMYFUNCTION("""COMPUTED_VALUE"""),"Campaña Regular")</f>
        <v>Campaña Regular</v>
      </c>
      <c r="P218" s="152">
        <f>IFERROR(__xludf.DUMMYFUNCTION("""COMPUTED_VALUE"""),89.0)</f>
        <v>89</v>
      </c>
      <c r="Q218" s="151">
        <f>IFERROR(__xludf.DUMMYFUNCTION("""COMPUTED_VALUE"""),46244.0)</f>
        <v>46244</v>
      </c>
    </row>
    <row r="219">
      <c r="C219" s="147"/>
      <c r="K219" s="146" t="str">
        <f>IFERROR(__xludf.DUMMYFUNCTION("""COMPUTED_VALUE"""),"10463047681")</f>
        <v>10463047681</v>
      </c>
      <c r="L219" s="146" t="str">
        <f>IFERROR(__xludf.DUMMYFUNCTION("""COMPUTED_VALUE"""),"PAUL JIMMY TIXI ESPINOZA")</f>
        <v>PAUL JIMMY TIXI ESPINOZA</v>
      </c>
      <c r="M219" s="146" t="str">
        <f>IFERROR(__xludf.DUMMYFUNCTION("""COMPUTED_VALUE"""),"JUNIN")</f>
        <v>JUNIN</v>
      </c>
      <c r="N219" s="146" t="str">
        <f>IFERROR(__xludf.DUMMYFUNCTION("""COMPUTED_VALUE"""),"2 PLAY + TV ESTANDAR")</f>
        <v>2 PLAY + TV ESTANDAR</v>
      </c>
      <c r="O219" s="146" t="str">
        <f>IFERROR(__xludf.DUMMYFUNCTION("""COMPUTED_VALUE"""),"Campaña Regular")</f>
        <v>Campaña Regular</v>
      </c>
      <c r="P219" s="152">
        <f>IFERROR(__xludf.DUMMYFUNCTION("""COMPUTED_VALUE"""),170.0)</f>
        <v>170</v>
      </c>
      <c r="Q219" s="151">
        <f>IFERROR(__xludf.DUMMYFUNCTION("""COMPUTED_VALUE"""),46244.0)</f>
        <v>46244</v>
      </c>
    </row>
    <row r="220">
      <c r="C220" s="147"/>
      <c r="K220" s="146" t="str">
        <f>IFERROR(__xludf.DUMMYFUNCTION("""COMPUTED_VALUE"""),"45075766")</f>
        <v>45075766</v>
      </c>
      <c r="L220" s="146" t="str">
        <f>IFERROR(__xludf.DUMMYFUNCTION("""COMPUTED_VALUE"""),"NICHOLAS REVOREDO MONZON")</f>
        <v>NICHOLAS REVOREDO MONZON</v>
      </c>
      <c r="M220" s="146" t="str">
        <f>IFERROR(__xludf.DUMMYFUNCTION("""COMPUTED_VALUE"""),"LIMA METROPOLITANA")</f>
        <v>LIMA METROPOLITANA</v>
      </c>
      <c r="N220" s="146" t="str">
        <f>IFERROR(__xludf.DUMMYFUNCTION("""COMPUTED_VALUE"""),"1 PLAY")</f>
        <v>1 PLAY</v>
      </c>
      <c r="O220" s="146" t="str">
        <f>IFERROR(__xludf.DUMMYFUNCTION("""COMPUTED_VALUE"""),"Campaña Regular")</f>
        <v>Campaña Regular</v>
      </c>
      <c r="P220" s="152">
        <f>IFERROR(__xludf.DUMMYFUNCTION("""COMPUTED_VALUE"""),89.0)</f>
        <v>89</v>
      </c>
      <c r="Q220" s="151">
        <f>IFERROR(__xludf.DUMMYFUNCTION("""COMPUTED_VALUE"""),46244.0)</f>
        <v>46244</v>
      </c>
    </row>
    <row r="221">
      <c r="C221" s="147"/>
      <c r="K221" s="146" t="str">
        <f>IFERROR(__xludf.DUMMYFUNCTION("""COMPUTED_VALUE"""),"43367038")</f>
        <v>43367038</v>
      </c>
      <c r="L221" s="146" t="str">
        <f>IFERROR(__xludf.DUMMYFUNCTION("""COMPUTED_VALUE"""),"IRIS SOFIA MORAN BAUTISTA")</f>
        <v>IRIS SOFIA MORAN BAUTISTA</v>
      </c>
      <c r="M221" s="146" t="str">
        <f>IFERROR(__xludf.DUMMYFUNCTION("""COMPUTED_VALUE"""),"PIURA")</f>
        <v>PIURA</v>
      </c>
      <c r="N221" s="146" t="str">
        <f>IFERROR(__xludf.DUMMYFUNCTION("""COMPUTED_VALUE"""),"2 PLAY + TV ESTANDAR")</f>
        <v>2 PLAY + TV ESTANDAR</v>
      </c>
      <c r="O221" s="146" t="str">
        <f>IFERROR(__xludf.DUMMYFUNCTION("""COMPUTED_VALUE"""),"Campaña Regular")</f>
        <v>Campaña Regular</v>
      </c>
      <c r="P221" s="152">
        <f>IFERROR(__xludf.DUMMYFUNCTION("""COMPUTED_VALUE"""),160.0)</f>
        <v>160</v>
      </c>
      <c r="Q221" s="151">
        <f>IFERROR(__xludf.DUMMYFUNCTION("""COMPUTED_VALUE"""),46244.0)</f>
        <v>46244</v>
      </c>
    </row>
    <row r="222">
      <c r="C222" s="147"/>
      <c r="K222" s="146" t="str">
        <f>IFERROR(__xludf.DUMMYFUNCTION("""COMPUTED_VALUE"""),"44137584")</f>
        <v>44137584</v>
      </c>
      <c r="L222" s="146" t="str">
        <f>IFERROR(__xludf.DUMMYFUNCTION("""COMPUTED_VALUE"""),"QUISPE PARRAGA, ENRIQUE GREGORIO")</f>
        <v>QUISPE PARRAGA, ENRIQUE GREGORIO</v>
      </c>
      <c r="M222" s="146" t="str">
        <f>IFERROR(__xludf.DUMMYFUNCTION("""COMPUTED_VALUE"""),"LIMA METROPOLITANA")</f>
        <v>LIMA METROPOLITANA</v>
      </c>
      <c r="N222" s="146" t="str">
        <f>IFERROR(__xludf.DUMMYFUNCTION("""COMPUTED_VALUE"""),"1 PLAY")</f>
        <v>1 PLAY</v>
      </c>
      <c r="O222" s="146" t="str">
        <f>IFERROR(__xludf.DUMMYFUNCTION("""COMPUTED_VALUE"""),"Campaña Regular")</f>
        <v>Campaña Regular</v>
      </c>
      <c r="P222" s="152">
        <f>IFERROR(__xludf.DUMMYFUNCTION("""COMPUTED_VALUE"""),89.0)</f>
        <v>89</v>
      </c>
      <c r="Q222" s="151">
        <f>IFERROR(__xludf.DUMMYFUNCTION("""COMPUTED_VALUE"""),46244.0)</f>
        <v>46244</v>
      </c>
    </row>
    <row r="223">
      <c r="C223" s="147"/>
      <c r="K223" s="146" t="str">
        <f>IFERROR(__xludf.DUMMYFUNCTION("""COMPUTED_VALUE"""),"70521100")</f>
        <v>70521100</v>
      </c>
      <c r="L223" s="146" t="str">
        <f>IFERROR(__xludf.DUMMYFUNCTION("""COMPUTED_VALUE"""),"MORENO VASQUEZ, PAULO CESAR")</f>
        <v>MORENO VASQUEZ, PAULO CESAR</v>
      </c>
      <c r="M223" s="146" t="str">
        <f>IFERROR(__xludf.DUMMYFUNCTION("""COMPUTED_VALUE"""),"CALLAO")</f>
        <v>CALLAO</v>
      </c>
      <c r="N223" s="146" t="str">
        <f>IFERROR(__xludf.DUMMYFUNCTION("""COMPUTED_VALUE"""),"2 PLAY + TV ESTANDAR")</f>
        <v>2 PLAY + TV ESTANDAR</v>
      </c>
      <c r="O223" s="146" t="str">
        <f>IFERROR(__xludf.DUMMYFUNCTION("""COMPUTED_VALUE"""),"Campaña Regular")</f>
        <v>Campaña Regular</v>
      </c>
      <c r="P223" s="152">
        <f>IFERROR(__xludf.DUMMYFUNCTION("""COMPUTED_VALUE"""),150.0)</f>
        <v>150</v>
      </c>
      <c r="Q223" s="151">
        <f>IFERROR(__xludf.DUMMYFUNCTION("""COMPUTED_VALUE"""),46245.0)</f>
        <v>46245</v>
      </c>
    </row>
    <row r="224">
      <c r="C224" s="147"/>
      <c r="K224" s="146" t="str">
        <f>IFERROR(__xludf.DUMMYFUNCTION("""COMPUTED_VALUE"""),"42174909")</f>
        <v>42174909</v>
      </c>
      <c r="L224" s="146" t="str">
        <f>IFERROR(__xludf.DUMMYFUNCTION("""COMPUTED_VALUE"""),"CLAVILLA NINA, FREDDY HUBER")</f>
        <v>CLAVILLA NINA, FREDDY HUBER</v>
      </c>
      <c r="M224" s="146" t="str">
        <f>IFERROR(__xludf.DUMMYFUNCTION("""COMPUTED_VALUE"""),"LA LIBERTAD")</f>
        <v>LA LIBERTAD</v>
      </c>
      <c r="N224" s="146" t="str">
        <f>IFERROR(__xludf.DUMMYFUNCTION("""COMPUTED_VALUE"""),"2 PLAY + TV ESTANDAR")</f>
        <v>2 PLAY + TV ESTANDAR</v>
      </c>
      <c r="O224" s="146" t="str">
        <f>IFERROR(__xludf.DUMMYFUNCTION("""COMPUTED_VALUE"""),"Campaña Regular")</f>
        <v>Campaña Regular</v>
      </c>
      <c r="P224" s="152">
        <f>IFERROR(__xludf.DUMMYFUNCTION("""COMPUTED_VALUE"""),150.0)</f>
        <v>150</v>
      </c>
      <c r="Q224" s="151">
        <f>IFERROR(__xludf.DUMMYFUNCTION("""COMPUTED_VALUE"""),46245.0)</f>
        <v>46245</v>
      </c>
    </row>
    <row r="225">
      <c r="C225" s="147"/>
      <c r="K225" s="146" t="str">
        <f>IFERROR(__xludf.DUMMYFUNCTION("""COMPUTED_VALUE"""),"10454755974")</f>
        <v>10454755974</v>
      </c>
      <c r="L225" s="146" t="str">
        <f>IFERROR(__xludf.DUMMYFUNCTION("""COMPUTED_VALUE"""),"CRISTINA LIBETH ROMAN GRAZIA")</f>
        <v>CRISTINA LIBETH ROMAN GRAZIA</v>
      </c>
      <c r="M225" s="146" t="str">
        <f>IFERROR(__xludf.DUMMYFUNCTION("""COMPUTED_VALUE"""),"LA LIBERTAD")</f>
        <v>LA LIBERTAD</v>
      </c>
      <c r="N225" s="146" t="str">
        <f>IFERROR(__xludf.DUMMYFUNCTION("""COMPUTED_VALUE"""),"2 PLAY + TV ESTANDAR")</f>
        <v>2 PLAY + TV ESTANDAR</v>
      </c>
      <c r="O225" s="146" t="str">
        <f>IFERROR(__xludf.DUMMYFUNCTION("""COMPUTED_VALUE"""),"Campaña Regular")</f>
        <v>Campaña Regular</v>
      </c>
      <c r="P225" s="152">
        <f>IFERROR(__xludf.DUMMYFUNCTION("""COMPUTED_VALUE"""),150.0)</f>
        <v>150</v>
      </c>
      <c r="Q225" s="151">
        <f>IFERROR(__xludf.DUMMYFUNCTION("""COMPUTED_VALUE"""),46245.0)</f>
        <v>46245</v>
      </c>
    </row>
    <row r="226">
      <c r="C226" s="147"/>
      <c r="K226" s="146" t="str">
        <f>IFERROR(__xludf.DUMMYFUNCTION("""COMPUTED_VALUE"""),"46112786")</f>
        <v>46112786</v>
      </c>
      <c r="L226" s="146" t="str">
        <f>IFERROR(__xludf.DUMMYFUNCTION("""COMPUTED_VALUE"""),"DAVID GIRON LUNA")</f>
        <v>DAVID GIRON LUNA</v>
      </c>
      <c r="M226" s="146" t="str">
        <f>IFERROR(__xludf.DUMMYFUNCTION("""COMPUTED_VALUE"""),"LIMA METROPOLITANA")</f>
        <v>LIMA METROPOLITANA</v>
      </c>
      <c r="N226" s="146" t="str">
        <f>IFERROR(__xludf.DUMMYFUNCTION("""COMPUTED_VALUE"""),"1 PLAY")</f>
        <v>1 PLAY</v>
      </c>
      <c r="O226" s="146" t="str">
        <f>IFERROR(__xludf.DUMMYFUNCTION("""COMPUTED_VALUE"""),"Campaña Regular")</f>
        <v>Campaña Regular</v>
      </c>
      <c r="P226" s="152">
        <f>IFERROR(__xludf.DUMMYFUNCTION("""COMPUTED_VALUE"""),69.0)</f>
        <v>69</v>
      </c>
      <c r="Q226" s="151">
        <f>IFERROR(__xludf.DUMMYFUNCTION("""COMPUTED_VALUE"""),46246.0)</f>
        <v>46246</v>
      </c>
    </row>
    <row r="227">
      <c r="C227" s="147"/>
      <c r="K227" s="146" t="str">
        <f>IFERROR(__xludf.DUMMYFUNCTION("""COMPUTED_VALUE"""),"46687848")</f>
        <v>46687848</v>
      </c>
      <c r="L227" s="146" t="str">
        <f>IFERROR(__xludf.DUMMYFUNCTION("""COMPUTED_VALUE"""),"ESTHER MELANIE ANAMPA DIAZ")</f>
        <v>ESTHER MELANIE ANAMPA DIAZ</v>
      </c>
      <c r="M227" s="146" t="str">
        <f>IFERROR(__xludf.DUMMYFUNCTION("""COMPUTED_VALUE"""),"LIMA")</f>
        <v>LIMA</v>
      </c>
      <c r="N227" s="146" t="str">
        <f>IFERROR(__xludf.DUMMYFUNCTION("""COMPUTED_VALUE"""),"2 PLAY + TV ESTANDAR")</f>
        <v>2 PLAY + TV ESTANDAR</v>
      </c>
      <c r="O227" s="146" t="str">
        <f>IFERROR(__xludf.DUMMYFUNCTION("""COMPUTED_VALUE"""),"Campaña Regular")</f>
        <v>Campaña Regular</v>
      </c>
      <c r="P227" s="152">
        <f>IFERROR(__xludf.DUMMYFUNCTION("""COMPUTED_VALUE"""),150.0)</f>
        <v>150</v>
      </c>
      <c r="Q227" s="151">
        <f>IFERROR(__xludf.DUMMYFUNCTION("""COMPUTED_VALUE"""),46246.0)</f>
        <v>46246</v>
      </c>
    </row>
    <row r="228">
      <c r="C228" s="147"/>
      <c r="K228" s="146" t="str">
        <f>IFERROR(__xludf.DUMMYFUNCTION("""COMPUTED_VALUE"""),"08619504")</f>
        <v>08619504</v>
      </c>
      <c r="L228" s="146" t="str">
        <f>IFERROR(__xludf.DUMMYFUNCTION("""COMPUTED_VALUE"""),"MELGAR SOBERO, LIBERTAD AMERICA")</f>
        <v>MELGAR SOBERO, LIBERTAD AMERICA</v>
      </c>
      <c r="M228" s="146" t="str">
        <f>IFERROR(__xludf.DUMMYFUNCTION("""COMPUTED_VALUE"""),"LIMA METROPOLITANA")</f>
        <v>LIMA METROPOLITANA</v>
      </c>
      <c r="N228" s="146" t="str">
        <f>IFERROR(__xludf.DUMMYFUNCTION("""COMPUTED_VALUE"""),"2 PLAY + TV ESTANDAR")</f>
        <v>2 PLAY + TV ESTANDAR</v>
      </c>
      <c r="O228" s="146" t="str">
        <f>IFERROR(__xludf.DUMMYFUNCTION("""COMPUTED_VALUE"""),"Campaña Regular")</f>
        <v>Campaña Regular</v>
      </c>
      <c r="P228" s="152">
        <f>IFERROR(__xludf.DUMMYFUNCTION("""COMPUTED_VALUE"""),150.0)</f>
        <v>150</v>
      </c>
      <c r="Q228" s="151">
        <f>IFERROR(__xludf.DUMMYFUNCTION("""COMPUTED_VALUE"""),46246.0)</f>
        <v>46246</v>
      </c>
    </row>
    <row r="229">
      <c r="C229" s="147"/>
      <c r="K229" s="146" t="str">
        <f>IFERROR(__xludf.DUMMYFUNCTION("""COMPUTED_VALUE"""),"73206061")</f>
        <v>73206061</v>
      </c>
      <c r="L229" s="146" t="str">
        <f>IFERROR(__xludf.DUMMYFUNCTION("""COMPUTED_VALUE"""),"GIULIANA MARCELA LUPERDIGA RODRIGUEZ")</f>
        <v>GIULIANA MARCELA LUPERDIGA RODRIGUEZ</v>
      </c>
      <c r="M229" s="146" t="str">
        <f>IFERROR(__xludf.DUMMYFUNCTION("""COMPUTED_VALUE"""),"LA LIBERTAD")</f>
        <v>LA LIBERTAD</v>
      </c>
      <c r="N229" s="146" t="str">
        <f>IFERROR(__xludf.DUMMYFUNCTION("""COMPUTED_VALUE"""),"1 PLAY + L1MAX")</f>
        <v>1 PLAY + L1MAX</v>
      </c>
      <c r="O229" s="146" t="str">
        <f>IFERROR(__xludf.DUMMYFUNCTION("""COMPUTED_VALUE"""),"Campaña Regular")</f>
        <v>Campaña Regular</v>
      </c>
      <c r="P229" s="152">
        <f>IFERROR(__xludf.DUMMYFUNCTION("""COMPUTED_VALUE"""),110.0)</f>
        <v>110</v>
      </c>
      <c r="Q229" s="151">
        <f>IFERROR(__xludf.DUMMYFUNCTION("""COMPUTED_VALUE"""),46246.0)</f>
        <v>46246</v>
      </c>
    </row>
    <row r="230">
      <c r="C230" s="147"/>
      <c r="K230" s="146" t="str">
        <f>IFERROR(__xludf.DUMMYFUNCTION("""COMPUTED_VALUE"""),"18082299")</f>
        <v>18082299</v>
      </c>
      <c r="L230" s="146" t="str">
        <f>IFERROR(__xludf.DUMMYFUNCTION("""COMPUTED_VALUE"""),"POZO VERA, HERNALDO JOSE")</f>
        <v>POZO VERA, HERNALDO JOSE</v>
      </c>
      <c r="M230" s="146" t="str">
        <f>IFERROR(__xludf.DUMMYFUNCTION("""COMPUTED_VALUE"""),"LIMA METROPOLITANA")</f>
        <v>LIMA METROPOLITANA</v>
      </c>
      <c r="N230" s="146" t="str">
        <f>IFERROR(__xludf.DUMMYFUNCTION("""COMPUTED_VALUE"""),"1 PLAY")</f>
        <v>1 PLAY</v>
      </c>
      <c r="O230" s="146" t="str">
        <f>IFERROR(__xludf.DUMMYFUNCTION("""COMPUTED_VALUE"""),"Campaña Promo Entrada")</f>
        <v>Campaña Promo Entrada</v>
      </c>
      <c r="P230" s="152">
        <f>IFERROR(__xludf.DUMMYFUNCTION("""COMPUTED_VALUE"""),69.0)</f>
        <v>69</v>
      </c>
      <c r="Q230" s="151">
        <f>IFERROR(__xludf.DUMMYFUNCTION("""COMPUTED_VALUE"""),46246.0)</f>
        <v>46246</v>
      </c>
    </row>
    <row r="231">
      <c r="C231" s="147"/>
      <c r="K231" s="146" t="str">
        <f>IFERROR(__xludf.DUMMYFUNCTION("""COMPUTED_VALUE"""),"42266932")</f>
        <v>42266932</v>
      </c>
      <c r="L231" s="146" t="str">
        <f>IFERROR(__xludf.DUMMYFUNCTION("""COMPUTED_VALUE"""),"LUIS ENRIQUE FARFAN SALAZAR ")</f>
        <v>LUIS ENRIQUE FARFAN SALAZAR </v>
      </c>
      <c r="M231" s="146" t="str">
        <f>IFERROR(__xludf.DUMMYFUNCTION("""COMPUTED_VALUE"""),"LIMA METROPOLITANA")</f>
        <v>LIMA METROPOLITANA</v>
      </c>
      <c r="N231" s="146" t="str">
        <f>IFERROR(__xludf.DUMMYFUNCTION("""COMPUTED_VALUE"""),"1 PLAY")</f>
        <v>1 PLAY</v>
      </c>
      <c r="O231" s="146" t="str">
        <f>IFERROR(__xludf.DUMMYFUNCTION("""COMPUTED_VALUE"""),"Campaña Regular")</f>
        <v>Campaña Regular</v>
      </c>
      <c r="P231" s="152">
        <f>IFERROR(__xludf.DUMMYFUNCTION("""COMPUTED_VALUE"""),89.0)</f>
        <v>89</v>
      </c>
      <c r="Q231" s="151">
        <f>IFERROR(__xludf.DUMMYFUNCTION("""COMPUTED_VALUE"""),46246.0)</f>
        <v>46246</v>
      </c>
    </row>
    <row r="232">
      <c r="C232" s="147"/>
      <c r="K232" s="146" t="str">
        <f>IFERROR(__xludf.DUMMYFUNCTION("""COMPUTED_VALUE"""),"75673454")</f>
        <v>75673454</v>
      </c>
      <c r="L232" s="146" t="str">
        <f>IFERROR(__xludf.DUMMYFUNCTION("""COMPUTED_VALUE"""),"DALLY MILAGRITOS BANEO FACHIN")</f>
        <v>DALLY MILAGRITOS BANEO FACHIN</v>
      </c>
      <c r="M232" s="146" t="str">
        <f>IFERROR(__xludf.DUMMYFUNCTION("""COMPUTED_VALUE"""),"LIMA METROPOLITANA")</f>
        <v>LIMA METROPOLITANA</v>
      </c>
      <c r="N232" s="146" t="str">
        <f>IFERROR(__xludf.DUMMYFUNCTION("""COMPUTED_VALUE"""),"2 PLAY + TV ESTANDAR")</f>
        <v>2 PLAY + TV ESTANDAR</v>
      </c>
      <c r="O232" s="146" t="str">
        <f>IFERROR(__xludf.DUMMYFUNCTION("""COMPUTED_VALUE"""),"Campaña Regular")</f>
        <v>Campaña Regular</v>
      </c>
      <c r="P232" s="152">
        <f>IFERROR(__xludf.DUMMYFUNCTION("""COMPUTED_VALUE"""),170.0)</f>
        <v>170</v>
      </c>
      <c r="Q232" s="151">
        <f>IFERROR(__xludf.DUMMYFUNCTION("""COMPUTED_VALUE"""),46246.0)</f>
        <v>46246</v>
      </c>
    </row>
    <row r="233">
      <c r="C233" s="147"/>
      <c r="K233" s="146" t="str">
        <f>IFERROR(__xludf.DUMMYFUNCTION("""COMPUTED_VALUE"""),"10435080354")</f>
        <v>10435080354</v>
      </c>
      <c r="L233" s="146" t="str">
        <f>IFERROR(__xludf.DUMMYFUNCTION("""COMPUTED_VALUE"""),"MARCO ANTONIO CAVASSA NAUPAY")</f>
        <v>MARCO ANTONIO CAVASSA NAUPAY</v>
      </c>
      <c r="M233" s="146" t="str">
        <f>IFERROR(__xludf.DUMMYFUNCTION("""COMPUTED_VALUE"""),"LIMA METROPOLITANA")</f>
        <v>LIMA METROPOLITANA</v>
      </c>
      <c r="N233" s="146" t="str">
        <f>IFERROR(__xludf.DUMMYFUNCTION("""COMPUTED_VALUE"""),"1 PLAY")</f>
        <v>1 PLAY</v>
      </c>
      <c r="O233" s="146" t="str">
        <f>IFERROR(__xludf.DUMMYFUNCTION("""COMPUTED_VALUE"""),"Campaña Regular")</f>
        <v>Campaña Regular</v>
      </c>
      <c r="P233" s="152">
        <f>IFERROR(__xludf.DUMMYFUNCTION("""COMPUTED_VALUE"""),89.0)</f>
        <v>89</v>
      </c>
      <c r="Q233" s="151">
        <f>IFERROR(__xludf.DUMMYFUNCTION("""COMPUTED_VALUE"""),46247.0)</f>
        <v>46247</v>
      </c>
    </row>
    <row r="234">
      <c r="C234" s="147"/>
      <c r="K234" s="146" t="str">
        <f>IFERROR(__xludf.DUMMYFUNCTION("""COMPUTED_VALUE"""),"73271134")</f>
        <v>73271134</v>
      </c>
      <c r="L234" s="146" t="str">
        <f>IFERROR(__xludf.DUMMYFUNCTION("""COMPUTED_VALUE"""),"CHRISTIAN GIUSEPPE CABALLERO TELLO")</f>
        <v>CHRISTIAN GIUSEPPE CABALLERO TELLO</v>
      </c>
      <c r="M234" s="146" t="str">
        <f>IFERROR(__xludf.DUMMYFUNCTION("""COMPUTED_VALUE"""),"LIMA METROPOLITANA")</f>
        <v>LIMA METROPOLITANA</v>
      </c>
      <c r="N234" s="146" t="str">
        <f>IFERROR(__xludf.DUMMYFUNCTION("""COMPUTED_VALUE"""),"2 PLAY + TV ESTANDAR")</f>
        <v>2 PLAY + TV ESTANDAR</v>
      </c>
      <c r="O234" s="146" t="str">
        <f>IFERROR(__xludf.DUMMYFUNCTION("""COMPUTED_VALUE"""),"Campaña Regular")</f>
        <v>Campaña Regular</v>
      </c>
      <c r="P234" s="152">
        <f>IFERROR(__xludf.DUMMYFUNCTION("""COMPUTED_VALUE"""),150.0)</f>
        <v>150</v>
      </c>
      <c r="Q234" s="151">
        <f>IFERROR(__xludf.DUMMYFUNCTION("""COMPUTED_VALUE"""),46247.0)</f>
        <v>46247</v>
      </c>
    </row>
    <row r="235">
      <c r="C235" s="147"/>
      <c r="K235" s="146" t="str">
        <f>IFERROR(__xludf.DUMMYFUNCTION("""COMPUTED_VALUE"""),"07291620")</f>
        <v>07291620</v>
      </c>
      <c r="L235" s="146" t="str">
        <f>IFERROR(__xludf.DUMMYFUNCTION("""COMPUTED_VALUE"""),"RICARDO AUGUSTO AGUIRRE YANAC")</f>
        <v>RICARDO AUGUSTO AGUIRRE YANAC</v>
      </c>
      <c r="M235" s="146" t="str">
        <f>IFERROR(__xludf.DUMMYFUNCTION("""COMPUTED_VALUE"""),"LIMA METROPOLITANA")</f>
        <v>LIMA METROPOLITANA</v>
      </c>
      <c r="N235" s="146" t="str">
        <f>IFERROR(__xludf.DUMMYFUNCTION("""COMPUTED_VALUE"""),"1 PLAY")</f>
        <v>1 PLAY</v>
      </c>
      <c r="O235" s="146" t="str">
        <f>IFERROR(__xludf.DUMMYFUNCTION("""COMPUTED_VALUE"""),"Campaña Regular")</f>
        <v>Campaña Regular</v>
      </c>
      <c r="P235" s="152">
        <f>IFERROR(__xludf.DUMMYFUNCTION("""COMPUTED_VALUE"""),110.0)</f>
        <v>110</v>
      </c>
      <c r="Q235" s="151">
        <f>IFERROR(__xludf.DUMMYFUNCTION("""COMPUTED_VALUE"""),46247.0)</f>
        <v>46247</v>
      </c>
    </row>
    <row r="236">
      <c r="C236" s="147"/>
      <c r="K236" s="146" t="str">
        <f>IFERROR(__xludf.DUMMYFUNCTION("""COMPUTED_VALUE"""),"46476317")</f>
        <v>46476317</v>
      </c>
      <c r="L236" s="146" t="str">
        <f>IFERROR(__xludf.DUMMYFUNCTION("""COMPUTED_VALUE"""),"JULIO CESAR ALOR CAMACHO")</f>
        <v>JULIO CESAR ALOR CAMACHO</v>
      </c>
      <c r="M236" s="146" t="str">
        <f>IFERROR(__xludf.DUMMYFUNCTION("""COMPUTED_VALUE"""),"LIMA")</f>
        <v>LIMA</v>
      </c>
      <c r="N236" s="146" t="str">
        <f>IFERROR(__xludf.DUMMYFUNCTION("""COMPUTED_VALUE"""),"1 PLAY")</f>
        <v>1 PLAY</v>
      </c>
      <c r="O236" s="146" t="str">
        <f>IFERROR(__xludf.DUMMYFUNCTION("""COMPUTED_VALUE"""),"Campaña Regular")</f>
        <v>Campaña Regular</v>
      </c>
      <c r="P236" s="152">
        <f>IFERROR(__xludf.DUMMYFUNCTION("""COMPUTED_VALUE"""),89.0)</f>
        <v>89</v>
      </c>
      <c r="Q236" s="151">
        <f>IFERROR(__xludf.DUMMYFUNCTION("""COMPUTED_VALUE"""),46247.0)</f>
        <v>46247</v>
      </c>
    </row>
    <row r="237">
      <c r="C237" s="147"/>
      <c r="K237" s="146" t="str">
        <f>IFERROR(__xludf.DUMMYFUNCTION("""COMPUTED_VALUE"""),"33958899")</f>
        <v>33958899</v>
      </c>
      <c r="L237" s="146" t="str">
        <f>IFERROR(__xludf.DUMMYFUNCTION("""COMPUTED_VALUE"""),"JAMES GRANDEZ TORRES")</f>
        <v>JAMES GRANDEZ TORRES</v>
      </c>
      <c r="M237" s="146" t="str">
        <f>IFERROR(__xludf.DUMMYFUNCTION("""COMPUTED_VALUE"""),"LIMA METROPOLITANA")</f>
        <v>LIMA METROPOLITANA</v>
      </c>
      <c r="N237" s="146" t="str">
        <f>IFERROR(__xludf.DUMMYFUNCTION("""COMPUTED_VALUE"""),"1 PLAY")</f>
        <v>1 PLAY</v>
      </c>
      <c r="O237" s="146" t="str">
        <f>IFERROR(__xludf.DUMMYFUNCTION("""COMPUTED_VALUE"""),"Campaña Regular")</f>
        <v>Campaña Regular</v>
      </c>
      <c r="P237" s="152">
        <f>IFERROR(__xludf.DUMMYFUNCTION("""COMPUTED_VALUE"""),89.0)</f>
        <v>89</v>
      </c>
      <c r="Q237" s="151">
        <f>IFERROR(__xludf.DUMMYFUNCTION("""COMPUTED_VALUE"""),46247.0)</f>
        <v>46247</v>
      </c>
    </row>
    <row r="238">
      <c r="C238" s="147"/>
      <c r="K238" s="146" t="str">
        <f>IFERROR(__xludf.DUMMYFUNCTION("""COMPUTED_VALUE"""),"03582825")</f>
        <v>03582825</v>
      </c>
      <c r="L238" s="146" t="str">
        <f>IFERROR(__xludf.DUMMYFUNCTION("""COMPUTED_VALUE"""),"YSABEL SANTANA GARCIA")</f>
        <v>YSABEL SANTANA GARCIA</v>
      </c>
      <c r="M238" s="146" t="str">
        <f>IFERROR(__xludf.DUMMYFUNCTION("""COMPUTED_VALUE"""),"PIURA")</f>
        <v>PIURA</v>
      </c>
      <c r="N238" s="146" t="str">
        <f>IFERROR(__xludf.DUMMYFUNCTION("""COMPUTED_VALUE"""),"2 PLAY + TV ESTANDAR")</f>
        <v>2 PLAY + TV ESTANDAR</v>
      </c>
      <c r="O238" s="146" t="str">
        <f>IFERROR(__xludf.DUMMYFUNCTION("""COMPUTED_VALUE"""),"Campaña Regular")</f>
        <v>Campaña Regular</v>
      </c>
      <c r="P238" s="152">
        <f>IFERROR(__xludf.DUMMYFUNCTION("""COMPUTED_VALUE"""),170.0)</f>
        <v>170</v>
      </c>
      <c r="Q238" s="151">
        <f>IFERROR(__xludf.DUMMYFUNCTION("""COMPUTED_VALUE"""),46248.0)</f>
        <v>46248</v>
      </c>
    </row>
    <row r="239">
      <c r="C239" s="147"/>
      <c r="K239" s="146" t="str">
        <f>IFERROR(__xludf.DUMMYFUNCTION("""COMPUTED_VALUE"""),"19692693")</f>
        <v>19692693</v>
      </c>
      <c r="L239" s="146" t="str">
        <f>IFERROR(__xludf.DUMMYFUNCTION("""COMPUTED_VALUE""")," IVAN OBISPO RUIZ REYES")</f>
        <v> IVAN OBISPO RUIZ REYES</v>
      </c>
      <c r="M239" s="146" t="str">
        <f>IFERROR(__xludf.DUMMYFUNCTION("""COMPUTED_VALUE"""),"LA LIBERTAD")</f>
        <v>LA LIBERTAD</v>
      </c>
      <c r="N239" s="146" t="str">
        <f>IFERROR(__xludf.DUMMYFUNCTION("""COMPUTED_VALUE"""),"1 PLAY")</f>
        <v>1 PLAY</v>
      </c>
      <c r="O239" s="146" t="str">
        <f>IFERROR(__xludf.DUMMYFUNCTION("""COMPUTED_VALUE"""),"Campaña Regular")</f>
        <v>Campaña Regular</v>
      </c>
      <c r="P239" s="152">
        <f>IFERROR(__xludf.DUMMYFUNCTION("""COMPUTED_VALUE"""),89.0)</f>
        <v>89</v>
      </c>
      <c r="Q239" s="151">
        <f>IFERROR(__xludf.DUMMYFUNCTION("""COMPUTED_VALUE"""),46248.0)</f>
        <v>46248</v>
      </c>
    </row>
    <row r="240">
      <c r="C240" s="147"/>
      <c r="K240" s="146" t="str">
        <f>IFERROR(__xludf.DUMMYFUNCTION("""COMPUTED_VALUE"""),"46025780")</f>
        <v>46025780</v>
      </c>
      <c r="L240" s="146" t="str">
        <f>IFERROR(__xludf.DUMMYFUNCTION("""COMPUTED_VALUE"""),"HERNANDEZ IBARRA, JUAN CARLOS")</f>
        <v>HERNANDEZ IBARRA, JUAN CARLOS</v>
      </c>
      <c r="M240" s="146" t="str">
        <f>IFERROR(__xludf.DUMMYFUNCTION("""COMPUTED_VALUE"""),"LIMA METROPOLITANA")</f>
        <v>LIMA METROPOLITANA</v>
      </c>
      <c r="N240" s="146" t="str">
        <f>IFERROR(__xludf.DUMMYFUNCTION("""COMPUTED_VALUE"""),"3 PLAY + TV ESTANDAR")</f>
        <v>3 PLAY + TV ESTANDAR</v>
      </c>
      <c r="O240" s="146" t="str">
        <f>IFERROR(__xludf.DUMMYFUNCTION("""COMPUTED_VALUE"""),"Campaña Regular")</f>
        <v>Campaña Regular</v>
      </c>
      <c r="P240" s="152">
        <f>IFERROR(__xludf.DUMMYFUNCTION("""COMPUTED_VALUE"""),175.0)</f>
        <v>175</v>
      </c>
      <c r="Q240" s="151">
        <f>IFERROR(__xludf.DUMMYFUNCTION("""COMPUTED_VALUE"""),46248.0)</f>
        <v>46248</v>
      </c>
    </row>
    <row r="241">
      <c r="C241" s="147"/>
      <c r="K241" s="146" t="str">
        <f>IFERROR(__xludf.DUMMYFUNCTION("""COMPUTED_VALUE"""),"42287282")</f>
        <v>42287282</v>
      </c>
      <c r="L241" s="146" t="str">
        <f>IFERROR(__xludf.DUMMYFUNCTION("""COMPUTED_VALUE"""),"FREDY ANTONIO GUADALUPE HUAMAN")</f>
        <v>FREDY ANTONIO GUADALUPE HUAMAN</v>
      </c>
      <c r="M241" s="146" t="str">
        <f>IFERROR(__xludf.DUMMYFUNCTION("""COMPUTED_VALUE"""),"JUNIN")</f>
        <v>JUNIN</v>
      </c>
      <c r="N241" s="146" t="str">
        <f>IFERROR(__xludf.DUMMYFUNCTION("""COMPUTED_VALUE"""),"1 PLAY")</f>
        <v>1 PLAY</v>
      </c>
      <c r="O241" s="146" t="str">
        <f>IFERROR(__xludf.DUMMYFUNCTION("""COMPUTED_VALUE"""),"Campaña Regular")</f>
        <v>Campaña Regular</v>
      </c>
      <c r="P241" s="152">
        <f>IFERROR(__xludf.DUMMYFUNCTION("""COMPUTED_VALUE"""),89.0)</f>
        <v>89</v>
      </c>
      <c r="Q241" s="151">
        <f>IFERROR(__xludf.DUMMYFUNCTION("""COMPUTED_VALUE"""),46249.0)</f>
        <v>46249</v>
      </c>
    </row>
    <row r="242">
      <c r="C242" s="147"/>
      <c r="K242" s="146" t="str">
        <f>IFERROR(__xludf.DUMMYFUNCTION("""COMPUTED_VALUE"""),"41192300")</f>
        <v>41192300</v>
      </c>
      <c r="L242" s="146" t="str">
        <f>IFERROR(__xludf.DUMMYFUNCTION("""COMPUTED_VALUE"""),"JEAN PAUL DAVID SILVA DAVILA")</f>
        <v>JEAN PAUL DAVID SILVA DAVILA</v>
      </c>
      <c r="M242" s="146" t="str">
        <f>IFERROR(__xludf.DUMMYFUNCTION("""COMPUTED_VALUE"""),"LIMA METROPOLITANA")</f>
        <v>LIMA METROPOLITANA</v>
      </c>
      <c r="N242" s="146" t="str">
        <f>IFERROR(__xludf.DUMMYFUNCTION("""COMPUTED_VALUE"""),"1 PLAY")</f>
        <v>1 PLAY</v>
      </c>
      <c r="O242" s="146" t="str">
        <f>IFERROR(__xludf.DUMMYFUNCTION("""COMPUTED_VALUE"""),"Campaña Regular")</f>
        <v>Campaña Regular</v>
      </c>
      <c r="P242" s="152">
        <f>IFERROR(__xludf.DUMMYFUNCTION("""COMPUTED_VALUE"""),89.0)</f>
        <v>89</v>
      </c>
      <c r="Q242" s="151">
        <f>IFERROR(__xludf.DUMMYFUNCTION("""COMPUTED_VALUE"""),46249.0)</f>
        <v>46249</v>
      </c>
    </row>
    <row r="243">
      <c r="C243" s="147"/>
      <c r="K243" s="146" t="str">
        <f>IFERROR(__xludf.DUMMYFUNCTION("""COMPUTED_VALUE"""),"80071285")</f>
        <v>80071285</v>
      </c>
      <c r="L243" s="146" t="str">
        <f>IFERROR(__xludf.DUMMYFUNCTION("""COMPUTED_VALUE"""),"JUAN BRUNO CHUMPITAZ GUZMAN")</f>
        <v>JUAN BRUNO CHUMPITAZ GUZMAN</v>
      </c>
      <c r="M243" s="146" t="str">
        <f>IFERROR(__xludf.DUMMYFUNCTION("""COMPUTED_VALUE"""),"LIMA METROPOLITANA")</f>
        <v>LIMA METROPOLITANA</v>
      </c>
      <c r="N243" s="146" t="str">
        <f>IFERROR(__xludf.DUMMYFUNCTION("""COMPUTED_VALUE"""),"1 PLAY")</f>
        <v>1 PLAY</v>
      </c>
      <c r="O243" s="146" t="str">
        <f>IFERROR(__xludf.DUMMYFUNCTION("""COMPUTED_VALUE"""),"Campaña Promo Entrada")</f>
        <v>Campaña Promo Entrada</v>
      </c>
      <c r="P243" s="152">
        <f>IFERROR(__xludf.DUMMYFUNCTION("""COMPUTED_VALUE"""),69.0)</f>
        <v>69</v>
      </c>
      <c r="Q243" s="151">
        <f>IFERROR(__xludf.DUMMYFUNCTION("""COMPUTED_VALUE"""),46249.0)</f>
        <v>46249</v>
      </c>
    </row>
    <row r="244">
      <c r="C244" s="147"/>
      <c r="K244" s="146" t="str">
        <f>IFERROR(__xludf.DUMMYFUNCTION("""COMPUTED_VALUE"""),"10805899")</f>
        <v>10805899</v>
      </c>
      <c r="L244" s="146" t="str">
        <f>IFERROR(__xludf.DUMMYFUNCTION("""COMPUTED_VALUE"""),"CAROL CINDY AREVALO MARTINEZ")</f>
        <v>CAROL CINDY AREVALO MARTINEZ</v>
      </c>
      <c r="M244" s="146" t="str">
        <f>IFERROR(__xludf.DUMMYFUNCTION("""COMPUTED_VALUE"""),"LIMA METROPOLITANA")</f>
        <v>LIMA METROPOLITANA</v>
      </c>
      <c r="N244" s="146" t="str">
        <f>IFERROR(__xludf.DUMMYFUNCTION("""COMPUTED_VALUE"""),"1 PLAY")</f>
        <v>1 PLAY</v>
      </c>
      <c r="O244" s="146" t="str">
        <f>IFERROR(__xludf.DUMMYFUNCTION("""COMPUTED_VALUE"""),"Campaña Regular")</f>
        <v>Campaña Regular</v>
      </c>
      <c r="P244" s="152">
        <f>IFERROR(__xludf.DUMMYFUNCTION("""COMPUTED_VALUE"""),170.0)</f>
        <v>170</v>
      </c>
      <c r="Q244" s="151">
        <f>IFERROR(__xludf.DUMMYFUNCTION("""COMPUTED_VALUE"""),46249.0)</f>
        <v>46249</v>
      </c>
    </row>
    <row r="245">
      <c r="C245" s="147"/>
      <c r="K245" s="146" t="str">
        <f>IFERROR(__xludf.DUMMYFUNCTION("""COMPUTED_VALUE"""),"08523047 ")</f>
        <v>08523047 </v>
      </c>
      <c r="L245" s="146" t="str">
        <f>IFERROR(__xludf.DUMMYFUNCTION("""COMPUTED_VALUE"""),"NINA GREGORIA PIZCO HORNA")</f>
        <v>NINA GREGORIA PIZCO HORNA</v>
      </c>
      <c r="M245" s="146" t="str">
        <f>IFERROR(__xludf.DUMMYFUNCTION("""COMPUTED_VALUE"""),"LIMA METROPOLITANA")</f>
        <v>LIMA METROPOLITANA</v>
      </c>
      <c r="N245" s="146" t="str">
        <f>IFERROR(__xludf.DUMMYFUNCTION("""COMPUTED_VALUE"""),"1 PLAY")</f>
        <v>1 PLAY</v>
      </c>
      <c r="O245" s="146" t="str">
        <f>IFERROR(__xludf.DUMMYFUNCTION("""COMPUTED_VALUE"""),"Campaña Regular")</f>
        <v>Campaña Regular</v>
      </c>
      <c r="P245" s="152">
        <f>IFERROR(__xludf.DUMMYFUNCTION("""COMPUTED_VALUE"""),89.0)</f>
        <v>89</v>
      </c>
      <c r="Q245" s="151">
        <f>IFERROR(__xludf.DUMMYFUNCTION("""COMPUTED_VALUE"""),46249.0)</f>
        <v>46249</v>
      </c>
    </row>
    <row r="246">
      <c r="C246" s="147"/>
      <c r="K246" s="146" t="str">
        <f>IFERROR(__xludf.DUMMYFUNCTION("""COMPUTED_VALUE"""),"15391358")</f>
        <v>15391358</v>
      </c>
      <c r="L246" s="146" t="str">
        <f>IFERROR(__xludf.DUMMYFUNCTION("""COMPUTED_VALUE"""),"EULALIA JUSTINA CHUMPITAZ LESCANO")</f>
        <v>EULALIA JUSTINA CHUMPITAZ LESCANO</v>
      </c>
      <c r="M246" s="146" t="str">
        <f>IFERROR(__xludf.DUMMYFUNCTION("""COMPUTED_VALUE"""),"LIMA")</f>
        <v>LIMA</v>
      </c>
      <c r="N246" s="146" t="str">
        <f>IFERROR(__xludf.DUMMYFUNCTION("""COMPUTED_VALUE"""),"2 PLAY + TV ESTANDAR")</f>
        <v>2 PLAY + TV ESTANDAR</v>
      </c>
      <c r="O246" s="146" t="str">
        <f>IFERROR(__xludf.DUMMYFUNCTION("""COMPUTED_VALUE"""),"Campaña Regular")</f>
        <v>Campaña Regular</v>
      </c>
      <c r="P246" s="152">
        <f>IFERROR(__xludf.DUMMYFUNCTION("""COMPUTED_VALUE"""),170.0)</f>
        <v>170</v>
      </c>
      <c r="Q246" s="151">
        <f>IFERROR(__xludf.DUMMYFUNCTION("""COMPUTED_VALUE"""),46249.0)</f>
        <v>46249</v>
      </c>
    </row>
    <row r="247">
      <c r="C247" s="147"/>
      <c r="K247" s="146" t="str">
        <f>IFERROR(__xludf.DUMMYFUNCTION("""COMPUTED_VALUE"""),"10406652951")</f>
        <v>10406652951</v>
      </c>
      <c r="L247" s="146" t="str">
        <f>IFERROR(__xludf.DUMMYFUNCTION("""COMPUTED_VALUE"""),"GLISET MILAGROS INFANZON QUISPE")</f>
        <v>GLISET MILAGROS INFANZON QUISPE</v>
      </c>
      <c r="M247" s="146" t="str">
        <f>IFERROR(__xludf.DUMMYFUNCTION("""COMPUTED_VALUE"""),"LIMA METROPOLITANA")</f>
        <v>LIMA METROPOLITANA</v>
      </c>
      <c r="N247" s="146" t="str">
        <f>IFERROR(__xludf.DUMMYFUNCTION("""COMPUTED_VALUE"""),"1 PLAY")</f>
        <v>1 PLAY</v>
      </c>
      <c r="O247" s="146" t="str">
        <f>IFERROR(__xludf.DUMMYFUNCTION("""COMPUTED_VALUE"""),"Campaña Regular")</f>
        <v>Campaña Regular</v>
      </c>
      <c r="P247" s="152">
        <f>IFERROR(__xludf.DUMMYFUNCTION("""COMPUTED_VALUE"""),89.0)</f>
        <v>89</v>
      </c>
      <c r="Q247" s="151">
        <f>IFERROR(__xludf.DUMMYFUNCTION("""COMPUTED_VALUE"""),46250.0)</f>
        <v>46250</v>
      </c>
    </row>
    <row r="248">
      <c r="C248" s="147"/>
      <c r="K248" s="146" t="str">
        <f>IFERROR(__xludf.DUMMYFUNCTION("""COMPUTED_VALUE"""),"41325007")</f>
        <v>41325007</v>
      </c>
      <c r="L248" s="146" t="str">
        <f>IFERROR(__xludf.DUMMYFUNCTION("""COMPUTED_VALUE"""),"LUIS MIGUEL CARHUAJULCA CASTRO")</f>
        <v>LUIS MIGUEL CARHUAJULCA CASTRO</v>
      </c>
      <c r="M248" s="146" t="str">
        <f>IFERROR(__xludf.DUMMYFUNCTION("""COMPUTED_VALUE"""),"LIMA METROPOLITANA")</f>
        <v>LIMA METROPOLITANA</v>
      </c>
      <c r="N248" s="146" t="str">
        <f>IFERROR(__xludf.DUMMYFUNCTION("""COMPUTED_VALUE"""),"2 PLAY + TV ESTANDAR")</f>
        <v>2 PLAY + TV ESTANDAR</v>
      </c>
      <c r="O248" s="146" t="str">
        <f>IFERROR(__xludf.DUMMYFUNCTION("""COMPUTED_VALUE"""),"Campaña Regular")</f>
        <v>Campaña Regular</v>
      </c>
      <c r="P248" s="152">
        <f>IFERROR(__xludf.DUMMYFUNCTION("""COMPUTED_VALUE"""),170.0)</f>
        <v>170</v>
      </c>
      <c r="Q248" s="151">
        <f>IFERROR(__xludf.DUMMYFUNCTION("""COMPUTED_VALUE"""),46250.0)</f>
        <v>46250</v>
      </c>
    </row>
    <row r="249">
      <c r="C249" s="147"/>
      <c r="K249" s="146" t="str">
        <f>IFERROR(__xludf.DUMMYFUNCTION("""COMPUTED_VALUE"""),"42125979 ")</f>
        <v>42125979 </v>
      </c>
      <c r="L249" s="146" t="str">
        <f>IFERROR(__xludf.DUMMYFUNCTION("""COMPUTED_VALUE"""),"CLIENTE: MARIO AGUSTIN SANCHEZ CAMACHO")</f>
        <v>CLIENTE: MARIO AGUSTIN SANCHEZ CAMACHO</v>
      </c>
      <c r="M249" s="146" t="str">
        <f>IFERROR(__xludf.DUMMYFUNCTION("""COMPUTED_VALUE"""),"LIMA METROPOLITANA")</f>
        <v>LIMA METROPOLITANA</v>
      </c>
      <c r="N249" s="146" t="str">
        <f>IFERROR(__xludf.DUMMYFUNCTION("""COMPUTED_VALUE"""),"1 PLAY")</f>
        <v>1 PLAY</v>
      </c>
      <c r="O249" s="146" t="str">
        <f>IFERROR(__xludf.DUMMYFUNCTION("""COMPUTED_VALUE"""),"Campaña Regular")</f>
        <v>Campaña Regular</v>
      </c>
      <c r="P249" s="152">
        <f>IFERROR(__xludf.DUMMYFUNCTION("""COMPUTED_VALUE"""),89.0)</f>
        <v>89</v>
      </c>
      <c r="Q249" s="151">
        <f>IFERROR(__xludf.DUMMYFUNCTION("""COMPUTED_VALUE"""),46251.0)</f>
        <v>46251</v>
      </c>
    </row>
    <row r="250">
      <c r="C250" s="147"/>
      <c r="K250" s="146" t="str">
        <f>IFERROR(__xludf.DUMMYFUNCTION("""COMPUTED_VALUE"""),"40820135 ")</f>
        <v>40820135 </v>
      </c>
      <c r="L250" s="146" t="str">
        <f>IFERROR(__xludf.DUMMYFUNCTION("""COMPUTED_VALUE"""),"ETELDRITA EMERENCIA VILLAFUERTE DOLORES")</f>
        <v>ETELDRITA EMERENCIA VILLAFUERTE DOLORES</v>
      </c>
      <c r="M250" s="146" t="str">
        <f>IFERROR(__xludf.DUMMYFUNCTION("""COMPUTED_VALUE"""),"LIMA")</f>
        <v>LIMA</v>
      </c>
      <c r="N250" s="146" t="str">
        <f>IFERROR(__xludf.DUMMYFUNCTION("""COMPUTED_VALUE"""),"2 PLAY + TV ESTANDAR")</f>
        <v>2 PLAY + TV ESTANDAR</v>
      </c>
      <c r="O250" s="146" t="str">
        <f>IFERROR(__xludf.DUMMYFUNCTION("""COMPUTED_VALUE"""),"Campaña Regular")</f>
        <v>Campaña Regular</v>
      </c>
      <c r="P250" s="152">
        <f>IFERROR(__xludf.DUMMYFUNCTION("""COMPUTED_VALUE"""),150.0)</f>
        <v>150</v>
      </c>
      <c r="Q250" s="151">
        <f>IFERROR(__xludf.DUMMYFUNCTION("""COMPUTED_VALUE"""),46251.0)</f>
        <v>46251</v>
      </c>
    </row>
    <row r="251">
      <c r="C251" s="147"/>
      <c r="K251" s="146" t="str">
        <f>IFERROR(__xludf.DUMMYFUNCTION("""COMPUTED_VALUE"""),"004875183")</f>
        <v>004875183</v>
      </c>
      <c r="L251" s="146" t="str">
        <f>IFERROR(__xludf.DUMMYFUNCTION("""COMPUTED_VALUE"""),"MAWILDE ASUNCION ABREU  LEON")</f>
        <v>MAWILDE ASUNCION ABREU  LEON</v>
      </c>
      <c r="M251" s="146" t="str">
        <f>IFERROR(__xludf.DUMMYFUNCTION("""COMPUTED_VALUE"""),"CALLAO")</f>
        <v>CALLAO</v>
      </c>
      <c r="N251" s="146" t="str">
        <f>IFERROR(__xludf.DUMMYFUNCTION("""COMPUTED_VALUE"""),"1 PLAY")</f>
        <v>1 PLAY</v>
      </c>
      <c r="O251" s="146" t="str">
        <f>IFERROR(__xludf.DUMMYFUNCTION("""COMPUTED_VALUE"""),"Campaña Regular")</f>
        <v>Campaña Regular</v>
      </c>
      <c r="P251" s="152">
        <f>IFERROR(__xludf.DUMMYFUNCTION("""COMPUTED_VALUE"""),89.0)</f>
        <v>89</v>
      </c>
      <c r="Q251" s="151">
        <f>IFERROR(__xludf.DUMMYFUNCTION("""COMPUTED_VALUE"""),46251.0)</f>
        <v>46251</v>
      </c>
    </row>
    <row r="252">
      <c r="C252" s="147"/>
      <c r="K252" s="146" t="str">
        <f>IFERROR(__xludf.DUMMYFUNCTION("""COMPUTED_VALUE"""),"60796826 ")</f>
        <v>60796826 </v>
      </c>
      <c r="L252" s="146" t="str">
        <f>IFERROR(__xludf.DUMMYFUNCTION("""COMPUTED_VALUE"""),"AILTON ANGEL SULLCA DELGADO")</f>
        <v>AILTON ANGEL SULLCA DELGADO</v>
      </c>
      <c r="M252" s="146" t="str">
        <f>IFERROR(__xludf.DUMMYFUNCTION("""COMPUTED_VALUE"""),"CALLAO")</f>
        <v>CALLAO</v>
      </c>
      <c r="N252" s="146" t="str">
        <f>IFERROR(__xludf.DUMMYFUNCTION("""COMPUTED_VALUE"""),"1 PLAY")</f>
        <v>1 PLAY</v>
      </c>
      <c r="O252" s="146" t="str">
        <f>IFERROR(__xludf.DUMMYFUNCTION("""COMPUTED_VALUE"""),"Campaña Regular")</f>
        <v>Campaña Regular</v>
      </c>
      <c r="P252" s="152">
        <f>IFERROR(__xludf.DUMMYFUNCTION("""COMPUTED_VALUE"""),89.0)</f>
        <v>89</v>
      </c>
      <c r="Q252" s="151">
        <f>IFERROR(__xludf.DUMMYFUNCTION("""COMPUTED_VALUE"""),46251.0)</f>
        <v>46251</v>
      </c>
    </row>
    <row r="253">
      <c r="C253" s="147"/>
      <c r="K253" s="146" t="str">
        <f>IFERROR(__xludf.DUMMYFUNCTION("""COMPUTED_VALUE"""),"09594603")</f>
        <v>09594603</v>
      </c>
      <c r="L253" s="146" t="str">
        <f>IFERROR(__xludf.DUMMYFUNCTION("""COMPUTED_VALUE"""),"SARO VICENTE, ESTELA ALEJANDRINA")</f>
        <v>SARO VICENTE, ESTELA ALEJANDRINA</v>
      </c>
      <c r="M253" s="146" t="str">
        <f>IFERROR(__xludf.DUMMYFUNCTION("""COMPUTED_VALUE"""),"LIMA METROPOLITANA")</f>
        <v>LIMA METROPOLITANA</v>
      </c>
      <c r="N253" s="146" t="str">
        <f>IFERROR(__xludf.DUMMYFUNCTION("""COMPUTED_VALUE"""),"1 PLAY")</f>
        <v>1 PLAY</v>
      </c>
      <c r="O253" s="146" t="str">
        <f>IFERROR(__xludf.DUMMYFUNCTION("""COMPUTED_VALUE"""),"Campaña Regular")</f>
        <v>Campaña Regular</v>
      </c>
      <c r="P253" s="152">
        <f>IFERROR(__xludf.DUMMYFUNCTION("""COMPUTED_VALUE"""),69.0)</f>
        <v>69</v>
      </c>
      <c r="Q253" s="151">
        <f>IFERROR(__xludf.DUMMYFUNCTION("""COMPUTED_VALUE"""),46252.0)</f>
        <v>46252</v>
      </c>
    </row>
    <row r="254">
      <c r="C254" s="147"/>
      <c r="K254" s="146" t="str">
        <f>IFERROR(__xludf.DUMMYFUNCTION("""COMPUTED_VALUE"""),"42155562")</f>
        <v>42155562</v>
      </c>
      <c r="L254" s="146" t="str">
        <f>IFERROR(__xludf.DUMMYFUNCTION("""COMPUTED_VALUE"""),"MIGUEL ANGUEL DELGADO MIÑANO")</f>
        <v>MIGUEL ANGUEL DELGADO MIÑANO</v>
      </c>
      <c r="M254" s="146" t="str">
        <f>IFERROR(__xludf.DUMMYFUNCTION("""COMPUTED_VALUE"""),"SAN MARTIN")</f>
        <v>SAN MARTIN</v>
      </c>
      <c r="N254" s="146" t="str">
        <f>IFERROR(__xludf.DUMMYFUNCTION("""COMPUTED_VALUE"""),"1 PLAY")</f>
        <v>1 PLAY</v>
      </c>
      <c r="O254" s="146" t="str">
        <f>IFERROR(__xludf.DUMMYFUNCTION("""COMPUTED_VALUE"""),"Campaña Regular")</f>
        <v>Campaña Regular</v>
      </c>
      <c r="P254" s="152">
        <f>IFERROR(__xludf.DUMMYFUNCTION("""COMPUTED_VALUE"""),110.0)</f>
        <v>110</v>
      </c>
      <c r="Q254" s="151">
        <f>IFERROR(__xludf.DUMMYFUNCTION("""COMPUTED_VALUE"""),46252.0)</f>
        <v>46252</v>
      </c>
    </row>
    <row r="255">
      <c r="C255" s="147"/>
      <c r="K255" s="146" t="str">
        <f>IFERROR(__xludf.DUMMYFUNCTION("""COMPUTED_VALUE"""),"08612868")</f>
        <v>08612868</v>
      </c>
      <c r="L255" s="146" t="str">
        <f>IFERROR(__xludf.DUMMYFUNCTION("""COMPUTED_VALUE"""),"GERALDO GENDER GUERRERO CHULLUNCUY")</f>
        <v>GERALDO GENDER GUERRERO CHULLUNCUY</v>
      </c>
      <c r="M255" s="146" t="str">
        <f>IFERROR(__xludf.DUMMYFUNCTION("""COMPUTED_VALUE"""),"LIMA")</f>
        <v>LIMA</v>
      </c>
      <c r="N255" s="146" t="str">
        <f>IFERROR(__xludf.DUMMYFUNCTION("""COMPUTED_VALUE"""),"1 PLAY")</f>
        <v>1 PLAY</v>
      </c>
      <c r="O255" s="146" t="str">
        <f>IFERROR(__xludf.DUMMYFUNCTION("""COMPUTED_VALUE"""),"Campaña Regular")</f>
        <v>Campaña Regular</v>
      </c>
      <c r="P255" s="152">
        <f>IFERROR(__xludf.DUMMYFUNCTION("""COMPUTED_VALUE"""),89.0)</f>
        <v>89</v>
      </c>
      <c r="Q255" s="151">
        <f>IFERROR(__xludf.DUMMYFUNCTION("""COMPUTED_VALUE"""),46252.0)</f>
        <v>46252</v>
      </c>
    </row>
    <row r="256">
      <c r="C256" s="147"/>
      <c r="K256" s="146" t="str">
        <f>IFERROR(__xludf.DUMMYFUNCTION("""COMPUTED_VALUE"""),"80105353")</f>
        <v>80105353</v>
      </c>
      <c r="L256" s="146" t="str">
        <f>IFERROR(__xludf.DUMMYFUNCTION("""COMPUTED_VALUE"""),"PATRICIA RAQUEL MELGAR DEL CASTILLO ")</f>
        <v>PATRICIA RAQUEL MELGAR DEL CASTILLO </v>
      </c>
      <c r="M256" s="146" t="str">
        <f>IFERROR(__xludf.DUMMYFUNCTION("""COMPUTED_VALUE"""),"CALLAO")</f>
        <v>CALLAO</v>
      </c>
      <c r="N256" s="146" t="str">
        <f>IFERROR(__xludf.DUMMYFUNCTION("""COMPUTED_VALUE"""),"1 PLAY")</f>
        <v>1 PLAY</v>
      </c>
      <c r="O256" s="146" t="str">
        <f>IFERROR(__xludf.DUMMYFUNCTION("""COMPUTED_VALUE"""),"Campaña Regular")</f>
        <v>Campaña Regular</v>
      </c>
      <c r="P256" s="152">
        <f>IFERROR(__xludf.DUMMYFUNCTION("""COMPUTED_VALUE"""),89.0)</f>
        <v>89</v>
      </c>
      <c r="Q256" s="151">
        <f>IFERROR(__xludf.DUMMYFUNCTION("""COMPUTED_VALUE"""),46252.0)</f>
        <v>46252</v>
      </c>
    </row>
    <row r="257">
      <c r="C257" s="147"/>
      <c r="K257" s="146" t="str">
        <f>IFERROR(__xludf.DUMMYFUNCTION("""COMPUTED_VALUE"""),"41320305")</f>
        <v>41320305</v>
      </c>
      <c r="L257" s="146" t="str">
        <f>IFERROR(__xludf.DUMMYFUNCTION("""COMPUTED_VALUE"""),"JOSELITO RUEL YATA PIO")</f>
        <v>JOSELITO RUEL YATA PIO</v>
      </c>
      <c r="M257" s="146" t="str">
        <f>IFERROR(__xludf.DUMMYFUNCTION("""COMPUTED_VALUE"""),"LIMA METROPOLITANA")</f>
        <v>LIMA METROPOLITANA</v>
      </c>
      <c r="N257" s="146" t="str">
        <f>IFERROR(__xludf.DUMMYFUNCTION("""COMPUTED_VALUE"""),"2 PLAY + TV ESTANDAR")</f>
        <v>2 PLAY + TV ESTANDAR</v>
      </c>
      <c r="O257" s="146" t="str">
        <f>IFERROR(__xludf.DUMMYFUNCTION("""COMPUTED_VALUE"""),"Campaña Regular")</f>
        <v>Campaña Regular</v>
      </c>
      <c r="P257" s="152">
        <f>IFERROR(__xludf.DUMMYFUNCTION("""COMPUTED_VALUE"""),150.0)</f>
        <v>150</v>
      </c>
      <c r="Q257" s="151">
        <f>IFERROR(__xludf.DUMMYFUNCTION("""COMPUTED_VALUE"""),46252.0)</f>
        <v>46252</v>
      </c>
    </row>
    <row r="258">
      <c r="C258" s="147"/>
      <c r="K258" s="146" t="str">
        <f>IFERROR(__xludf.DUMMYFUNCTION("""COMPUTED_VALUE"""),"40399869")</f>
        <v>40399869</v>
      </c>
      <c r="L258" s="146" t="str">
        <f>IFERROR(__xludf.DUMMYFUNCTION("""COMPUTED_VALUE"""),"RAFAEL MARIO AMES SANCHEZ")</f>
        <v>RAFAEL MARIO AMES SANCHEZ</v>
      </c>
      <c r="M258" s="146" t="str">
        <f>IFERROR(__xludf.DUMMYFUNCTION("""COMPUTED_VALUE"""),"LIMA METROPOLITANA")</f>
        <v>LIMA METROPOLITANA</v>
      </c>
      <c r="N258" s="146" t="str">
        <f>IFERROR(__xludf.DUMMYFUNCTION("""COMPUTED_VALUE"""),"2 PLAY + TV ESTANDAR")</f>
        <v>2 PLAY + TV ESTANDAR</v>
      </c>
      <c r="O258" s="146" t="str">
        <f>IFERROR(__xludf.DUMMYFUNCTION("""COMPUTED_VALUE"""),"Campaña Regular")</f>
        <v>Campaña Regular</v>
      </c>
      <c r="P258" s="152">
        <f>IFERROR(__xludf.DUMMYFUNCTION("""COMPUTED_VALUE"""),170.0)</f>
        <v>170</v>
      </c>
      <c r="Q258" s="151">
        <f>IFERROR(__xludf.DUMMYFUNCTION("""COMPUTED_VALUE"""),46252.0)</f>
        <v>46252</v>
      </c>
    </row>
    <row r="259">
      <c r="C259" s="147"/>
      <c r="K259" s="146" t="str">
        <f>IFERROR(__xludf.DUMMYFUNCTION("""COMPUTED_VALUE"""),"45630107")</f>
        <v>45630107</v>
      </c>
      <c r="L259" s="146" t="str">
        <f>IFERROR(__xludf.DUMMYFUNCTION("""COMPUTED_VALUE"""),"NELDO MAZA SALVADOR")</f>
        <v>NELDO MAZA SALVADOR</v>
      </c>
      <c r="M259" s="146" t="str">
        <f>IFERROR(__xludf.DUMMYFUNCTION("""COMPUTED_VALUE"""),"PIURA")</f>
        <v>PIURA</v>
      </c>
      <c r="N259" s="146" t="str">
        <f>IFERROR(__xludf.DUMMYFUNCTION("""COMPUTED_VALUE"""),"1 PLAY")</f>
        <v>1 PLAY</v>
      </c>
      <c r="O259" s="146" t="str">
        <f>IFERROR(__xludf.DUMMYFUNCTION("""COMPUTED_VALUE"""),"Campaña Regular")</f>
        <v>Campaña Regular</v>
      </c>
      <c r="P259" s="152">
        <f>IFERROR(__xludf.DUMMYFUNCTION("""COMPUTED_VALUE"""),89.0)</f>
        <v>89</v>
      </c>
      <c r="Q259" s="151">
        <f>IFERROR(__xludf.DUMMYFUNCTION("""COMPUTED_VALUE"""),46253.0)</f>
        <v>46253</v>
      </c>
    </row>
    <row r="260">
      <c r="C260" s="147"/>
      <c r="K260" s="146" t="str">
        <f>IFERROR(__xludf.DUMMYFUNCTION("""COMPUTED_VALUE"""),"43487092")</f>
        <v>43487092</v>
      </c>
      <c r="L260" s="146" t="str">
        <f>IFERROR(__xludf.DUMMYFUNCTION("""COMPUTED_VALUE"""),"JUAN DAVID ÑAÑEZ PARI")</f>
        <v>JUAN DAVID ÑAÑEZ PARI</v>
      </c>
      <c r="M260" s="146" t="str">
        <f>IFERROR(__xludf.DUMMYFUNCTION("""COMPUTED_VALUE"""),"LIMA METROPOLITANA")</f>
        <v>LIMA METROPOLITANA</v>
      </c>
      <c r="N260" s="146" t="str">
        <f>IFERROR(__xludf.DUMMYFUNCTION("""COMPUTED_VALUE"""),"1 PLAY")</f>
        <v>1 PLAY</v>
      </c>
      <c r="O260" s="146" t="str">
        <f>IFERROR(__xludf.DUMMYFUNCTION("""COMPUTED_VALUE"""),"Campaña Regular")</f>
        <v>Campaña Regular</v>
      </c>
      <c r="P260" s="152">
        <f>IFERROR(__xludf.DUMMYFUNCTION("""COMPUTED_VALUE"""),89.0)</f>
        <v>89</v>
      </c>
      <c r="Q260" s="151">
        <f>IFERROR(__xludf.DUMMYFUNCTION("""COMPUTED_VALUE"""),46253.0)</f>
        <v>46253</v>
      </c>
    </row>
    <row r="261">
      <c r="C261" s="147"/>
      <c r="K261" s="146" t="str">
        <f>IFERROR(__xludf.DUMMYFUNCTION("""COMPUTED_VALUE"""),"23975382")</f>
        <v>23975382</v>
      </c>
      <c r="L261" s="146" t="str">
        <f>IFERROR(__xludf.DUMMYFUNCTION("""COMPUTED_VALUE"""),"FHARY PEREZ RADO")</f>
        <v>FHARY PEREZ RADO</v>
      </c>
      <c r="M261" s="146" t="str">
        <f>IFERROR(__xludf.DUMMYFUNCTION("""COMPUTED_VALUE"""),"CUSCO")</f>
        <v>CUSCO</v>
      </c>
      <c r="N261" s="146" t="str">
        <f>IFERROR(__xludf.DUMMYFUNCTION("""COMPUTED_VALUE"""),"1 PLAY")</f>
        <v>1 PLAY</v>
      </c>
      <c r="O261" s="146" t="str">
        <f>IFERROR(__xludf.DUMMYFUNCTION("""COMPUTED_VALUE"""),"Campaña Promo Entrada")</f>
        <v>Campaña Promo Entrada</v>
      </c>
      <c r="P261" s="152">
        <f>IFERROR(__xludf.DUMMYFUNCTION("""COMPUTED_VALUE"""),69.0)</f>
        <v>69</v>
      </c>
      <c r="Q261" s="151">
        <f>IFERROR(__xludf.DUMMYFUNCTION("""COMPUTED_VALUE"""),46253.0)</f>
        <v>46253</v>
      </c>
    </row>
    <row r="262">
      <c r="C262" s="147"/>
      <c r="K262" s="146" t="str">
        <f>IFERROR(__xludf.DUMMYFUNCTION("""COMPUTED_VALUE"""),"47031460")</f>
        <v>47031460</v>
      </c>
      <c r="L262" s="146" t="str">
        <f>IFERROR(__xludf.DUMMYFUNCTION("""COMPUTED_VALUE"""),"HEPZAY MARTIN MEZA SALAZAR")</f>
        <v>HEPZAY MARTIN MEZA SALAZAR</v>
      </c>
      <c r="M262" s="146" t="str">
        <f>IFERROR(__xludf.DUMMYFUNCTION("""COMPUTED_VALUE"""),"LIMA METROPOLITANA")</f>
        <v>LIMA METROPOLITANA</v>
      </c>
      <c r="N262" s="146" t="str">
        <f>IFERROR(__xludf.DUMMYFUNCTION("""COMPUTED_VALUE"""),"2 PLAY + TV ESTANDAR")</f>
        <v>2 PLAY + TV ESTANDAR</v>
      </c>
      <c r="O262" s="146" t="str">
        <f>IFERROR(__xludf.DUMMYFUNCTION("""COMPUTED_VALUE"""),"Campaña Regular")</f>
        <v>Campaña Regular</v>
      </c>
      <c r="P262" s="152">
        <f>IFERROR(__xludf.DUMMYFUNCTION("""COMPUTED_VALUE"""),150.0)</f>
        <v>150</v>
      </c>
      <c r="Q262" s="151">
        <f>IFERROR(__xludf.DUMMYFUNCTION("""COMPUTED_VALUE"""),46253.0)</f>
        <v>46253</v>
      </c>
    </row>
    <row r="263">
      <c r="C263" s="147"/>
      <c r="K263" s="146" t="str">
        <f>IFERROR(__xludf.DUMMYFUNCTION("""COMPUTED_VALUE"""),"10106832124")</f>
        <v>10106832124</v>
      </c>
      <c r="L263" s="146" t="str">
        <f>IFERROR(__xludf.DUMMYFUNCTION("""COMPUTED_VALUE"""),"CARI LEON FERNANDO RUDY  ")</f>
        <v>CARI LEON FERNANDO RUDY  </v>
      </c>
      <c r="M263" s="146" t="str">
        <f>IFERROR(__xludf.DUMMYFUNCTION("""COMPUTED_VALUE"""),"LIMA METROPOLITANA")</f>
        <v>LIMA METROPOLITANA</v>
      </c>
      <c r="N263" s="146" t="str">
        <f>IFERROR(__xludf.DUMMYFUNCTION("""COMPUTED_VALUE"""),"1 PLAY")</f>
        <v>1 PLAY</v>
      </c>
      <c r="O263" s="146" t="str">
        <f>IFERROR(__xludf.DUMMYFUNCTION("""COMPUTED_VALUE"""),"Campaña Regular")</f>
        <v>Campaña Regular</v>
      </c>
      <c r="P263" s="152">
        <f>IFERROR(__xludf.DUMMYFUNCTION("""COMPUTED_VALUE"""),110.0)</f>
        <v>110</v>
      </c>
      <c r="Q263" s="151">
        <f>IFERROR(__xludf.DUMMYFUNCTION("""COMPUTED_VALUE"""),46253.0)</f>
        <v>46253</v>
      </c>
    </row>
    <row r="264">
      <c r="C264" s="147"/>
      <c r="K264" s="146" t="str">
        <f>IFERROR(__xludf.DUMMYFUNCTION("""COMPUTED_VALUE"""),"006766562")</f>
        <v>006766562</v>
      </c>
      <c r="L264" s="146" t="str">
        <f>IFERROR(__xludf.DUMMYFUNCTION("""COMPUTED_VALUE"""),"Jhon Cristofer Lugo Ornelas")</f>
        <v>Jhon Cristofer Lugo Ornelas</v>
      </c>
      <c r="M264" s="146" t="str">
        <f>IFERROR(__xludf.DUMMYFUNCTION("""COMPUTED_VALUE"""),"LIMA METROPOLITANA")</f>
        <v>LIMA METROPOLITANA</v>
      </c>
      <c r="N264" s="146" t="str">
        <f>IFERROR(__xludf.DUMMYFUNCTION("""COMPUTED_VALUE"""),"1 PLAY")</f>
        <v>1 PLAY</v>
      </c>
      <c r="O264" s="146" t="str">
        <f>IFERROR(__xludf.DUMMYFUNCTION("""COMPUTED_VALUE"""),"Campaña Regular")</f>
        <v>Campaña Regular</v>
      </c>
      <c r="P264" s="152">
        <f>IFERROR(__xludf.DUMMYFUNCTION("""COMPUTED_VALUE"""),89.0)</f>
        <v>89</v>
      </c>
      <c r="Q264" s="151">
        <f>IFERROR(__xludf.DUMMYFUNCTION("""COMPUTED_VALUE"""),46253.0)</f>
        <v>46253</v>
      </c>
    </row>
    <row r="265">
      <c r="C265" s="147"/>
      <c r="K265" s="146" t="str">
        <f>IFERROR(__xludf.DUMMYFUNCTION("""COMPUTED_VALUE"""),"42806460")</f>
        <v>42806460</v>
      </c>
      <c r="L265" s="146" t="str">
        <f>IFERROR(__xludf.DUMMYFUNCTION("""COMPUTED_VALUE"""),"MARISOL MUÑICO ASTO")</f>
        <v>MARISOL MUÑICO ASTO</v>
      </c>
      <c r="M265" s="146" t="str">
        <f>IFERROR(__xludf.DUMMYFUNCTION("""COMPUTED_VALUE"""),"CALLAO")</f>
        <v>CALLAO</v>
      </c>
      <c r="N265" s="146" t="str">
        <f>IFERROR(__xludf.DUMMYFUNCTION("""COMPUTED_VALUE"""),"1 PLAY")</f>
        <v>1 PLAY</v>
      </c>
      <c r="O265" s="146" t="str">
        <f>IFERROR(__xludf.DUMMYFUNCTION("""COMPUTED_VALUE"""),"Campaña Regular")</f>
        <v>Campaña Regular</v>
      </c>
      <c r="P265" s="152">
        <f>IFERROR(__xludf.DUMMYFUNCTION("""COMPUTED_VALUE"""),89.0)</f>
        <v>89</v>
      </c>
      <c r="Q265" s="151">
        <f>IFERROR(__xludf.DUMMYFUNCTION("""COMPUTED_VALUE"""),46254.0)</f>
        <v>46254</v>
      </c>
    </row>
    <row r="266">
      <c r="C266" s="147"/>
      <c r="K266" s="146" t="str">
        <f>IFERROR(__xludf.DUMMYFUNCTION("""COMPUTED_VALUE"""),"23806403")</f>
        <v>23806403</v>
      </c>
      <c r="L266" s="146" t="str">
        <f>IFERROR(__xludf.DUMMYFUNCTION("""COMPUTED_VALUE"""),"NINANTAY APAZA, AUGUSTO ADRIAN")</f>
        <v>NINANTAY APAZA, AUGUSTO ADRIAN</v>
      </c>
      <c r="M266" s="146" t="str">
        <f>IFERROR(__xludf.DUMMYFUNCTION("""COMPUTED_VALUE"""),"CUSCO")</f>
        <v>CUSCO</v>
      </c>
      <c r="N266" s="146" t="str">
        <f>IFERROR(__xludf.DUMMYFUNCTION("""COMPUTED_VALUE"""),"1 PLAY")</f>
        <v>1 PLAY</v>
      </c>
      <c r="O266" s="146" t="str">
        <f>IFERROR(__xludf.DUMMYFUNCTION("""COMPUTED_VALUE"""),"Campaña Regular")</f>
        <v>Campaña Regular</v>
      </c>
      <c r="P266" s="152">
        <f>IFERROR(__xludf.DUMMYFUNCTION("""COMPUTED_VALUE"""),89.0)</f>
        <v>89</v>
      </c>
      <c r="Q266" s="151">
        <f>IFERROR(__xludf.DUMMYFUNCTION("""COMPUTED_VALUE"""),46254.0)</f>
        <v>46254</v>
      </c>
    </row>
    <row r="267">
      <c r="C267" s="147"/>
      <c r="K267" s="146" t="str">
        <f>IFERROR(__xludf.DUMMYFUNCTION("""COMPUTED_VALUE"""),"28314131")</f>
        <v>28314131</v>
      </c>
      <c r="L267" s="146" t="str">
        <f>IFERROR(__xludf.DUMMYFUNCTION("""COMPUTED_VALUE"""),"ROXANA MENDOZA BUSTAMANTE")</f>
        <v>ROXANA MENDOZA BUSTAMANTE</v>
      </c>
      <c r="M267" s="146" t="str">
        <f>IFERROR(__xludf.DUMMYFUNCTION("""COMPUTED_VALUE"""),"AYACUCHO")</f>
        <v>AYACUCHO</v>
      </c>
      <c r="N267" s="146" t="str">
        <f>IFERROR(__xludf.DUMMYFUNCTION("""COMPUTED_VALUE"""),"1 PLAY")</f>
        <v>1 PLAY</v>
      </c>
      <c r="O267" s="146" t="str">
        <f>IFERROR(__xludf.DUMMYFUNCTION("""COMPUTED_VALUE"""),"Campaña Regular")</f>
        <v>Campaña Regular</v>
      </c>
      <c r="P267" s="152">
        <f>IFERROR(__xludf.DUMMYFUNCTION("""COMPUTED_VALUE"""),89.0)</f>
        <v>89</v>
      </c>
      <c r="Q267" s="151">
        <f>IFERROR(__xludf.DUMMYFUNCTION("""COMPUTED_VALUE"""),46254.0)</f>
        <v>46254</v>
      </c>
    </row>
    <row r="268">
      <c r="C268" s="147"/>
      <c r="K268" s="146" t="str">
        <f>IFERROR(__xludf.DUMMYFUNCTION("""COMPUTED_VALUE"""),"47937178")</f>
        <v>47937178</v>
      </c>
      <c r="L268" s="146" t="str">
        <f>IFERROR(__xludf.DUMMYFUNCTION("""COMPUTED_VALUE"""),"IRO DANIEL ABANTO VERA")</f>
        <v>IRO DANIEL ABANTO VERA</v>
      </c>
      <c r="M268" s="146" t="str">
        <f>IFERROR(__xludf.DUMMYFUNCTION("""COMPUTED_VALUE"""),"LA LIBERTAD")</f>
        <v>LA LIBERTAD</v>
      </c>
      <c r="N268" s="146" t="str">
        <f>IFERROR(__xludf.DUMMYFUNCTION("""COMPUTED_VALUE"""),"1 PLAY")</f>
        <v>1 PLAY</v>
      </c>
      <c r="O268" s="146" t="str">
        <f>IFERROR(__xludf.DUMMYFUNCTION("""COMPUTED_VALUE"""),"Campaña Regular")</f>
        <v>Campaña Regular</v>
      </c>
      <c r="P268" s="152">
        <f>IFERROR(__xludf.DUMMYFUNCTION("""COMPUTED_VALUE"""),89.0)</f>
        <v>89</v>
      </c>
      <c r="Q268" s="151">
        <f>IFERROR(__xludf.DUMMYFUNCTION("""COMPUTED_VALUE"""),46254.0)</f>
        <v>46254</v>
      </c>
    </row>
    <row r="269">
      <c r="C269" s="147"/>
      <c r="K269" s="146" t="str">
        <f>IFERROR(__xludf.DUMMYFUNCTION("""COMPUTED_VALUE"""),"18032716")</f>
        <v>18032716</v>
      </c>
      <c r="L269" s="146" t="str">
        <f>IFERROR(__xludf.DUMMYFUNCTION("""COMPUTED_VALUE"""),"HEIDE RENEE BURGA SANCHEZ")</f>
        <v>HEIDE RENEE BURGA SANCHEZ</v>
      </c>
      <c r="M269" s="146" t="str">
        <f>IFERROR(__xludf.DUMMYFUNCTION("""COMPUTED_VALUE"""),"LA LIBERTAD")</f>
        <v>LA LIBERTAD</v>
      </c>
      <c r="N269" s="146" t="str">
        <f>IFERROR(__xludf.DUMMYFUNCTION("""COMPUTED_VALUE"""),"1 PLAY")</f>
        <v>1 PLAY</v>
      </c>
      <c r="O269" s="146" t="str">
        <f>IFERROR(__xludf.DUMMYFUNCTION("""COMPUTED_VALUE"""),"Campaña Regular")</f>
        <v>Campaña Regular</v>
      </c>
      <c r="P269" s="152">
        <f>IFERROR(__xludf.DUMMYFUNCTION("""COMPUTED_VALUE"""),89.0)</f>
        <v>89</v>
      </c>
      <c r="Q269" s="151">
        <f>IFERROR(__xludf.DUMMYFUNCTION("""COMPUTED_VALUE"""),46254.0)</f>
        <v>46254</v>
      </c>
    </row>
    <row r="270">
      <c r="C270" s="147"/>
      <c r="K270" s="146" t="str">
        <f>IFERROR(__xludf.DUMMYFUNCTION("""COMPUTED_VALUE"""),"009044778")</f>
        <v>009044778</v>
      </c>
      <c r="L270" s="146" t="str">
        <f>IFERROR(__xludf.DUMMYFUNCTION("""COMPUTED_VALUE"""),"JOEL JOSE ZAVALA QUIRPA")</f>
        <v>JOEL JOSE ZAVALA QUIRPA</v>
      </c>
      <c r="M270" s="146" t="str">
        <f>IFERROR(__xludf.DUMMYFUNCTION("""COMPUTED_VALUE"""),"LIMA METROPOLITANA")</f>
        <v>LIMA METROPOLITANA</v>
      </c>
      <c r="N270" s="146" t="str">
        <f>IFERROR(__xludf.DUMMYFUNCTION("""COMPUTED_VALUE"""),"1 PLAY")</f>
        <v>1 PLAY</v>
      </c>
      <c r="O270" s="146" t="str">
        <f>IFERROR(__xludf.DUMMYFUNCTION("""COMPUTED_VALUE"""),"Campaña Regular")</f>
        <v>Campaña Regular</v>
      </c>
      <c r="P270" s="152">
        <f>IFERROR(__xludf.DUMMYFUNCTION("""COMPUTED_VALUE"""),69.0)</f>
        <v>69</v>
      </c>
      <c r="Q270" s="151">
        <f>IFERROR(__xludf.DUMMYFUNCTION("""COMPUTED_VALUE"""),46254.0)</f>
        <v>46254</v>
      </c>
    </row>
    <row r="271">
      <c r="C271" s="147"/>
      <c r="K271" s="146" t="str">
        <f>IFERROR(__xludf.DUMMYFUNCTION("""COMPUTED_VALUE"""),"10672363")</f>
        <v>10672363</v>
      </c>
      <c r="L271" s="146" t="str">
        <f>IFERROR(__xludf.DUMMYFUNCTION("""COMPUTED_VALUE"""),"ALBINA SERNA RAMIREZ")</f>
        <v>ALBINA SERNA RAMIREZ</v>
      </c>
      <c r="M271" s="146" t="str">
        <f>IFERROR(__xludf.DUMMYFUNCTION("""COMPUTED_VALUE"""),"LIMA METROPOLITANA")</f>
        <v>LIMA METROPOLITANA</v>
      </c>
      <c r="N271" s="146" t="str">
        <f>IFERROR(__xludf.DUMMYFUNCTION("""COMPUTED_VALUE"""),"1 PLAY")</f>
        <v>1 PLAY</v>
      </c>
      <c r="O271" s="146" t="str">
        <f>IFERROR(__xludf.DUMMYFUNCTION("""COMPUTED_VALUE"""),"Campaña Regular")</f>
        <v>Campaña Regular</v>
      </c>
      <c r="P271" s="152">
        <f>IFERROR(__xludf.DUMMYFUNCTION("""COMPUTED_VALUE"""),89.0)</f>
        <v>89</v>
      </c>
      <c r="Q271" s="151">
        <f>IFERROR(__xludf.DUMMYFUNCTION("""COMPUTED_VALUE"""),46254.0)</f>
        <v>46254</v>
      </c>
    </row>
    <row r="272">
      <c r="C272" s="147"/>
      <c r="K272" s="146" t="str">
        <f>IFERROR(__xludf.DUMMYFUNCTION("""COMPUTED_VALUE"""),"29680041")</f>
        <v>29680041</v>
      </c>
      <c r="L272" s="146" t="str">
        <f>IFERROR(__xludf.DUMMYFUNCTION("""COMPUTED_VALUE"""),"JAIME ERNESTO  LARA QUILLA")</f>
        <v>JAIME ERNESTO  LARA QUILLA</v>
      </c>
      <c r="M272" s="146" t="str">
        <f>IFERROR(__xludf.DUMMYFUNCTION("""COMPUTED_VALUE"""),"AREQUIPA")</f>
        <v>AREQUIPA</v>
      </c>
      <c r="N272" s="146" t="str">
        <f>IFERROR(__xludf.DUMMYFUNCTION("""COMPUTED_VALUE"""),"2 PLAY + TV ESTANDAR")</f>
        <v>2 PLAY + TV ESTANDAR</v>
      </c>
      <c r="O272" s="146" t="str">
        <f>IFERROR(__xludf.DUMMYFUNCTION("""COMPUTED_VALUE"""),"Campaña Regular")</f>
        <v>Campaña Regular</v>
      </c>
      <c r="P272" s="152">
        <f>IFERROR(__xludf.DUMMYFUNCTION("""COMPUTED_VALUE"""),170.0)</f>
        <v>170</v>
      </c>
      <c r="Q272" s="151">
        <f>IFERROR(__xludf.DUMMYFUNCTION("""COMPUTED_VALUE"""),46254.0)</f>
        <v>46254</v>
      </c>
    </row>
    <row r="273">
      <c r="C273" s="147"/>
      <c r="K273" s="146" t="str">
        <f>IFERROR(__xludf.DUMMYFUNCTION("""COMPUTED_VALUE"""),"74133788")</f>
        <v>74133788</v>
      </c>
      <c r="L273" s="146" t="str">
        <f>IFERROR(__xludf.DUMMYFUNCTION("""COMPUTED_VALUE"""),"MANUEL JESUS  PEDEMONTE  MOSCOSO")</f>
        <v>MANUEL JESUS  PEDEMONTE  MOSCOSO</v>
      </c>
      <c r="M273" s="146" t="str">
        <f>IFERROR(__xludf.DUMMYFUNCTION("""COMPUTED_VALUE"""),"LIMA METROPOLITANA")</f>
        <v>LIMA METROPOLITANA</v>
      </c>
      <c r="N273" s="146" t="str">
        <f>IFERROR(__xludf.DUMMYFUNCTION("""COMPUTED_VALUE"""),"1 PLAY")</f>
        <v>1 PLAY</v>
      </c>
      <c r="O273" s="146" t="str">
        <f>IFERROR(__xludf.DUMMYFUNCTION("""COMPUTED_VALUE"""),"Campaña Regular")</f>
        <v>Campaña Regular</v>
      </c>
      <c r="P273" s="152">
        <f>IFERROR(__xludf.DUMMYFUNCTION("""COMPUTED_VALUE"""),89.0)</f>
        <v>89</v>
      </c>
      <c r="Q273" s="151">
        <f>IFERROR(__xludf.DUMMYFUNCTION("""COMPUTED_VALUE"""),46254.0)</f>
        <v>46254</v>
      </c>
    </row>
    <row r="274">
      <c r="C274" s="147"/>
      <c r="K274" s="146" t="str">
        <f>IFERROR(__xludf.DUMMYFUNCTION("""COMPUTED_VALUE"""),"42127190 ")</f>
        <v>42127190 </v>
      </c>
      <c r="L274" s="146" t="str">
        <f>IFERROR(__xludf.DUMMYFUNCTION("""COMPUTED_VALUE"""),"KRUPUSKAYA FIGUEROA YABAR")</f>
        <v>KRUPUSKAYA FIGUEROA YABAR</v>
      </c>
      <c r="M274" s="146" t="str">
        <f>IFERROR(__xludf.DUMMYFUNCTION("""COMPUTED_VALUE"""),"LIMA METROPOLITANA")</f>
        <v>LIMA METROPOLITANA</v>
      </c>
      <c r="N274" s="146" t="str">
        <f>IFERROR(__xludf.DUMMYFUNCTION("""COMPUTED_VALUE"""),"1 PLAY")</f>
        <v>1 PLAY</v>
      </c>
      <c r="O274" s="146" t="str">
        <f>IFERROR(__xludf.DUMMYFUNCTION("""COMPUTED_VALUE"""),"Campaña Regular")</f>
        <v>Campaña Regular</v>
      </c>
      <c r="P274" s="152">
        <f>IFERROR(__xludf.DUMMYFUNCTION("""COMPUTED_VALUE"""),89.0)</f>
        <v>89</v>
      </c>
      <c r="Q274" s="151">
        <f>IFERROR(__xludf.DUMMYFUNCTION("""COMPUTED_VALUE"""),46255.0)</f>
        <v>46255</v>
      </c>
    </row>
    <row r="275">
      <c r="C275" s="147"/>
      <c r="K275" s="146" t="str">
        <f>IFERROR(__xludf.DUMMYFUNCTION("""COMPUTED_VALUE"""),"29621072")</f>
        <v>29621072</v>
      </c>
      <c r="L275" s="146" t="str">
        <f>IFERROR(__xludf.DUMMYFUNCTION("""COMPUTED_VALUE"""),"ARTURO FERNANDO CHOQUE LLACHO")</f>
        <v>ARTURO FERNANDO CHOQUE LLACHO</v>
      </c>
      <c r="M275" s="146" t="str">
        <f>IFERROR(__xludf.DUMMYFUNCTION("""COMPUTED_VALUE"""),"CUSCO")</f>
        <v>CUSCO</v>
      </c>
      <c r="N275" s="146" t="str">
        <f>IFERROR(__xludf.DUMMYFUNCTION("""COMPUTED_VALUE"""),"2PLAY + TELF")</f>
        <v>2PLAY + TELF</v>
      </c>
      <c r="O275" s="146" t="str">
        <f>IFERROR(__xludf.DUMMYFUNCTION("""COMPUTED_VALUE"""),"Campaña Regular")</f>
        <v>Campaña Regular</v>
      </c>
      <c r="P275" s="152">
        <f>IFERROR(__xludf.DUMMYFUNCTION("""COMPUTED_VALUE"""),94.0)</f>
        <v>94</v>
      </c>
      <c r="Q275" s="151">
        <f>IFERROR(__xludf.DUMMYFUNCTION("""COMPUTED_VALUE"""),46255.0)</f>
        <v>46255</v>
      </c>
    </row>
    <row r="276">
      <c r="C276" s="147"/>
      <c r="K276" s="146" t="str">
        <f>IFERROR(__xludf.DUMMYFUNCTION("""COMPUTED_VALUE"""),"25579553")</f>
        <v>25579553</v>
      </c>
      <c r="L276" s="146" t="str">
        <f>IFERROR(__xludf.DUMMYFUNCTION("""COMPUTED_VALUE"""),"CARMEN PAULINA CORRALES")</f>
        <v>CARMEN PAULINA CORRALES</v>
      </c>
      <c r="M276" s="146" t="str">
        <f>IFERROR(__xludf.DUMMYFUNCTION("""COMPUTED_VALUE"""),"CALLAO")</f>
        <v>CALLAO</v>
      </c>
      <c r="N276" s="146" t="str">
        <f>IFERROR(__xludf.DUMMYFUNCTION("""COMPUTED_VALUE"""),"2 PLAY + TV ESTANDAR")</f>
        <v>2 PLAY + TV ESTANDAR</v>
      </c>
      <c r="O276" s="146" t="str">
        <f>IFERROR(__xludf.DUMMYFUNCTION("""COMPUTED_VALUE"""),"Campaña Regular")</f>
        <v>Campaña Regular</v>
      </c>
      <c r="P276" s="152">
        <f>IFERROR(__xludf.DUMMYFUNCTION("""COMPUTED_VALUE"""),150.0)</f>
        <v>150</v>
      </c>
      <c r="Q276" s="151">
        <f>IFERROR(__xludf.DUMMYFUNCTION("""COMPUTED_VALUE"""),46255.0)</f>
        <v>46255</v>
      </c>
    </row>
    <row r="277">
      <c r="C277" s="147"/>
      <c r="K277" s="146" t="str">
        <f>IFERROR(__xludf.DUMMYFUNCTION("""COMPUTED_VALUE"""),"46916302")</f>
        <v>46916302</v>
      </c>
      <c r="L277" s="146" t="str">
        <f>IFERROR(__xludf.DUMMYFUNCTION("""COMPUTED_VALUE"""),"ROMEL RANDY DELGADO QUISPE")</f>
        <v>ROMEL RANDY DELGADO QUISPE</v>
      </c>
      <c r="M277" s="146" t="str">
        <f>IFERROR(__xludf.DUMMYFUNCTION("""COMPUTED_VALUE"""),"AREQUIPA")</f>
        <v>AREQUIPA</v>
      </c>
      <c r="N277" s="146" t="str">
        <f>IFERROR(__xludf.DUMMYFUNCTION("""COMPUTED_VALUE"""),"1 PLAY")</f>
        <v>1 PLAY</v>
      </c>
      <c r="O277" s="146" t="str">
        <f>IFERROR(__xludf.DUMMYFUNCTION("""COMPUTED_VALUE"""),"Campaña Regular")</f>
        <v>Campaña Regular</v>
      </c>
      <c r="P277" s="152">
        <f>IFERROR(__xludf.DUMMYFUNCTION("""COMPUTED_VALUE"""),89.0)</f>
        <v>89</v>
      </c>
      <c r="Q277" s="151">
        <f>IFERROR(__xludf.DUMMYFUNCTION("""COMPUTED_VALUE"""),46255.0)</f>
        <v>46255</v>
      </c>
    </row>
    <row r="278">
      <c r="C278" s="147"/>
      <c r="K278" s="146" t="str">
        <f>IFERROR(__xludf.DUMMYFUNCTION("""COMPUTED_VALUE"""),"44043404")</f>
        <v>44043404</v>
      </c>
      <c r="L278" s="146" t="str">
        <f>IFERROR(__xludf.DUMMYFUNCTION("""COMPUTED_VALUE"""),"ROSARIO ROCA ORE")</f>
        <v>ROSARIO ROCA ORE</v>
      </c>
      <c r="M278" s="146" t="str">
        <f>IFERROR(__xludf.DUMMYFUNCTION("""COMPUTED_VALUE"""),"AREQUIPA")</f>
        <v>AREQUIPA</v>
      </c>
      <c r="N278" s="146" t="str">
        <f>IFERROR(__xludf.DUMMYFUNCTION("""COMPUTED_VALUE"""),"2 PLAY + TV ESTANDAR")</f>
        <v>2 PLAY + TV ESTANDAR</v>
      </c>
      <c r="O278" s="146" t="str">
        <f>IFERROR(__xludf.DUMMYFUNCTION("""COMPUTED_VALUE"""),"Campaña Regular")</f>
        <v>Campaña Regular</v>
      </c>
      <c r="P278" s="152">
        <f>IFERROR(__xludf.DUMMYFUNCTION("""COMPUTED_VALUE"""),150.0)</f>
        <v>150</v>
      </c>
      <c r="Q278" s="151">
        <f>IFERROR(__xludf.DUMMYFUNCTION("""COMPUTED_VALUE"""),46255.0)</f>
        <v>46255</v>
      </c>
    </row>
    <row r="279">
      <c r="C279" s="147"/>
      <c r="K279" s="146" t="str">
        <f>IFERROR(__xludf.DUMMYFUNCTION("""COMPUTED_VALUE"""),"21114338")</f>
        <v>21114338</v>
      </c>
      <c r="L279" s="146" t="str">
        <f>IFERROR(__xludf.DUMMYFUNCTION("""COMPUTED_VALUE"""),"KLINFORD JUAN VILCHEZ ARELLANO")</f>
        <v>KLINFORD JUAN VILCHEZ ARELLANO</v>
      </c>
      <c r="M279" s="146" t="str">
        <f>IFERROR(__xludf.DUMMYFUNCTION("""COMPUTED_VALUE"""),"LIMA METROPOLITANA")</f>
        <v>LIMA METROPOLITANA</v>
      </c>
      <c r="N279" s="146" t="str">
        <f>IFERROR(__xludf.DUMMYFUNCTION("""COMPUTED_VALUE"""),"1 PLAY")</f>
        <v>1 PLAY</v>
      </c>
      <c r="O279" s="146" t="str">
        <f>IFERROR(__xludf.DUMMYFUNCTION("""COMPUTED_VALUE"""),"Campaña Regular")</f>
        <v>Campaña Regular</v>
      </c>
      <c r="P279" s="152">
        <f>IFERROR(__xludf.DUMMYFUNCTION("""COMPUTED_VALUE"""),89.0)</f>
        <v>89</v>
      </c>
      <c r="Q279" s="151">
        <f>IFERROR(__xludf.DUMMYFUNCTION("""COMPUTED_VALUE"""),46255.0)</f>
        <v>46255</v>
      </c>
    </row>
    <row r="280">
      <c r="C280" s="147"/>
      <c r="K280" s="146" t="str">
        <f>IFERROR(__xludf.DUMMYFUNCTION("""COMPUTED_VALUE"""),"10630205")</f>
        <v>10630205</v>
      </c>
      <c r="L280" s="146" t="str">
        <f>IFERROR(__xludf.DUMMYFUNCTION("""COMPUTED_VALUE""")," MONICA PILAR CALDERON DURAND")</f>
        <v> MONICA PILAR CALDERON DURAND</v>
      </c>
      <c r="M280" s="146" t="str">
        <f>IFERROR(__xludf.DUMMYFUNCTION("""COMPUTED_VALUE"""),"LIMA METROPOLITANA")</f>
        <v>LIMA METROPOLITANA</v>
      </c>
      <c r="N280" s="146" t="str">
        <f>IFERROR(__xludf.DUMMYFUNCTION("""COMPUTED_VALUE"""),"1 PLAY")</f>
        <v>1 PLAY</v>
      </c>
      <c r="O280" s="146" t="str">
        <f>IFERROR(__xludf.DUMMYFUNCTION("""COMPUTED_VALUE"""),"Campaña Regular")</f>
        <v>Campaña Regular</v>
      </c>
      <c r="P280" s="152">
        <f>IFERROR(__xludf.DUMMYFUNCTION("""COMPUTED_VALUE"""),89.0)</f>
        <v>89</v>
      </c>
      <c r="Q280" s="151">
        <f>IFERROR(__xludf.DUMMYFUNCTION("""COMPUTED_VALUE"""),46255.0)</f>
        <v>46255</v>
      </c>
    </row>
    <row r="281">
      <c r="C281" s="147"/>
      <c r="K281" s="146" t="str">
        <f>IFERROR(__xludf.DUMMYFUNCTION("""COMPUTED_VALUE"""),"44559029")</f>
        <v>44559029</v>
      </c>
      <c r="L281" s="146" t="str">
        <f>IFERROR(__xludf.DUMMYFUNCTION("""COMPUTED_VALUE"""),"JAANS AYALA GARAUNDO")</f>
        <v>JAANS AYALA GARAUNDO</v>
      </c>
      <c r="M281" s="146" t="str">
        <f>IFERROR(__xludf.DUMMYFUNCTION("""COMPUTED_VALUE"""),"CUSCO")</f>
        <v>CUSCO</v>
      </c>
      <c r="N281" s="146" t="str">
        <f>IFERROR(__xludf.DUMMYFUNCTION("""COMPUTED_VALUE"""),"1 PLAY")</f>
        <v>1 PLAY</v>
      </c>
      <c r="O281" s="146" t="str">
        <f>IFERROR(__xludf.DUMMYFUNCTION("""COMPUTED_VALUE"""),"Campaña Regular")</f>
        <v>Campaña Regular</v>
      </c>
      <c r="P281" s="152">
        <f>IFERROR(__xludf.DUMMYFUNCTION("""COMPUTED_VALUE"""),84.0)</f>
        <v>84</v>
      </c>
      <c r="Q281" s="151">
        <f>IFERROR(__xludf.DUMMYFUNCTION("""COMPUTED_VALUE"""),46255.0)</f>
        <v>46255</v>
      </c>
    </row>
    <row r="282">
      <c r="C282" s="147"/>
      <c r="K282" s="146" t="str">
        <f>IFERROR(__xludf.DUMMYFUNCTION("""COMPUTED_VALUE"""),"31637733")</f>
        <v>31637733</v>
      </c>
      <c r="L282" s="146" t="str">
        <f>IFERROR(__xludf.DUMMYFUNCTION("""COMPUTED_VALUE"""),"LEOCADIA VALERIA CORDOVA SARZOZA")</f>
        <v>LEOCADIA VALERIA CORDOVA SARZOZA</v>
      </c>
      <c r="M282" s="146" t="str">
        <f>IFERROR(__xludf.DUMMYFUNCTION("""COMPUTED_VALUE"""),"ANCASH")</f>
        <v>ANCASH</v>
      </c>
      <c r="N282" s="146" t="str">
        <f>IFERROR(__xludf.DUMMYFUNCTION("""COMPUTED_VALUE"""),"2 PLAY + TV ESTANDAR")</f>
        <v>2 PLAY + TV ESTANDAR</v>
      </c>
      <c r="O282" s="146" t="str">
        <f>IFERROR(__xludf.DUMMYFUNCTION("""COMPUTED_VALUE"""),"Campaña Regular")</f>
        <v>Campaña Regular</v>
      </c>
      <c r="P282" s="152">
        <f>IFERROR(__xludf.DUMMYFUNCTION("""COMPUTED_VALUE"""),150.0)</f>
        <v>150</v>
      </c>
      <c r="Q282" s="151">
        <f>IFERROR(__xludf.DUMMYFUNCTION("""COMPUTED_VALUE"""),46256.0)</f>
        <v>46256</v>
      </c>
    </row>
    <row r="283">
      <c r="C283" s="147"/>
      <c r="K283" s="146" t="str">
        <f>IFERROR(__xludf.DUMMYFUNCTION("""COMPUTED_VALUE"""),"08345498")</f>
        <v>08345498</v>
      </c>
      <c r="L283" s="146" t="str">
        <f>IFERROR(__xludf.DUMMYFUNCTION("""COMPUTED_VALUE"""),"LUZ VICTORIA VINCES CRISANTO")</f>
        <v>LUZ VICTORIA VINCES CRISANTO</v>
      </c>
      <c r="M283" s="146" t="str">
        <f>IFERROR(__xludf.DUMMYFUNCTION("""COMPUTED_VALUE"""),"LIMA METROPOLITANA")</f>
        <v>LIMA METROPOLITANA</v>
      </c>
      <c r="N283" s="146" t="str">
        <f>IFERROR(__xludf.DUMMYFUNCTION("""COMPUTED_VALUE"""),"2 PLAY + TV ESTANDAR")</f>
        <v>2 PLAY + TV ESTANDAR</v>
      </c>
      <c r="O283" s="146" t="str">
        <f>IFERROR(__xludf.DUMMYFUNCTION("""COMPUTED_VALUE"""),"Campaña Regular")</f>
        <v>Campaña Regular</v>
      </c>
      <c r="P283" s="152">
        <f>IFERROR(__xludf.DUMMYFUNCTION("""COMPUTED_VALUE"""),150.0)</f>
        <v>150</v>
      </c>
      <c r="Q283" s="151">
        <f>IFERROR(__xludf.DUMMYFUNCTION("""COMPUTED_VALUE"""),46256.0)</f>
        <v>46256</v>
      </c>
    </row>
    <row r="284">
      <c r="C284" s="147"/>
      <c r="K284" s="146" t="str">
        <f>IFERROR(__xludf.DUMMYFUNCTION("""COMPUTED_VALUE"""),"08694352")</f>
        <v>08694352</v>
      </c>
      <c r="L284" s="146" t="str">
        <f>IFERROR(__xludf.DUMMYFUNCTION("""COMPUTED_VALUE"""),"OFELIA JASMINA VALERA SANCHEZ")</f>
        <v>OFELIA JASMINA VALERA SANCHEZ</v>
      </c>
      <c r="M284" s="146" t="str">
        <f>IFERROR(__xludf.DUMMYFUNCTION("""COMPUTED_VALUE"""),"CALLAO")</f>
        <v>CALLAO</v>
      </c>
      <c r="N284" s="146" t="str">
        <f>IFERROR(__xludf.DUMMYFUNCTION("""COMPUTED_VALUE"""),"2 PLAY + TV ESTANDAR")</f>
        <v>2 PLAY + TV ESTANDAR</v>
      </c>
      <c r="O284" s="146" t="str">
        <f>IFERROR(__xludf.DUMMYFUNCTION("""COMPUTED_VALUE"""),"Campaña Regular")</f>
        <v>Campaña Regular</v>
      </c>
      <c r="P284" s="152">
        <f>IFERROR(__xludf.DUMMYFUNCTION("""COMPUTED_VALUE"""),150.0)</f>
        <v>150</v>
      </c>
      <c r="Q284" s="151">
        <f>IFERROR(__xludf.DUMMYFUNCTION("""COMPUTED_VALUE"""),46256.0)</f>
        <v>46256</v>
      </c>
    </row>
    <row r="285">
      <c r="C285" s="147"/>
      <c r="K285" s="146" t="str">
        <f>IFERROR(__xludf.DUMMYFUNCTION("""COMPUTED_VALUE"""),"06243031")</f>
        <v>06243031</v>
      </c>
      <c r="L285" s="146" t="str">
        <f>IFERROR(__xludf.DUMMYFUNCTION("""COMPUTED_VALUE"""),"MIROPE HUALBERTO ROBLES DE LA CRUZ")</f>
        <v>MIROPE HUALBERTO ROBLES DE LA CRUZ</v>
      </c>
      <c r="M285" s="146" t="str">
        <f>IFERROR(__xludf.DUMMYFUNCTION("""COMPUTED_VALUE"""),"LA LIBERTAD")</f>
        <v>LA LIBERTAD</v>
      </c>
      <c r="N285" s="146" t="str">
        <f>IFERROR(__xludf.DUMMYFUNCTION("""COMPUTED_VALUE"""),"2 PLAY + TV ESTANDAR")</f>
        <v>2 PLAY + TV ESTANDAR</v>
      </c>
      <c r="O285" s="146" t="str">
        <f>IFERROR(__xludf.DUMMYFUNCTION("""COMPUTED_VALUE"""),"Campaña Regular")</f>
        <v>Campaña Regular</v>
      </c>
      <c r="P285" s="152">
        <f>IFERROR(__xludf.DUMMYFUNCTION("""COMPUTED_VALUE"""),150.0)</f>
        <v>150</v>
      </c>
      <c r="Q285" s="151">
        <f>IFERROR(__xludf.DUMMYFUNCTION("""COMPUTED_VALUE"""),46256.0)</f>
        <v>46256</v>
      </c>
    </row>
    <row r="286">
      <c r="C286" s="147"/>
      <c r="K286" s="146" t="str">
        <f>IFERROR(__xludf.DUMMYFUNCTION("""COMPUTED_VALUE"""),"45649685")</f>
        <v>45649685</v>
      </c>
      <c r="L286" s="146" t="str">
        <f>IFERROR(__xludf.DUMMYFUNCTION("""COMPUTED_VALUE"""),"JUAN CARLOS RENGIFO PEREZ")</f>
        <v>JUAN CARLOS RENGIFO PEREZ</v>
      </c>
      <c r="M286" s="146" t="str">
        <f>IFERROR(__xludf.DUMMYFUNCTION("""COMPUTED_VALUE"""),"UCAYALI")</f>
        <v>UCAYALI</v>
      </c>
      <c r="N286" s="146" t="str">
        <f>IFERROR(__xludf.DUMMYFUNCTION("""COMPUTED_VALUE"""),"1 PLAY")</f>
        <v>1 PLAY</v>
      </c>
      <c r="O286" s="146" t="str">
        <f>IFERROR(__xludf.DUMMYFUNCTION("""COMPUTED_VALUE"""),"Campaña Regular")</f>
        <v>Campaña Regular</v>
      </c>
      <c r="P286" s="152">
        <f>IFERROR(__xludf.DUMMYFUNCTION("""COMPUTED_VALUE"""),89.0)</f>
        <v>89</v>
      </c>
      <c r="Q286" s="151">
        <f>IFERROR(__xludf.DUMMYFUNCTION("""COMPUTED_VALUE"""),46258.0)</f>
        <v>46258</v>
      </c>
    </row>
    <row r="287">
      <c r="C287" s="147"/>
      <c r="K287" s="146" t="str">
        <f>IFERROR(__xludf.DUMMYFUNCTION("""COMPUTED_VALUE"""),"61327070")</f>
        <v>61327070</v>
      </c>
      <c r="L287" s="146" t="str">
        <f>IFERROR(__xludf.DUMMYFUNCTION("""COMPUTED_VALUE"""),"DERICK ANDRES HUAYTA ROQUE")</f>
        <v>DERICK ANDRES HUAYTA ROQUE</v>
      </c>
      <c r="M287" s="146" t="str">
        <f>IFERROR(__xludf.DUMMYFUNCTION("""COMPUTED_VALUE"""),"AREQUIPA")</f>
        <v>AREQUIPA</v>
      </c>
      <c r="N287" s="146" t="str">
        <f>IFERROR(__xludf.DUMMYFUNCTION("""COMPUTED_VALUE"""),"1 PLAY")</f>
        <v>1 PLAY</v>
      </c>
      <c r="O287" s="146" t="str">
        <f>IFERROR(__xludf.DUMMYFUNCTION("""COMPUTED_VALUE"""),"Campaña Regular")</f>
        <v>Campaña Regular</v>
      </c>
      <c r="P287" s="152">
        <f>IFERROR(__xludf.DUMMYFUNCTION("""COMPUTED_VALUE"""),89.0)</f>
        <v>89</v>
      </c>
      <c r="Q287" s="151">
        <f>IFERROR(__xludf.DUMMYFUNCTION("""COMPUTED_VALUE"""),46258.0)</f>
        <v>46258</v>
      </c>
    </row>
    <row r="288">
      <c r="C288" s="147"/>
    </row>
    <row r="289">
      <c r="C289" s="147"/>
    </row>
    <row r="290">
      <c r="C290" s="147"/>
    </row>
    <row r="291">
      <c r="C291" s="147"/>
    </row>
    <row r="292">
      <c r="C292" s="147"/>
    </row>
    <row r="293">
      <c r="C293" s="147"/>
    </row>
    <row r="294">
      <c r="C294" s="147"/>
    </row>
    <row r="295">
      <c r="C295" s="147"/>
    </row>
    <row r="296">
      <c r="C296" s="147"/>
    </row>
    <row r="297">
      <c r="C297" s="147"/>
    </row>
    <row r="298">
      <c r="C298" s="147"/>
    </row>
    <row r="299">
      <c r="C299" s="147"/>
    </row>
    <row r="300">
      <c r="C300" s="147"/>
    </row>
    <row r="301">
      <c r="C301" s="147"/>
    </row>
    <row r="302">
      <c r="C302" s="147"/>
    </row>
    <row r="303">
      <c r="C303" s="147"/>
    </row>
    <row r="304">
      <c r="C304" s="147"/>
    </row>
    <row r="305">
      <c r="C305" s="147"/>
    </row>
    <row r="306">
      <c r="C306" s="147"/>
    </row>
    <row r="307">
      <c r="C307" s="147"/>
    </row>
    <row r="308">
      <c r="C308" s="147"/>
    </row>
    <row r="309">
      <c r="C309" s="147"/>
    </row>
    <row r="310">
      <c r="C310" s="147"/>
    </row>
    <row r="311">
      <c r="C311" s="147"/>
    </row>
    <row r="312">
      <c r="C312" s="147"/>
    </row>
    <row r="313">
      <c r="C313" s="147"/>
    </row>
    <row r="314">
      <c r="C314" s="147"/>
    </row>
    <row r="315">
      <c r="C315" s="147"/>
    </row>
    <row r="316">
      <c r="C316" s="147"/>
    </row>
    <row r="317">
      <c r="C317" s="147"/>
    </row>
    <row r="318">
      <c r="C318" s="147"/>
    </row>
    <row r="319">
      <c r="C319" s="147"/>
    </row>
    <row r="320">
      <c r="C320" s="147"/>
    </row>
    <row r="321">
      <c r="C321" s="147"/>
    </row>
    <row r="322">
      <c r="C322" s="147"/>
    </row>
    <row r="323">
      <c r="C323" s="147"/>
    </row>
    <row r="324">
      <c r="C324" s="147"/>
    </row>
    <row r="325">
      <c r="C325" s="147"/>
    </row>
    <row r="326">
      <c r="C326" s="147"/>
    </row>
    <row r="327">
      <c r="C327" s="147"/>
    </row>
    <row r="328">
      <c r="C328" s="147"/>
    </row>
    <row r="329">
      <c r="C329" s="147"/>
    </row>
    <row r="330">
      <c r="C330" s="147"/>
    </row>
    <row r="331">
      <c r="C331" s="147"/>
    </row>
    <row r="332">
      <c r="C332" s="147"/>
    </row>
    <row r="333">
      <c r="C333" s="147"/>
    </row>
    <row r="334">
      <c r="C334" s="147"/>
    </row>
    <row r="335">
      <c r="C335" s="147"/>
    </row>
    <row r="336">
      <c r="C336" s="147"/>
    </row>
    <row r="337">
      <c r="C337" s="147"/>
    </row>
    <row r="338">
      <c r="C338" s="147"/>
    </row>
    <row r="339">
      <c r="C339" s="147"/>
    </row>
    <row r="340">
      <c r="C340" s="147"/>
    </row>
    <row r="341">
      <c r="C341" s="147"/>
    </row>
    <row r="342">
      <c r="C342" s="147"/>
    </row>
    <row r="343">
      <c r="C343" s="147"/>
    </row>
    <row r="344">
      <c r="C344" s="147"/>
    </row>
    <row r="345">
      <c r="C345" s="147"/>
    </row>
    <row r="346">
      <c r="C346" s="147"/>
    </row>
    <row r="347">
      <c r="C347" s="147"/>
    </row>
    <row r="348">
      <c r="C348" s="147"/>
    </row>
    <row r="349">
      <c r="C349" s="147"/>
    </row>
    <row r="350">
      <c r="C350" s="147"/>
    </row>
    <row r="351">
      <c r="C351" s="147"/>
    </row>
    <row r="352">
      <c r="C352" s="147"/>
    </row>
    <row r="353">
      <c r="C353" s="147"/>
    </row>
    <row r="354">
      <c r="C354" s="147"/>
    </row>
    <row r="355">
      <c r="C355" s="147"/>
    </row>
    <row r="356">
      <c r="C356" s="147"/>
    </row>
    <row r="357">
      <c r="C357" s="147"/>
    </row>
    <row r="358">
      <c r="C358" s="147"/>
    </row>
    <row r="359">
      <c r="C359" s="147"/>
    </row>
    <row r="360">
      <c r="C360" s="147"/>
    </row>
    <row r="361">
      <c r="C361" s="147"/>
    </row>
    <row r="362">
      <c r="C362" s="147"/>
    </row>
    <row r="363">
      <c r="C363" s="147"/>
    </row>
    <row r="364">
      <c r="C364" s="147"/>
    </row>
    <row r="365">
      <c r="C365" s="147"/>
    </row>
    <row r="366">
      <c r="C366" s="147"/>
    </row>
    <row r="367">
      <c r="C367" s="147"/>
    </row>
    <row r="368">
      <c r="C368" s="147"/>
    </row>
    <row r="369">
      <c r="C369" s="147"/>
    </row>
    <row r="370">
      <c r="C370" s="147"/>
    </row>
    <row r="371">
      <c r="C371" s="147"/>
    </row>
    <row r="372">
      <c r="C372" s="147"/>
    </row>
    <row r="373">
      <c r="C373" s="147"/>
    </row>
    <row r="374">
      <c r="C374" s="147"/>
    </row>
    <row r="375">
      <c r="C375" s="147"/>
    </row>
    <row r="376">
      <c r="C376" s="147"/>
    </row>
    <row r="377">
      <c r="C377" s="147"/>
    </row>
    <row r="378">
      <c r="C378" s="147"/>
    </row>
    <row r="379">
      <c r="C379" s="147"/>
    </row>
    <row r="380">
      <c r="C380" s="147"/>
    </row>
    <row r="381">
      <c r="C381" s="147"/>
    </row>
    <row r="382">
      <c r="C382" s="147"/>
    </row>
    <row r="383">
      <c r="C383" s="147"/>
    </row>
    <row r="384">
      <c r="C384" s="147"/>
    </row>
    <row r="385">
      <c r="C385" s="147"/>
    </row>
    <row r="386">
      <c r="C386" s="147"/>
    </row>
    <row r="387">
      <c r="C387" s="147"/>
    </row>
    <row r="388">
      <c r="C388" s="147"/>
    </row>
    <row r="389">
      <c r="C389" s="147"/>
    </row>
    <row r="390">
      <c r="C390" s="147"/>
    </row>
    <row r="391">
      <c r="C391" s="147"/>
    </row>
    <row r="392">
      <c r="C392" s="147"/>
    </row>
    <row r="393">
      <c r="C393" s="147"/>
    </row>
    <row r="394">
      <c r="C394" s="147"/>
    </row>
    <row r="395">
      <c r="C395" s="147"/>
    </row>
    <row r="396">
      <c r="C396" s="147"/>
    </row>
    <row r="397">
      <c r="C397" s="147"/>
    </row>
    <row r="398">
      <c r="C398" s="147"/>
    </row>
    <row r="399">
      <c r="C399" s="147"/>
    </row>
    <row r="400">
      <c r="C400" s="147"/>
    </row>
    <row r="401">
      <c r="C401" s="147"/>
    </row>
    <row r="402">
      <c r="C402" s="147"/>
    </row>
    <row r="403">
      <c r="C403" s="147"/>
    </row>
    <row r="404">
      <c r="C404" s="147"/>
    </row>
    <row r="405">
      <c r="C405" s="147"/>
    </row>
    <row r="406">
      <c r="C406" s="147"/>
    </row>
    <row r="407">
      <c r="C407" s="147"/>
    </row>
    <row r="408">
      <c r="C408" s="147"/>
    </row>
    <row r="409">
      <c r="C409" s="147"/>
    </row>
    <row r="410">
      <c r="C410" s="147"/>
    </row>
    <row r="411">
      <c r="C411" s="147"/>
    </row>
    <row r="412">
      <c r="C412" s="147"/>
    </row>
    <row r="413">
      <c r="C413" s="147"/>
    </row>
    <row r="414">
      <c r="C414" s="147"/>
    </row>
    <row r="415">
      <c r="C415" s="147"/>
    </row>
    <row r="416">
      <c r="C416" s="147"/>
    </row>
    <row r="417">
      <c r="C417" s="147"/>
    </row>
    <row r="418">
      <c r="C418" s="147"/>
    </row>
    <row r="419">
      <c r="C419" s="147"/>
    </row>
    <row r="420">
      <c r="C420" s="147"/>
    </row>
    <row r="421">
      <c r="C421" s="147"/>
    </row>
    <row r="422">
      <c r="C422" s="147"/>
    </row>
    <row r="423">
      <c r="C423" s="147"/>
    </row>
    <row r="424">
      <c r="C424" s="147"/>
    </row>
    <row r="425">
      <c r="C425" s="147"/>
    </row>
    <row r="426">
      <c r="C426" s="147"/>
    </row>
    <row r="427">
      <c r="C427" s="147"/>
    </row>
    <row r="428">
      <c r="C428" s="147"/>
    </row>
    <row r="429">
      <c r="C429" s="147"/>
    </row>
    <row r="430">
      <c r="C430" s="147"/>
    </row>
    <row r="431">
      <c r="C431" s="147"/>
    </row>
    <row r="432">
      <c r="C432" s="147"/>
    </row>
    <row r="433">
      <c r="C433" s="147"/>
    </row>
    <row r="434">
      <c r="C434" s="147"/>
    </row>
    <row r="435">
      <c r="C435" s="147"/>
    </row>
    <row r="436">
      <c r="C436" s="147"/>
    </row>
    <row r="437">
      <c r="C437" s="147"/>
    </row>
    <row r="438">
      <c r="C438" s="147"/>
    </row>
    <row r="439">
      <c r="C439" s="147"/>
    </row>
    <row r="440">
      <c r="C440" s="147"/>
    </row>
    <row r="441">
      <c r="C441" s="147"/>
    </row>
    <row r="442">
      <c r="C442" s="147"/>
    </row>
    <row r="443">
      <c r="C443" s="147"/>
    </row>
    <row r="444">
      <c r="C444" s="147"/>
    </row>
    <row r="445">
      <c r="C445" s="147"/>
    </row>
    <row r="446">
      <c r="C446" s="147"/>
    </row>
    <row r="447">
      <c r="C447" s="147"/>
    </row>
    <row r="448">
      <c r="C448" s="147"/>
    </row>
    <row r="449">
      <c r="C449" s="147"/>
    </row>
    <row r="450">
      <c r="C450" s="147"/>
    </row>
    <row r="451">
      <c r="C451" s="147"/>
    </row>
    <row r="452">
      <c r="C452" s="147"/>
    </row>
    <row r="453">
      <c r="C453" s="147"/>
    </row>
    <row r="454">
      <c r="C454" s="147"/>
    </row>
    <row r="455">
      <c r="C455" s="147"/>
    </row>
    <row r="456">
      <c r="C456" s="147"/>
    </row>
    <row r="457">
      <c r="C457" s="147"/>
    </row>
    <row r="458">
      <c r="C458" s="147"/>
    </row>
    <row r="459">
      <c r="C459" s="147"/>
    </row>
    <row r="460">
      <c r="C460" s="147"/>
    </row>
    <row r="461">
      <c r="C461" s="147"/>
    </row>
    <row r="462">
      <c r="C462" s="147"/>
    </row>
    <row r="463">
      <c r="C463" s="147"/>
    </row>
    <row r="464">
      <c r="C464" s="147"/>
    </row>
    <row r="465">
      <c r="C465" s="147"/>
    </row>
    <row r="466">
      <c r="C466" s="147"/>
    </row>
    <row r="467">
      <c r="C467" s="147"/>
    </row>
    <row r="468">
      <c r="C468" s="147"/>
    </row>
    <row r="469">
      <c r="C469" s="147"/>
    </row>
    <row r="470">
      <c r="C470" s="147"/>
    </row>
    <row r="471">
      <c r="C471" s="147"/>
    </row>
    <row r="472">
      <c r="C472" s="147"/>
    </row>
    <row r="473">
      <c r="C473" s="147"/>
    </row>
    <row r="474">
      <c r="C474" s="147"/>
    </row>
    <row r="475">
      <c r="C475" s="147"/>
    </row>
    <row r="476">
      <c r="C476" s="147"/>
    </row>
    <row r="477">
      <c r="C477" s="147"/>
    </row>
    <row r="478">
      <c r="C478" s="147"/>
    </row>
    <row r="479">
      <c r="C479" s="147"/>
    </row>
    <row r="480">
      <c r="C480" s="147"/>
    </row>
    <row r="481">
      <c r="C481" s="147"/>
    </row>
    <row r="482">
      <c r="C482" s="147"/>
    </row>
    <row r="483">
      <c r="C483" s="147"/>
    </row>
    <row r="484">
      <c r="C484" s="147"/>
    </row>
    <row r="485">
      <c r="C485" s="147"/>
    </row>
    <row r="486">
      <c r="C486" s="147"/>
    </row>
    <row r="487">
      <c r="C487" s="147"/>
    </row>
    <row r="488">
      <c r="C488" s="147"/>
    </row>
    <row r="489">
      <c r="C489" s="147"/>
    </row>
    <row r="490">
      <c r="C490" s="147"/>
    </row>
    <row r="491">
      <c r="C491" s="147"/>
    </row>
    <row r="492">
      <c r="C492" s="147"/>
    </row>
    <row r="493">
      <c r="C493" s="147"/>
    </row>
    <row r="494">
      <c r="C494" s="147"/>
    </row>
    <row r="495">
      <c r="C495" s="147"/>
    </row>
    <row r="496">
      <c r="C496" s="147"/>
    </row>
    <row r="497">
      <c r="C497" s="147"/>
    </row>
    <row r="498">
      <c r="C498" s="147"/>
    </row>
    <row r="499">
      <c r="C499" s="147"/>
    </row>
    <row r="500">
      <c r="C500" s="147"/>
    </row>
    <row r="501">
      <c r="C501" s="147"/>
    </row>
    <row r="502">
      <c r="C502" s="147"/>
    </row>
    <row r="503">
      <c r="C503" s="147"/>
    </row>
    <row r="504">
      <c r="C504" s="147"/>
    </row>
    <row r="505">
      <c r="C505" s="147"/>
    </row>
    <row r="506">
      <c r="C506" s="147"/>
    </row>
    <row r="507">
      <c r="C507" s="147"/>
    </row>
    <row r="508">
      <c r="C508" s="147"/>
    </row>
    <row r="509">
      <c r="C509" s="147"/>
    </row>
    <row r="510">
      <c r="C510" s="147"/>
    </row>
    <row r="511">
      <c r="C511" s="147"/>
    </row>
    <row r="512">
      <c r="C512" s="147"/>
    </row>
    <row r="513">
      <c r="C513" s="147"/>
    </row>
    <row r="514">
      <c r="C514" s="147"/>
    </row>
    <row r="515">
      <c r="C515" s="147"/>
    </row>
    <row r="516">
      <c r="C516" s="147"/>
    </row>
    <row r="517">
      <c r="C517" s="147"/>
    </row>
    <row r="518">
      <c r="C518" s="147"/>
    </row>
    <row r="519">
      <c r="C519" s="147"/>
    </row>
    <row r="520">
      <c r="C520" s="147"/>
    </row>
    <row r="521">
      <c r="C521" s="147"/>
    </row>
    <row r="522">
      <c r="C522" s="147"/>
    </row>
    <row r="523">
      <c r="C523" s="147"/>
    </row>
    <row r="524">
      <c r="C524" s="147"/>
    </row>
    <row r="525">
      <c r="C525" s="147"/>
    </row>
    <row r="526">
      <c r="C526" s="147"/>
    </row>
    <row r="527">
      <c r="C527" s="147"/>
    </row>
    <row r="528">
      <c r="C528" s="147"/>
    </row>
    <row r="529">
      <c r="C529" s="147"/>
    </row>
    <row r="530">
      <c r="C530" s="147"/>
    </row>
    <row r="531">
      <c r="C531" s="147"/>
    </row>
    <row r="532">
      <c r="C532" s="147"/>
    </row>
    <row r="533">
      <c r="C533" s="147"/>
    </row>
    <row r="534">
      <c r="C534" s="147"/>
    </row>
    <row r="535">
      <c r="C535" s="147"/>
    </row>
    <row r="536">
      <c r="C536" s="147"/>
    </row>
    <row r="537">
      <c r="C537" s="147"/>
    </row>
    <row r="538">
      <c r="C538" s="147"/>
    </row>
    <row r="539">
      <c r="C539" s="147"/>
    </row>
    <row r="540">
      <c r="C540" s="147"/>
    </row>
    <row r="541">
      <c r="C541" s="147"/>
    </row>
    <row r="542">
      <c r="C542" s="147"/>
    </row>
    <row r="543">
      <c r="C543" s="147"/>
    </row>
    <row r="544">
      <c r="C544" s="147"/>
    </row>
    <row r="545">
      <c r="C545" s="147"/>
    </row>
    <row r="546">
      <c r="C546" s="147"/>
    </row>
    <row r="547">
      <c r="C547" s="147"/>
    </row>
    <row r="548">
      <c r="C548" s="147"/>
    </row>
    <row r="549">
      <c r="C549" s="147"/>
    </row>
    <row r="550">
      <c r="C550" s="147"/>
    </row>
    <row r="551">
      <c r="C551" s="147"/>
    </row>
    <row r="552">
      <c r="C552" s="147"/>
    </row>
    <row r="553">
      <c r="C553" s="147"/>
    </row>
    <row r="554">
      <c r="C554" s="147"/>
    </row>
    <row r="555">
      <c r="C555" s="147"/>
    </row>
    <row r="556">
      <c r="C556" s="147"/>
    </row>
    <row r="557">
      <c r="C557" s="147"/>
    </row>
    <row r="558">
      <c r="C558" s="147"/>
    </row>
    <row r="559">
      <c r="C559" s="147"/>
    </row>
    <row r="560">
      <c r="C560" s="147"/>
    </row>
    <row r="561">
      <c r="C561" s="147"/>
    </row>
    <row r="562">
      <c r="C562" s="147"/>
    </row>
    <row r="563">
      <c r="C563" s="147"/>
    </row>
    <row r="564">
      <c r="C564" s="147"/>
    </row>
    <row r="565">
      <c r="C565" s="147"/>
    </row>
    <row r="566">
      <c r="C566" s="147"/>
    </row>
    <row r="567">
      <c r="C567" s="147"/>
    </row>
    <row r="568">
      <c r="C568" s="147"/>
    </row>
    <row r="569">
      <c r="C569" s="147"/>
    </row>
    <row r="570">
      <c r="C570" s="147"/>
    </row>
    <row r="571">
      <c r="C571" s="147"/>
    </row>
    <row r="572">
      <c r="C572" s="147"/>
    </row>
    <row r="573">
      <c r="C573" s="147"/>
    </row>
    <row r="574">
      <c r="C574" s="147"/>
    </row>
    <row r="575">
      <c r="C575" s="147"/>
    </row>
    <row r="576">
      <c r="C576" s="147"/>
    </row>
    <row r="577">
      <c r="C577" s="147"/>
    </row>
    <row r="578">
      <c r="C578" s="147"/>
    </row>
    <row r="579">
      <c r="C579" s="147"/>
    </row>
    <row r="580">
      <c r="C580" s="147"/>
    </row>
    <row r="581">
      <c r="C581" s="147"/>
    </row>
    <row r="582">
      <c r="C582" s="147"/>
    </row>
    <row r="583">
      <c r="C583" s="147"/>
    </row>
    <row r="584">
      <c r="C584" s="147"/>
    </row>
    <row r="585">
      <c r="C585" s="147"/>
    </row>
    <row r="586">
      <c r="C586" s="147"/>
    </row>
    <row r="587">
      <c r="C587" s="147"/>
    </row>
    <row r="588">
      <c r="C588" s="147"/>
    </row>
    <row r="589">
      <c r="C589" s="147"/>
    </row>
    <row r="590">
      <c r="C590" s="147"/>
    </row>
    <row r="591">
      <c r="C591" s="147"/>
    </row>
    <row r="592">
      <c r="C592" s="147"/>
    </row>
    <row r="593">
      <c r="C593" s="147"/>
    </row>
    <row r="594">
      <c r="C594" s="147"/>
    </row>
    <row r="595">
      <c r="C595" s="147"/>
    </row>
    <row r="596">
      <c r="C596" s="147"/>
    </row>
    <row r="597">
      <c r="C597" s="147"/>
    </row>
    <row r="598">
      <c r="C598" s="147"/>
    </row>
    <row r="599">
      <c r="C599" s="147"/>
    </row>
    <row r="600">
      <c r="C600" s="147"/>
    </row>
    <row r="601">
      <c r="C601" s="147"/>
    </row>
    <row r="602">
      <c r="C602" s="147"/>
    </row>
    <row r="603">
      <c r="C603" s="147"/>
    </row>
    <row r="604">
      <c r="C604" s="147"/>
    </row>
    <row r="605">
      <c r="C605" s="147"/>
    </row>
    <row r="606">
      <c r="C606" s="147"/>
    </row>
    <row r="607">
      <c r="C607" s="147"/>
    </row>
    <row r="608">
      <c r="C608" s="147"/>
    </row>
    <row r="609">
      <c r="C609" s="147"/>
    </row>
    <row r="610">
      <c r="C610" s="147"/>
    </row>
    <row r="611">
      <c r="C611" s="147"/>
    </row>
    <row r="612">
      <c r="C612" s="147"/>
    </row>
    <row r="613">
      <c r="C613" s="147"/>
    </row>
    <row r="614">
      <c r="C614" s="147"/>
    </row>
    <row r="615">
      <c r="C615" s="147"/>
    </row>
    <row r="616">
      <c r="C616" s="147"/>
    </row>
    <row r="617">
      <c r="C617" s="147"/>
    </row>
    <row r="618">
      <c r="C618" s="147"/>
    </row>
    <row r="619">
      <c r="C619" s="147"/>
    </row>
    <row r="620">
      <c r="C620" s="147"/>
    </row>
    <row r="621">
      <c r="C621" s="147"/>
    </row>
    <row r="622">
      <c r="C622" s="147"/>
    </row>
    <row r="623">
      <c r="C623" s="147"/>
    </row>
    <row r="624">
      <c r="C624" s="147"/>
    </row>
    <row r="625">
      <c r="C625" s="147"/>
    </row>
    <row r="626">
      <c r="C626" s="147"/>
    </row>
    <row r="627">
      <c r="C627" s="147"/>
    </row>
    <row r="628">
      <c r="C628" s="147"/>
    </row>
    <row r="629">
      <c r="C629" s="147"/>
    </row>
    <row r="630">
      <c r="C630" s="147"/>
    </row>
    <row r="631">
      <c r="C631" s="147"/>
    </row>
    <row r="632">
      <c r="C632" s="147"/>
    </row>
    <row r="633">
      <c r="C633" s="147"/>
    </row>
    <row r="634">
      <c r="C634" s="147"/>
    </row>
    <row r="635">
      <c r="C635" s="147"/>
    </row>
    <row r="636">
      <c r="C636" s="147"/>
    </row>
    <row r="637">
      <c r="C637" s="147"/>
    </row>
    <row r="638">
      <c r="C638" s="147"/>
    </row>
    <row r="639">
      <c r="C639" s="147"/>
    </row>
    <row r="640">
      <c r="C640" s="147"/>
    </row>
    <row r="641">
      <c r="C641" s="147"/>
    </row>
    <row r="642">
      <c r="C642" s="147"/>
    </row>
    <row r="643">
      <c r="C643" s="147"/>
    </row>
    <row r="644">
      <c r="C644" s="147"/>
    </row>
    <row r="645">
      <c r="C645" s="147"/>
    </row>
    <row r="646">
      <c r="C646" s="147"/>
    </row>
    <row r="647">
      <c r="C647" s="147"/>
    </row>
    <row r="648">
      <c r="C648" s="147"/>
    </row>
    <row r="649">
      <c r="C649" s="147"/>
    </row>
    <row r="650">
      <c r="C650" s="147"/>
    </row>
    <row r="651">
      <c r="C651" s="147"/>
    </row>
    <row r="652">
      <c r="C652" s="147"/>
    </row>
    <row r="653">
      <c r="C653" s="147"/>
    </row>
    <row r="654">
      <c r="C654" s="147"/>
    </row>
    <row r="655">
      <c r="C655" s="147"/>
    </row>
    <row r="656">
      <c r="C656" s="147"/>
    </row>
    <row r="657">
      <c r="C657" s="147"/>
    </row>
    <row r="658">
      <c r="C658" s="147"/>
    </row>
    <row r="659">
      <c r="C659" s="147"/>
    </row>
    <row r="660">
      <c r="C660" s="147"/>
    </row>
    <row r="661">
      <c r="C661" s="147"/>
    </row>
    <row r="662">
      <c r="C662" s="147"/>
    </row>
    <row r="663">
      <c r="C663" s="147"/>
    </row>
    <row r="664">
      <c r="C664" s="147"/>
    </row>
    <row r="665">
      <c r="C665" s="147"/>
    </row>
    <row r="666">
      <c r="C666" s="147"/>
    </row>
    <row r="667">
      <c r="C667" s="147"/>
    </row>
    <row r="668">
      <c r="C668" s="147"/>
    </row>
    <row r="669">
      <c r="C669" s="147"/>
    </row>
    <row r="670">
      <c r="C670" s="147"/>
    </row>
    <row r="671">
      <c r="C671" s="147"/>
    </row>
    <row r="672">
      <c r="C672" s="147"/>
    </row>
    <row r="673">
      <c r="C673" s="147"/>
    </row>
    <row r="674">
      <c r="C674" s="147"/>
    </row>
    <row r="675">
      <c r="C675" s="147"/>
    </row>
    <row r="676">
      <c r="C676" s="147"/>
    </row>
    <row r="677">
      <c r="C677" s="147"/>
    </row>
    <row r="678">
      <c r="C678" s="147"/>
    </row>
    <row r="679">
      <c r="C679" s="147"/>
    </row>
    <row r="680">
      <c r="C680" s="147"/>
    </row>
    <row r="681">
      <c r="C681" s="147"/>
    </row>
    <row r="682">
      <c r="C682" s="147"/>
    </row>
    <row r="683">
      <c r="C683" s="147"/>
    </row>
    <row r="684">
      <c r="C684" s="147"/>
    </row>
    <row r="685">
      <c r="C685" s="147"/>
    </row>
    <row r="686">
      <c r="C686" s="147"/>
    </row>
    <row r="687">
      <c r="C687" s="147"/>
    </row>
    <row r="688">
      <c r="C688" s="147"/>
    </row>
    <row r="689">
      <c r="C689" s="147"/>
    </row>
    <row r="690">
      <c r="C690" s="147"/>
    </row>
    <row r="691">
      <c r="C691" s="147"/>
    </row>
    <row r="692">
      <c r="C692" s="147"/>
    </row>
    <row r="693">
      <c r="C693" s="147"/>
    </row>
    <row r="694">
      <c r="C694" s="147"/>
    </row>
    <row r="695">
      <c r="C695" s="147"/>
    </row>
    <row r="696">
      <c r="C696" s="147"/>
    </row>
    <row r="697">
      <c r="C697" s="147"/>
    </row>
    <row r="698">
      <c r="C698" s="147"/>
    </row>
    <row r="699">
      <c r="C699" s="147"/>
    </row>
    <row r="700">
      <c r="C700" s="147"/>
    </row>
    <row r="701">
      <c r="C701" s="147"/>
    </row>
    <row r="702">
      <c r="C702" s="147"/>
    </row>
    <row r="703">
      <c r="C703" s="147"/>
    </row>
    <row r="704">
      <c r="C704" s="147"/>
    </row>
    <row r="705">
      <c r="C705" s="147"/>
    </row>
    <row r="706">
      <c r="C706" s="147"/>
    </row>
    <row r="707">
      <c r="C707" s="147"/>
    </row>
    <row r="708">
      <c r="C708" s="147"/>
    </row>
    <row r="709">
      <c r="C709" s="147"/>
    </row>
    <row r="710">
      <c r="C710" s="147"/>
    </row>
    <row r="711">
      <c r="C711" s="147"/>
    </row>
    <row r="712">
      <c r="C712" s="147"/>
    </row>
    <row r="713">
      <c r="C713" s="147"/>
    </row>
    <row r="714">
      <c r="C714" s="147"/>
    </row>
    <row r="715">
      <c r="C715" s="147"/>
    </row>
    <row r="716">
      <c r="C716" s="147"/>
    </row>
    <row r="717">
      <c r="C717" s="147"/>
    </row>
    <row r="718">
      <c r="C718" s="147"/>
    </row>
    <row r="719">
      <c r="C719" s="147"/>
    </row>
    <row r="720">
      <c r="C720" s="147"/>
    </row>
    <row r="721">
      <c r="C721" s="147"/>
    </row>
    <row r="722">
      <c r="C722" s="147"/>
    </row>
    <row r="723">
      <c r="C723" s="147"/>
    </row>
    <row r="724">
      <c r="C724" s="147"/>
    </row>
    <row r="725">
      <c r="C725" s="147"/>
    </row>
    <row r="726">
      <c r="C726" s="147"/>
    </row>
    <row r="727">
      <c r="C727" s="147"/>
    </row>
    <row r="728">
      <c r="C728" s="147"/>
    </row>
    <row r="729">
      <c r="C729" s="147"/>
    </row>
    <row r="730">
      <c r="C730" s="147"/>
    </row>
    <row r="731">
      <c r="C731" s="147"/>
    </row>
    <row r="732">
      <c r="C732" s="147"/>
    </row>
    <row r="733">
      <c r="C733" s="147"/>
    </row>
    <row r="734">
      <c r="C734" s="147"/>
    </row>
    <row r="735">
      <c r="C735" s="147"/>
    </row>
    <row r="736">
      <c r="C736" s="147"/>
    </row>
    <row r="737">
      <c r="C737" s="147"/>
    </row>
    <row r="738">
      <c r="C738" s="147"/>
    </row>
    <row r="739">
      <c r="C739" s="147"/>
    </row>
    <row r="740">
      <c r="C740" s="147"/>
    </row>
    <row r="741">
      <c r="C741" s="147"/>
    </row>
    <row r="742">
      <c r="C742" s="147"/>
    </row>
    <row r="743">
      <c r="C743" s="147"/>
    </row>
    <row r="744">
      <c r="C744" s="147"/>
    </row>
    <row r="745">
      <c r="C745" s="147"/>
    </row>
    <row r="746">
      <c r="C746" s="147"/>
    </row>
    <row r="747">
      <c r="C747" s="147"/>
    </row>
    <row r="748">
      <c r="C748" s="147"/>
    </row>
    <row r="749">
      <c r="C749" s="147"/>
    </row>
    <row r="750">
      <c r="C750" s="147"/>
    </row>
    <row r="751">
      <c r="C751" s="147"/>
    </row>
    <row r="752">
      <c r="C752" s="147"/>
    </row>
    <row r="753">
      <c r="C753" s="147"/>
    </row>
    <row r="754">
      <c r="C754" s="147"/>
    </row>
    <row r="755">
      <c r="C755" s="147"/>
    </row>
    <row r="756">
      <c r="C756" s="147"/>
    </row>
    <row r="757">
      <c r="C757" s="147"/>
    </row>
    <row r="758">
      <c r="C758" s="147"/>
    </row>
    <row r="759">
      <c r="C759" s="147"/>
    </row>
    <row r="760">
      <c r="C760" s="147"/>
    </row>
    <row r="761">
      <c r="C761" s="147"/>
    </row>
    <row r="762">
      <c r="C762" s="147"/>
    </row>
    <row r="763">
      <c r="C763" s="147"/>
    </row>
    <row r="764">
      <c r="C764" s="147"/>
    </row>
    <row r="765">
      <c r="C765" s="147"/>
    </row>
    <row r="766">
      <c r="C766" s="147"/>
    </row>
    <row r="767">
      <c r="C767" s="147"/>
    </row>
    <row r="768">
      <c r="C768" s="147"/>
    </row>
    <row r="769">
      <c r="C769" s="147"/>
    </row>
    <row r="770">
      <c r="C770" s="147"/>
    </row>
    <row r="771">
      <c r="C771" s="147"/>
    </row>
    <row r="772">
      <c r="C772" s="147"/>
    </row>
    <row r="773">
      <c r="C773" s="147"/>
    </row>
    <row r="774">
      <c r="C774" s="147"/>
    </row>
    <row r="775">
      <c r="C775" s="147"/>
    </row>
    <row r="776">
      <c r="C776" s="147"/>
    </row>
    <row r="777">
      <c r="C777" s="147"/>
    </row>
    <row r="778">
      <c r="C778" s="147"/>
    </row>
    <row r="779">
      <c r="C779" s="147"/>
    </row>
    <row r="780">
      <c r="C780" s="147"/>
    </row>
    <row r="781">
      <c r="C781" s="147"/>
    </row>
    <row r="782">
      <c r="C782" s="147"/>
    </row>
    <row r="783">
      <c r="C783" s="147"/>
    </row>
    <row r="784">
      <c r="C784" s="147"/>
    </row>
    <row r="785">
      <c r="C785" s="147"/>
    </row>
    <row r="786">
      <c r="C786" s="147"/>
    </row>
    <row r="787">
      <c r="C787" s="147"/>
    </row>
    <row r="788">
      <c r="C788" s="147"/>
    </row>
    <row r="789">
      <c r="C789" s="147"/>
    </row>
    <row r="790">
      <c r="C790" s="147"/>
    </row>
    <row r="791">
      <c r="C791" s="147"/>
    </row>
    <row r="792">
      <c r="C792" s="147"/>
    </row>
    <row r="793">
      <c r="C793" s="147"/>
    </row>
    <row r="794">
      <c r="C794" s="147"/>
    </row>
    <row r="795">
      <c r="C795" s="147"/>
    </row>
    <row r="796">
      <c r="C796" s="147"/>
    </row>
    <row r="797">
      <c r="C797" s="147"/>
    </row>
    <row r="798">
      <c r="C798" s="147"/>
    </row>
    <row r="799">
      <c r="C799" s="147"/>
    </row>
    <row r="800">
      <c r="C800" s="147"/>
    </row>
    <row r="801">
      <c r="C801" s="147"/>
    </row>
    <row r="802">
      <c r="C802" s="147"/>
    </row>
    <row r="803">
      <c r="C803" s="147"/>
    </row>
    <row r="804">
      <c r="C804" s="147"/>
    </row>
    <row r="805">
      <c r="C805" s="147"/>
    </row>
    <row r="806">
      <c r="C806" s="147"/>
    </row>
    <row r="807">
      <c r="C807" s="147"/>
    </row>
    <row r="808">
      <c r="C808" s="147"/>
    </row>
    <row r="809">
      <c r="C809" s="147"/>
    </row>
    <row r="810">
      <c r="C810" s="147"/>
    </row>
    <row r="811">
      <c r="C811" s="147"/>
    </row>
    <row r="812">
      <c r="C812" s="147"/>
    </row>
    <row r="813">
      <c r="C813" s="147"/>
    </row>
    <row r="814">
      <c r="C814" s="147"/>
    </row>
    <row r="815">
      <c r="C815" s="147"/>
    </row>
    <row r="816">
      <c r="C816" s="147"/>
    </row>
    <row r="817">
      <c r="C817" s="147"/>
    </row>
    <row r="818">
      <c r="C818" s="147"/>
    </row>
    <row r="819">
      <c r="C819" s="147"/>
    </row>
    <row r="820">
      <c r="C820" s="147"/>
    </row>
    <row r="821">
      <c r="C821" s="147"/>
    </row>
    <row r="822">
      <c r="C822" s="147"/>
    </row>
    <row r="823">
      <c r="C823" s="147"/>
    </row>
    <row r="824">
      <c r="C824" s="147"/>
    </row>
    <row r="825">
      <c r="C825" s="147"/>
    </row>
    <row r="826">
      <c r="C826" s="147"/>
    </row>
    <row r="827">
      <c r="C827" s="147"/>
    </row>
    <row r="828">
      <c r="C828" s="147"/>
    </row>
    <row r="829">
      <c r="C829" s="147"/>
    </row>
    <row r="830">
      <c r="C830" s="147"/>
    </row>
    <row r="831">
      <c r="C831" s="147"/>
    </row>
    <row r="832">
      <c r="C832" s="147"/>
    </row>
    <row r="833">
      <c r="C833" s="147"/>
    </row>
    <row r="834">
      <c r="C834" s="147"/>
    </row>
    <row r="835">
      <c r="C835" s="147"/>
    </row>
    <row r="836">
      <c r="C836" s="147"/>
    </row>
    <row r="837">
      <c r="C837" s="147"/>
    </row>
    <row r="838">
      <c r="C838" s="147"/>
    </row>
    <row r="839">
      <c r="C839" s="147"/>
    </row>
    <row r="840">
      <c r="C840" s="147"/>
    </row>
    <row r="841">
      <c r="C841" s="147"/>
    </row>
    <row r="842">
      <c r="C842" s="147"/>
    </row>
    <row r="843">
      <c r="C843" s="147"/>
    </row>
    <row r="844">
      <c r="C844" s="147"/>
    </row>
    <row r="845">
      <c r="C845" s="147"/>
    </row>
    <row r="846">
      <c r="C846" s="147"/>
    </row>
    <row r="847">
      <c r="C847" s="147"/>
    </row>
    <row r="848">
      <c r="C848" s="147"/>
    </row>
    <row r="849">
      <c r="C849" s="147"/>
    </row>
    <row r="850">
      <c r="C850" s="147"/>
    </row>
    <row r="851">
      <c r="C851" s="147"/>
    </row>
    <row r="852">
      <c r="C852" s="147"/>
    </row>
    <row r="853">
      <c r="C853" s="147"/>
    </row>
    <row r="854">
      <c r="C854" s="147"/>
    </row>
    <row r="855">
      <c r="C855" s="147"/>
    </row>
    <row r="856">
      <c r="C856" s="147"/>
    </row>
    <row r="857">
      <c r="C857" s="147"/>
    </row>
    <row r="858">
      <c r="C858" s="147"/>
    </row>
    <row r="859">
      <c r="C859" s="147"/>
    </row>
    <row r="860">
      <c r="C860" s="147"/>
    </row>
    <row r="861">
      <c r="C861" s="147"/>
    </row>
    <row r="862">
      <c r="C862" s="147"/>
    </row>
    <row r="863">
      <c r="C863" s="147"/>
    </row>
    <row r="864">
      <c r="C864" s="147"/>
    </row>
    <row r="865">
      <c r="C865" s="147"/>
    </row>
    <row r="866">
      <c r="C866" s="147"/>
    </row>
    <row r="867">
      <c r="C867" s="147"/>
    </row>
    <row r="868">
      <c r="C868" s="147"/>
    </row>
    <row r="869">
      <c r="C869" s="147"/>
    </row>
    <row r="870">
      <c r="C870" s="147"/>
    </row>
    <row r="871">
      <c r="C871" s="147"/>
    </row>
    <row r="872">
      <c r="C872" s="147"/>
    </row>
    <row r="873">
      <c r="C873" s="147"/>
    </row>
    <row r="874">
      <c r="C874" s="147"/>
    </row>
    <row r="875">
      <c r="C875" s="147"/>
    </row>
    <row r="876">
      <c r="C876" s="147"/>
    </row>
    <row r="877">
      <c r="C877" s="147"/>
    </row>
    <row r="878">
      <c r="C878" s="147"/>
    </row>
    <row r="879">
      <c r="C879" s="147"/>
    </row>
    <row r="880">
      <c r="C880" s="147"/>
    </row>
    <row r="881">
      <c r="C881" s="147"/>
    </row>
    <row r="882">
      <c r="C882" s="147"/>
    </row>
    <row r="883">
      <c r="C883" s="147"/>
    </row>
    <row r="884">
      <c r="C884" s="147"/>
    </row>
    <row r="885">
      <c r="C885" s="147"/>
    </row>
    <row r="886">
      <c r="C886" s="147"/>
    </row>
    <row r="887">
      <c r="C887" s="147"/>
    </row>
    <row r="888">
      <c r="C888" s="147"/>
    </row>
    <row r="889">
      <c r="C889" s="147"/>
    </row>
    <row r="890">
      <c r="C890" s="147"/>
    </row>
    <row r="891">
      <c r="C891" s="147"/>
    </row>
    <row r="892">
      <c r="C892" s="147"/>
    </row>
    <row r="893">
      <c r="C893" s="147"/>
    </row>
    <row r="894">
      <c r="C894" s="147"/>
    </row>
    <row r="895">
      <c r="C895" s="147"/>
    </row>
    <row r="896">
      <c r="C896" s="147"/>
    </row>
    <row r="897">
      <c r="C897" s="147"/>
    </row>
    <row r="898">
      <c r="C898" s="147"/>
    </row>
    <row r="899">
      <c r="C899" s="147"/>
    </row>
    <row r="900">
      <c r="C900" s="147"/>
    </row>
    <row r="901">
      <c r="C901" s="147"/>
    </row>
    <row r="902">
      <c r="C902" s="147"/>
    </row>
    <row r="903">
      <c r="C903" s="147"/>
    </row>
    <row r="904">
      <c r="C904" s="147"/>
    </row>
    <row r="905">
      <c r="C905" s="147"/>
    </row>
    <row r="906">
      <c r="C906" s="147"/>
    </row>
    <row r="907">
      <c r="C907" s="147"/>
    </row>
    <row r="908">
      <c r="C908" s="147"/>
    </row>
    <row r="909">
      <c r="C909" s="147"/>
    </row>
    <row r="910">
      <c r="C910" s="147"/>
    </row>
    <row r="911">
      <c r="C911" s="147"/>
    </row>
    <row r="912">
      <c r="C912" s="147"/>
    </row>
    <row r="913">
      <c r="C913" s="147"/>
    </row>
    <row r="914">
      <c r="C914" s="147"/>
    </row>
    <row r="915">
      <c r="C915" s="147"/>
    </row>
    <row r="916">
      <c r="C916" s="147"/>
    </row>
    <row r="917">
      <c r="C917" s="147"/>
    </row>
    <row r="918">
      <c r="C918" s="147"/>
    </row>
    <row r="919">
      <c r="C919" s="147"/>
    </row>
    <row r="920">
      <c r="C920" s="147"/>
    </row>
    <row r="921">
      <c r="C921" s="147"/>
    </row>
    <row r="922">
      <c r="C922" s="147"/>
    </row>
    <row r="923">
      <c r="C923" s="147"/>
    </row>
    <row r="924">
      <c r="C924" s="147"/>
    </row>
    <row r="925">
      <c r="C925" s="147"/>
    </row>
    <row r="926">
      <c r="C926" s="147"/>
    </row>
    <row r="927">
      <c r="C927" s="147"/>
    </row>
    <row r="928">
      <c r="C928" s="147"/>
    </row>
    <row r="929">
      <c r="C929" s="147"/>
    </row>
    <row r="930">
      <c r="C930" s="147"/>
    </row>
    <row r="931">
      <c r="C931" s="147"/>
    </row>
    <row r="932">
      <c r="C932" s="147"/>
    </row>
    <row r="933">
      <c r="C933" s="147"/>
    </row>
    <row r="934">
      <c r="C934" s="147"/>
    </row>
    <row r="935">
      <c r="C935" s="147"/>
    </row>
    <row r="936">
      <c r="C936" s="147"/>
    </row>
    <row r="937">
      <c r="C937" s="147"/>
    </row>
    <row r="938">
      <c r="C938" s="147"/>
    </row>
    <row r="939">
      <c r="C939" s="147"/>
    </row>
    <row r="940">
      <c r="C940" s="147"/>
    </row>
    <row r="941">
      <c r="C941" s="147"/>
    </row>
    <row r="942">
      <c r="C942" s="147"/>
    </row>
    <row r="943">
      <c r="C943" s="147"/>
    </row>
    <row r="944">
      <c r="C944" s="147"/>
    </row>
    <row r="945">
      <c r="C945" s="147"/>
    </row>
    <row r="946">
      <c r="C946" s="147"/>
    </row>
    <row r="947">
      <c r="C947" s="147"/>
    </row>
    <row r="948">
      <c r="C948" s="147"/>
    </row>
    <row r="949">
      <c r="C949" s="147"/>
    </row>
    <row r="950">
      <c r="C950" s="147"/>
    </row>
    <row r="951">
      <c r="C951" s="147"/>
    </row>
    <row r="952">
      <c r="C952" s="147"/>
    </row>
    <row r="953">
      <c r="C953" s="147"/>
    </row>
    <row r="954">
      <c r="C954" s="147"/>
    </row>
    <row r="955">
      <c r="C955" s="147"/>
    </row>
    <row r="956">
      <c r="C956" s="147"/>
    </row>
    <row r="957">
      <c r="C957" s="147"/>
    </row>
    <row r="958">
      <c r="C958" s="147"/>
    </row>
    <row r="959">
      <c r="C959" s="147"/>
    </row>
    <row r="960">
      <c r="C960" s="147"/>
    </row>
    <row r="961">
      <c r="C961" s="147"/>
    </row>
    <row r="962">
      <c r="C962" s="147"/>
    </row>
    <row r="963">
      <c r="C963" s="147"/>
    </row>
    <row r="964">
      <c r="C964" s="147"/>
    </row>
    <row r="965">
      <c r="C965" s="147"/>
    </row>
    <row r="966">
      <c r="C966" s="147"/>
    </row>
    <row r="967">
      <c r="C967" s="147"/>
    </row>
    <row r="968">
      <c r="C968" s="147"/>
    </row>
    <row r="969">
      <c r="C969" s="147"/>
    </row>
    <row r="970">
      <c r="C970" s="147"/>
    </row>
    <row r="971">
      <c r="C971" s="147"/>
    </row>
    <row r="972">
      <c r="C972" s="147"/>
    </row>
    <row r="973">
      <c r="C973" s="147"/>
    </row>
    <row r="974">
      <c r="C974" s="147"/>
    </row>
    <row r="975">
      <c r="C975" s="147"/>
    </row>
    <row r="976">
      <c r="C976" s="147"/>
    </row>
    <row r="977">
      <c r="C977" s="147"/>
    </row>
    <row r="978">
      <c r="C978" s="147"/>
    </row>
    <row r="979">
      <c r="C979" s="147"/>
    </row>
    <row r="980">
      <c r="C980" s="147"/>
    </row>
    <row r="981">
      <c r="C981" s="147"/>
    </row>
    <row r="982">
      <c r="C982" s="147"/>
    </row>
    <row r="983">
      <c r="C983" s="147"/>
    </row>
    <row r="984">
      <c r="C984" s="147"/>
    </row>
    <row r="985">
      <c r="C985" s="147"/>
    </row>
    <row r="986">
      <c r="C986" s="147"/>
    </row>
    <row r="987">
      <c r="C987" s="147"/>
    </row>
    <row r="988">
      <c r="C988" s="147"/>
    </row>
    <row r="989">
      <c r="C989" s="147"/>
    </row>
    <row r="990">
      <c r="C990" s="147"/>
    </row>
  </sheetData>
  <drawing r:id="rId1"/>
</worksheet>
</file>